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vaes.sharepoint.com/sites/GRP-PANTHEON/Documentos compartidos/General/1. PROYECTO WPS/0_WP3/Correspondence/excels_correspondance/"/>
    </mc:Choice>
  </mc:AlternateContent>
  <xr:revisionPtr revIDLastSave="168" documentId="11_85D4E1F382F7A8CADB0D71B6C0BCA95643FDD1E7" xr6:coauthVersionLast="47" xr6:coauthVersionMax="47" xr10:uidLastSave="{181B3A36-9D66-4B10-9287-D57ADBFF80E9}"/>
  <bookViews>
    <workbookView xWindow="-28920" yWindow="-120" windowWidth="29040" windowHeight="16440" firstSheet="1" activeTab="6" xr2:uid="{00000000-000D-0000-FFFF-FFFF00000000}"/>
  </bookViews>
  <sheets>
    <sheet name="3sectors1region" sheetId="1" r:id="rId1"/>
    <sheet name="Multirregional" sheetId="6" r:id="rId2"/>
    <sheet name="Hoja2" sheetId="2" r:id="rId3"/>
    <sheet name="Agregar regiones" sheetId="4" r:id="rId4"/>
    <sheet name="Sheet1" sheetId="7" r:id="rId5"/>
    <sheet name="Correspondencia" sheetId="8" r:id="rId6"/>
    <sheet name="Correspondencia (2)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9" l="1"/>
  <c r="S30" i="9"/>
  <c r="S29" i="9"/>
  <c r="S7" i="9"/>
  <c r="T6" i="9"/>
  <c r="S6" i="9"/>
  <c r="R7" i="9"/>
  <c r="R6" i="9"/>
  <c r="T10" i="9"/>
  <c r="U33" i="9" s="1"/>
  <c r="T11" i="9"/>
  <c r="S10" i="9"/>
  <c r="S11" i="9"/>
  <c r="T33" i="9"/>
  <c r="U34" i="9"/>
  <c r="T34" i="9"/>
  <c r="U32" i="9"/>
  <c r="S34" i="9"/>
  <c r="S33" i="9"/>
  <c r="W30" i="9"/>
  <c r="S49" i="9"/>
  <c r="S48" i="9"/>
  <c r="S47" i="9"/>
  <c r="R10" i="9"/>
  <c r="T30" i="9"/>
  <c r="U30" i="9"/>
  <c r="S13" i="9" l="1"/>
  <c r="T13" i="9"/>
  <c r="X16" i="9"/>
  <c r="S14" i="9"/>
  <c r="T14" i="9"/>
  <c r="R14" i="9"/>
  <c r="R13" i="9"/>
  <c r="T12" i="9"/>
  <c r="S12" i="9"/>
  <c r="R12" i="9"/>
  <c r="R11" i="9"/>
  <c r="Z8" i="9"/>
  <c r="Y8" i="9"/>
  <c r="Z7" i="9"/>
  <c r="Y7" i="9"/>
  <c r="W7" i="9"/>
  <c r="V7" i="9"/>
  <c r="W8" i="9"/>
  <c r="V8" i="9"/>
  <c r="T8" i="9"/>
  <c r="T7" i="9"/>
  <c r="S8" i="9"/>
  <c r="S9" i="9"/>
  <c r="T9" i="9"/>
  <c r="R9" i="9"/>
  <c r="U6" i="9"/>
  <c r="V6" i="9"/>
  <c r="W6" i="9"/>
  <c r="X6" i="9"/>
  <c r="Y6" i="9"/>
  <c r="Z6" i="9"/>
  <c r="U7" i="9"/>
  <c r="X7" i="9"/>
  <c r="U8" i="9"/>
  <c r="X8" i="9"/>
  <c r="R8" i="9"/>
  <c r="T32" i="9"/>
  <c r="S32" i="9"/>
  <c r="AD33" i="9"/>
  <c r="W38" i="9" s="1"/>
  <c r="W39" i="9" s="1"/>
  <c r="AD32" i="9"/>
  <c r="V31" i="9"/>
  <c r="V30" i="9"/>
  <c r="X29" i="9"/>
  <c r="W29" i="9"/>
  <c r="X31" i="9"/>
  <c r="W31" i="9"/>
  <c r="X30" i="9"/>
  <c r="V29" i="9"/>
  <c r="T29" i="9"/>
  <c r="U31" i="9"/>
  <c r="T31" i="9"/>
  <c r="AA39" i="9"/>
  <c r="AA38" i="9"/>
  <c r="Z38" i="9"/>
  <c r="Z39" i="9" s="1"/>
  <c r="Y38" i="9"/>
  <c r="Y39" i="9" s="1"/>
  <c r="AD37" i="9"/>
  <c r="AD36" i="9"/>
  <c r="AD35" i="9"/>
  <c r="AD34" i="9"/>
  <c r="X38" i="9" s="1"/>
  <c r="X39" i="9" s="1"/>
  <c r="U29" i="9"/>
  <c r="AD29" i="9"/>
  <c r="I17" i="9"/>
  <c r="I18" i="9" s="1"/>
  <c r="H17" i="9"/>
  <c r="H18" i="9" s="1"/>
  <c r="O16" i="9"/>
  <c r="L17" i="9" s="1"/>
  <c r="L18" i="9" s="1"/>
  <c r="O15" i="9"/>
  <c r="K17" i="9" s="1"/>
  <c r="K18" i="9" s="1"/>
  <c r="O14" i="9"/>
  <c r="J17" i="9" s="1"/>
  <c r="J18" i="9" s="1"/>
  <c r="O13" i="9"/>
  <c r="O12" i="9"/>
  <c r="O11" i="9"/>
  <c r="G17" i="9" s="1"/>
  <c r="G18" i="9" s="1"/>
  <c r="O10" i="9"/>
  <c r="F17" i="9" s="1"/>
  <c r="F18" i="9" s="1"/>
  <c r="O9" i="9"/>
  <c r="E17" i="9" s="1"/>
  <c r="E18" i="9" s="1"/>
  <c r="O8" i="9"/>
  <c r="D17" i="9" s="1"/>
  <c r="D18" i="9" s="1"/>
  <c r="S31" i="8"/>
  <c r="S30" i="8"/>
  <c r="U29" i="8"/>
  <c r="T29" i="8"/>
  <c r="T31" i="8"/>
  <c r="U31" i="8"/>
  <c r="U30" i="8"/>
  <c r="T30" i="8"/>
  <c r="S6" i="8"/>
  <c r="AD37" i="8"/>
  <c r="AA38" i="8" s="1"/>
  <c r="AA39" i="8" s="1"/>
  <c r="AD36" i="8"/>
  <c r="Z38" i="8" s="1"/>
  <c r="Z39" i="8" s="1"/>
  <c r="AD35" i="8"/>
  <c r="Y38" i="8" s="1"/>
  <c r="Y39" i="8" s="1"/>
  <c r="AD34" i="8"/>
  <c r="X38" i="8" s="1"/>
  <c r="X39" i="8" s="1"/>
  <c r="AD33" i="8"/>
  <c r="W38" i="8" s="1"/>
  <c r="W39" i="8" s="1"/>
  <c r="AD32" i="8"/>
  <c r="V38" i="8" s="1"/>
  <c r="V39" i="8" s="1"/>
  <c r="T11" i="8"/>
  <c r="U11" i="8"/>
  <c r="V11" i="8"/>
  <c r="W11" i="8"/>
  <c r="X11" i="8"/>
  <c r="S11" i="8"/>
  <c r="T10" i="8"/>
  <c r="U10" i="8"/>
  <c r="V10" i="8"/>
  <c r="W10" i="8"/>
  <c r="X10" i="8"/>
  <c r="S10" i="8"/>
  <c r="T9" i="8"/>
  <c r="U9" i="8"/>
  <c r="V9" i="8"/>
  <c r="W9" i="8"/>
  <c r="X9" i="8"/>
  <c r="S9" i="8"/>
  <c r="T8" i="8"/>
  <c r="U8" i="8"/>
  <c r="V8" i="8"/>
  <c r="W8" i="8"/>
  <c r="X8" i="8"/>
  <c r="S8" i="8"/>
  <c r="T7" i="8"/>
  <c r="U7" i="8"/>
  <c r="V7" i="8"/>
  <c r="W7" i="8"/>
  <c r="X7" i="8"/>
  <c r="S7" i="8"/>
  <c r="T6" i="8"/>
  <c r="U6" i="8"/>
  <c r="V6" i="8"/>
  <c r="W6" i="8"/>
  <c r="X6" i="8"/>
  <c r="O16" i="8"/>
  <c r="L17" i="8" s="1"/>
  <c r="L18" i="8" s="1"/>
  <c r="O15" i="8"/>
  <c r="K17" i="8" s="1"/>
  <c r="K18" i="8" s="1"/>
  <c r="O14" i="8"/>
  <c r="J17" i="8" s="1"/>
  <c r="J18" i="8" s="1"/>
  <c r="O13" i="8"/>
  <c r="I17" i="8" s="1"/>
  <c r="I18" i="8" s="1"/>
  <c r="O12" i="8"/>
  <c r="H17" i="8" s="1"/>
  <c r="H18" i="8" s="1"/>
  <c r="O11" i="8"/>
  <c r="G17" i="8" s="1"/>
  <c r="G18" i="8" s="1"/>
  <c r="O10" i="8"/>
  <c r="F17" i="8" s="1"/>
  <c r="F18" i="8" s="1"/>
  <c r="O9" i="8"/>
  <c r="E17" i="8" s="1"/>
  <c r="E18" i="8" s="1"/>
  <c r="O8" i="8"/>
  <c r="D17" i="8" s="1"/>
  <c r="D18" i="8" s="1"/>
  <c r="AK37" i="6"/>
  <c r="AK38" i="6"/>
  <c r="AD9" i="6"/>
  <c r="AD37" i="6" s="1"/>
  <c r="AE9" i="6"/>
  <c r="AE37" i="6" s="1"/>
  <c r="AF9" i="6"/>
  <c r="AF37" i="6" s="1"/>
  <c r="AG9" i="6"/>
  <c r="AG10" i="6" s="1"/>
  <c r="AG38" i="6" s="1"/>
  <c r="AH9" i="6"/>
  <c r="AH10" i="6" s="1"/>
  <c r="AH38" i="6" s="1"/>
  <c r="AI9" i="6"/>
  <c r="AI10" i="6" s="1"/>
  <c r="AI38" i="6" s="1"/>
  <c r="AJ9" i="6"/>
  <c r="AJ10" i="6" s="1"/>
  <c r="AJ38" i="6" s="1"/>
  <c r="AK9" i="6"/>
  <c r="AK10" i="6" s="1"/>
  <c r="AD10" i="6"/>
  <c r="AD38" i="6" s="1"/>
  <c r="AF10" i="6"/>
  <c r="AF38" i="6" s="1"/>
  <c r="AC9" i="6"/>
  <c r="AC37" i="6" s="1"/>
  <c r="T16" i="9" l="1"/>
  <c r="S16" i="9"/>
  <c r="R16" i="9"/>
  <c r="V16" i="9"/>
  <c r="Z16" i="9"/>
  <c r="U16" i="9"/>
  <c r="Y16" i="9"/>
  <c r="W16" i="9"/>
  <c r="V38" i="9"/>
  <c r="V39" i="9" s="1"/>
  <c r="AD31" i="9"/>
  <c r="U38" i="9" s="1"/>
  <c r="U39" i="9" s="1"/>
  <c r="S38" i="9"/>
  <c r="S39" i="9" s="1"/>
  <c r="AD30" i="9"/>
  <c r="T38" i="9" s="1"/>
  <c r="T39" i="9" s="1"/>
  <c r="AJ37" i="6"/>
  <c r="AE10" i="6"/>
  <c r="AE38" i="6" s="1"/>
  <c r="AD31" i="8"/>
  <c r="U38" i="8" s="1"/>
  <c r="U39" i="8" s="1"/>
  <c r="AD29" i="8"/>
  <c r="S38" i="8" s="1"/>
  <c r="S39" i="8" s="1"/>
  <c r="AD30" i="8"/>
  <c r="T38" i="8" s="1"/>
  <c r="T39" i="8" s="1"/>
  <c r="AC10" i="6"/>
  <c r="AC38" i="6" s="1"/>
  <c r="AI37" i="6"/>
  <c r="AH37" i="6"/>
  <c r="AG37" i="6"/>
  <c r="O6" i="6"/>
  <c r="E14" i="6" s="1"/>
  <c r="E15" i="6" s="1"/>
  <c r="O5" i="6"/>
  <c r="D14" i="6" s="1"/>
  <c r="D15" i="6" s="1"/>
  <c r="O13" i="6"/>
  <c r="O12" i="6"/>
  <c r="K14" i="6" s="1"/>
  <c r="K15" i="6" s="1"/>
  <c r="O11" i="6"/>
  <c r="J14" i="6" s="1"/>
  <c r="J15" i="6" s="1"/>
  <c r="O10" i="6"/>
  <c r="I14" i="6" s="1"/>
  <c r="I15" i="6" s="1"/>
  <c r="O9" i="6"/>
  <c r="H14" i="6" s="1"/>
  <c r="H15" i="6" s="1"/>
  <c r="O8" i="6"/>
  <c r="G14" i="6" s="1"/>
  <c r="G15" i="6" s="1"/>
  <c r="O7" i="6"/>
  <c r="F14" i="6" s="1"/>
  <c r="F15" i="6" s="1"/>
  <c r="I6" i="1"/>
  <c r="E9" i="1" s="1"/>
  <c r="E10" i="1" s="1"/>
  <c r="L14" i="6" l="1"/>
  <c r="L15" i="6" s="1"/>
  <c r="Q84" i="6"/>
  <c r="Q101" i="6"/>
  <c r="Q100" i="6"/>
  <c r="P86" i="6"/>
  <c r="R80" i="6"/>
  <c r="S80" i="6"/>
  <c r="R81" i="6"/>
  <c r="S81" i="6"/>
  <c r="R82" i="6"/>
  <c r="S82" i="6"/>
  <c r="N71" i="6"/>
  <c r="O71" i="6"/>
  <c r="N72" i="6"/>
  <c r="O72" i="6"/>
  <c r="N73" i="6"/>
  <c r="O73" i="6"/>
  <c r="P71" i="6"/>
  <c r="Q71" i="6"/>
  <c r="R71" i="6"/>
  <c r="S71" i="6"/>
  <c r="P72" i="6"/>
  <c r="Q72" i="6"/>
  <c r="R72" i="6"/>
  <c r="S72" i="6"/>
  <c r="P73" i="6"/>
  <c r="Q73" i="6"/>
  <c r="R73" i="6"/>
  <c r="S73" i="6"/>
  <c r="N58" i="6"/>
  <c r="O58" i="6"/>
  <c r="P58" i="6"/>
  <c r="Q58" i="6"/>
  <c r="R58" i="6"/>
  <c r="S58" i="6"/>
  <c r="N59" i="6"/>
  <c r="O59" i="6"/>
  <c r="P59" i="6"/>
  <c r="Q59" i="6"/>
  <c r="R59" i="6"/>
  <c r="S59" i="6"/>
  <c r="N60" i="6"/>
  <c r="O60" i="6"/>
  <c r="P60" i="6"/>
  <c r="Q60" i="6"/>
  <c r="R60" i="6"/>
  <c r="S60" i="6"/>
  <c r="Q95" i="6" l="1"/>
  <c r="Q96" i="6"/>
  <c r="Q97" i="6"/>
  <c r="S95" i="6"/>
  <c r="Q114" i="6"/>
  <c r="P112" i="6"/>
  <c r="Q112" i="6"/>
  <c r="R112" i="6"/>
  <c r="S112" i="6"/>
  <c r="T112" i="6"/>
  <c r="P113" i="6"/>
  <c r="Q113" i="6"/>
  <c r="R113" i="6"/>
  <c r="S113" i="6"/>
  <c r="T113" i="6"/>
  <c r="P114" i="6"/>
  <c r="R114" i="6"/>
  <c r="S114" i="6"/>
  <c r="T114" i="6"/>
  <c r="P111" i="6"/>
  <c r="P109" i="6"/>
  <c r="U58" i="6" l="1"/>
  <c r="V58" i="6"/>
  <c r="W58" i="6"/>
  <c r="U59" i="6"/>
  <c r="V59" i="6"/>
  <c r="W59" i="6"/>
  <c r="U60" i="6"/>
  <c r="V60" i="6"/>
  <c r="W60" i="6"/>
  <c r="Q109" i="6"/>
  <c r="P110" i="6"/>
  <c r="Q110" i="6"/>
  <c r="Q111" i="6"/>
  <c r="T111" i="6"/>
  <c r="S111" i="6"/>
  <c r="R111" i="6"/>
  <c r="T110" i="6"/>
  <c r="S110" i="6"/>
  <c r="R110" i="6"/>
  <c r="T109" i="6"/>
  <c r="S109" i="6"/>
  <c r="R109" i="6"/>
  <c r="T97" i="6"/>
  <c r="S97" i="6"/>
  <c r="R97" i="6"/>
  <c r="T96" i="6"/>
  <c r="S96" i="6"/>
  <c r="R96" i="6"/>
  <c r="T95" i="6"/>
  <c r="R95" i="6"/>
  <c r="T82" i="6"/>
  <c r="T81" i="6"/>
  <c r="T80" i="6"/>
  <c r="T73" i="6"/>
  <c r="T72" i="6"/>
  <c r="T71" i="6"/>
  <c r="T59" i="6"/>
  <c r="T60" i="6"/>
  <c r="T58" i="6"/>
  <c r="AI75" i="6" l="1"/>
  <c r="AI74" i="6"/>
  <c r="AI73" i="6"/>
  <c r="AI72" i="6"/>
  <c r="AI71" i="6"/>
  <c r="AI70" i="6"/>
  <c r="AD70" i="6"/>
  <c r="AE70" i="6"/>
  <c r="AF70" i="6"/>
  <c r="AG70" i="6"/>
  <c r="AH70" i="6"/>
  <c r="AD71" i="6"/>
  <c r="AE71" i="6"/>
  <c r="AF71" i="6"/>
  <c r="AG71" i="6"/>
  <c r="AH71" i="6"/>
  <c r="AD72" i="6"/>
  <c r="AE72" i="6"/>
  <c r="AF72" i="6"/>
  <c r="AG72" i="6"/>
  <c r="AH72" i="6"/>
  <c r="AD73" i="6"/>
  <c r="AE73" i="6"/>
  <c r="AF73" i="6"/>
  <c r="AG73" i="6"/>
  <c r="AH73" i="6"/>
  <c r="AD74" i="6"/>
  <c r="AE74" i="6"/>
  <c r="AF74" i="6"/>
  <c r="AG74" i="6"/>
  <c r="AH74" i="6"/>
  <c r="AD75" i="6"/>
  <c r="AE75" i="6"/>
  <c r="AF75" i="6"/>
  <c r="AG75" i="6"/>
  <c r="AH75" i="6"/>
  <c r="AC71" i="6"/>
  <c r="AC72" i="6"/>
  <c r="AC73" i="6"/>
  <c r="AC74" i="6"/>
  <c r="AC75" i="6"/>
  <c r="AC70" i="6"/>
  <c r="AK62" i="6"/>
  <c r="AH64" i="6" s="1"/>
  <c r="AH63" i="6" s="1"/>
  <c r="AK61" i="6"/>
  <c r="AG64" i="6" s="1"/>
  <c r="AG63" i="6" s="1"/>
  <c r="AK60" i="6"/>
  <c r="AF64" i="6" s="1"/>
  <c r="AF63" i="6" s="1"/>
  <c r="AK59" i="6"/>
  <c r="AE64" i="6" s="1"/>
  <c r="AE63" i="6" s="1"/>
  <c r="AK58" i="6"/>
  <c r="AK57" i="6"/>
  <c r="B152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EQ153" i="7"/>
  <c r="EQ154" i="7"/>
  <c r="EQ155" i="7"/>
  <c r="EQ156" i="7"/>
  <c r="EQ157" i="7"/>
  <c r="EQ158" i="7"/>
  <c r="EQ159" i="7"/>
  <c r="EQ160" i="7"/>
  <c r="EQ161" i="7"/>
  <c r="EQ162" i="7"/>
  <c r="EQ163" i="7"/>
  <c r="EQ164" i="7"/>
  <c r="EQ165" i="7"/>
  <c r="EQ166" i="7"/>
  <c r="EQ167" i="7"/>
  <c r="EQ168" i="7"/>
  <c r="EQ169" i="7"/>
  <c r="EQ170" i="7"/>
  <c r="EQ171" i="7"/>
  <c r="EQ172" i="7"/>
  <c r="EQ173" i="7"/>
  <c r="EQ174" i="7"/>
  <c r="EQ175" i="7"/>
  <c r="EQ176" i="7"/>
  <c r="EQ177" i="7"/>
  <c r="EQ178" i="7"/>
  <c r="EQ179" i="7"/>
  <c r="EQ180" i="7"/>
  <c r="EQ181" i="7"/>
  <c r="EQ182" i="7"/>
  <c r="EQ183" i="7"/>
  <c r="EQ184" i="7"/>
  <c r="EQ185" i="7"/>
  <c r="EQ186" i="7"/>
  <c r="EQ187" i="7"/>
  <c r="EQ188" i="7"/>
  <c r="EQ189" i="7"/>
  <c r="EQ190" i="7"/>
  <c r="EQ191" i="7"/>
  <c r="EQ192" i="7"/>
  <c r="EQ193" i="7"/>
  <c r="EQ194" i="7"/>
  <c r="EQ195" i="7"/>
  <c r="EQ196" i="7"/>
  <c r="EQ197" i="7"/>
  <c r="EQ198" i="7"/>
  <c r="EQ199" i="7"/>
  <c r="EQ200" i="7"/>
  <c r="EQ201" i="7"/>
  <c r="EQ202" i="7"/>
  <c r="EQ203" i="7"/>
  <c r="EQ204" i="7"/>
  <c r="EQ205" i="7"/>
  <c r="EQ206" i="7"/>
  <c r="EQ207" i="7"/>
  <c r="EQ208" i="7"/>
  <c r="EQ209" i="7"/>
  <c r="EQ210" i="7"/>
  <c r="EQ211" i="7"/>
  <c r="EQ212" i="7"/>
  <c r="EQ213" i="7"/>
  <c r="EQ214" i="7"/>
  <c r="EQ215" i="7"/>
  <c r="EQ216" i="7"/>
  <c r="EQ217" i="7"/>
  <c r="EQ218" i="7"/>
  <c r="EQ219" i="7"/>
  <c r="EQ220" i="7"/>
  <c r="EQ221" i="7"/>
  <c r="EQ152" i="7"/>
  <c r="DK80" i="7"/>
  <c r="DK81" i="7" s="1"/>
  <c r="DO80" i="7"/>
  <c r="DQ80" i="7"/>
  <c r="DS80" i="7"/>
  <c r="DU80" i="7"/>
  <c r="EG80" i="7"/>
  <c r="EI80" i="7"/>
  <c r="CC80" i="7"/>
  <c r="CC152" i="7" s="1"/>
  <c r="CF80" i="7"/>
  <c r="CG80" i="7"/>
  <c r="CG152" i="7" s="1"/>
  <c r="CJ80" i="7"/>
  <c r="CZ80" i="7"/>
  <c r="EN79" i="7"/>
  <c r="EN80" i="7" s="1"/>
  <c r="EM79" i="7"/>
  <c r="EM80" i="7" s="1"/>
  <c r="EL79" i="7"/>
  <c r="EL80" i="7" s="1"/>
  <c r="EK79" i="7"/>
  <c r="EK80" i="7" s="1"/>
  <c r="EJ79" i="7"/>
  <c r="EJ80" i="7" s="1"/>
  <c r="EI79" i="7"/>
  <c r="EH79" i="7"/>
  <c r="EH80" i="7" s="1"/>
  <c r="EG79" i="7"/>
  <c r="EF79" i="7"/>
  <c r="EF80" i="7" s="1"/>
  <c r="EE79" i="7"/>
  <c r="EE80" i="7" s="1"/>
  <c r="ED79" i="7"/>
  <c r="ED80" i="7" s="1"/>
  <c r="EC79" i="7"/>
  <c r="EC80" i="7" s="1"/>
  <c r="EB79" i="7"/>
  <c r="EB80" i="7" s="1"/>
  <c r="EA79" i="7"/>
  <c r="EA80" i="7" s="1"/>
  <c r="DZ79" i="7"/>
  <c r="DZ80" i="7" s="1"/>
  <c r="DY79" i="7"/>
  <c r="DY80" i="7" s="1"/>
  <c r="DY81" i="7" s="1"/>
  <c r="DX79" i="7"/>
  <c r="DX80" i="7" s="1"/>
  <c r="DW79" i="7"/>
  <c r="DW80" i="7" s="1"/>
  <c r="DV79" i="7"/>
  <c r="DV80" i="7" s="1"/>
  <c r="DU79" i="7"/>
  <c r="DT79" i="7"/>
  <c r="DT80" i="7" s="1"/>
  <c r="DS79" i="7"/>
  <c r="DR79" i="7"/>
  <c r="DR80" i="7" s="1"/>
  <c r="DQ79" i="7"/>
  <c r="DP79" i="7"/>
  <c r="DP80" i="7" s="1"/>
  <c r="DO79" i="7"/>
  <c r="DN79" i="7"/>
  <c r="DN80" i="7" s="1"/>
  <c r="DM79" i="7"/>
  <c r="DM80" i="7" s="1"/>
  <c r="DL79" i="7"/>
  <c r="DL80" i="7" s="1"/>
  <c r="DK79" i="7"/>
  <c r="DJ79" i="7"/>
  <c r="DJ80" i="7" s="1"/>
  <c r="DI79" i="7"/>
  <c r="DI80" i="7" s="1"/>
  <c r="DH79" i="7"/>
  <c r="DH80" i="7" s="1"/>
  <c r="DG79" i="7"/>
  <c r="DG80" i="7" s="1"/>
  <c r="DF79" i="7"/>
  <c r="DF80" i="7" s="1"/>
  <c r="DE79" i="7"/>
  <c r="DE80" i="7" s="1"/>
  <c r="DD79" i="7"/>
  <c r="DD80" i="7" s="1"/>
  <c r="DC79" i="7"/>
  <c r="DC80" i="7" s="1"/>
  <c r="DB79" i="7"/>
  <c r="DB80" i="7" s="1"/>
  <c r="DA79" i="7"/>
  <c r="DA80" i="7" s="1"/>
  <c r="DA152" i="7" s="1"/>
  <c r="CZ79" i="7"/>
  <c r="CY79" i="7"/>
  <c r="CY80" i="7" s="1"/>
  <c r="CX79" i="7"/>
  <c r="CX80" i="7" s="1"/>
  <c r="CX152" i="7" s="1"/>
  <c r="CW79" i="7"/>
  <c r="CW80" i="7" s="1"/>
  <c r="CW152" i="7" s="1"/>
  <c r="CV79" i="7"/>
  <c r="CV80" i="7" s="1"/>
  <c r="CU79" i="7"/>
  <c r="CU80" i="7" s="1"/>
  <c r="CT79" i="7"/>
  <c r="CT80" i="7" s="1"/>
  <c r="CS79" i="7"/>
  <c r="CS80" i="7" s="1"/>
  <c r="CS152" i="7" s="1"/>
  <c r="CR79" i="7"/>
  <c r="CR80" i="7" s="1"/>
  <c r="CQ79" i="7"/>
  <c r="CQ80" i="7" s="1"/>
  <c r="CP79" i="7"/>
  <c r="CP80" i="7" s="1"/>
  <c r="CP152" i="7" s="1"/>
  <c r="CO79" i="7"/>
  <c r="CO80" i="7" s="1"/>
  <c r="CO152" i="7" s="1"/>
  <c r="CN79" i="7"/>
  <c r="CN80" i="7" s="1"/>
  <c r="CM79" i="7"/>
  <c r="CM80" i="7" s="1"/>
  <c r="CL79" i="7"/>
  <c r="CL80" i="7" s="1"/>
  <c r="CK79" i="7"/>
  <c r="CK80" i="7" s="1"/>
  <c r="CK152" i="7" s="1"/>
  <c r="CJ79" i="7"/>
  <c r="CI79" i="7"/>
  <c r="CI80" i="7" s="1"/>
  <c r="CH79" i="7"/>
  <c r="CH80" i="7" s="1"/>
  <c r="CH152" i="7" s="1"/>
  <c r="CG79" i="7"/>
  <c r="CF79" i="7"/>
  <c r="CE79" i="7"/>
  <c r="CE80" i="7" s="1"/>
  <c r="CD79" i="7"/>
  <c r="CD80" i="7" s="1"/>
  <c r="CC79" i="7"/>
  <c r="CB79" i="7"/>
  <c r="CB80" i="7" s="1"/>
  <c r="CA79" i="7"/>
  <c r="CA80" i="7" s="1"/>
  <c r="BZ79" i="7"/>
  <c r="BZ80" i="7" s="1"/>
  <c r="BY79" i="7"/>
  <c r="BY80" i="7" s="1"/>
  <c r="BY152" i="7" s="1"/>
  <c r="BX79" i="7"/>
  <c r="BX80" i="7" s="1"/>
  <c r="BW79" i="7"/>
  <c r="BW80" i="7" s="1"/>
  <c r="BW152" i="7" s="1"/>
  <c r="CT152" i="7" l="1"/>
  <c r="CD152" i="7"/>
  <c r="CL152" i="7"/>
  <c r="DB152" i="7"/>
  <c r="BZ152" i="7"/>
  <c r="BZ81" i="7"/>
  <c r="DF152" i="7"/>
  <c r="DN152" i="7"/>
  <c r="DD152" i="7"/>
  <c r="CZ152" i="7"/>
  <c r="CV152" i="7"/>
  <c r="CR152" i="7"/>
  <c r="CN152" i="7"/>
  <c r="CJ152" i="7"/>
  <c r="CF152" i="7"/>
  <c r="CB152" i="7"/>
  <c r="BX152" i="7"/>
  <c r="DQ81" i="7"/>
  <c r="DI81" i="7"/>
  <c r="DI82" i="7" s="1"/>
  <c r="DI83" i="7" s="1"/>
  <c r="BW81" i="7"/>
  <c r="CX81" i="7"/>
  <c r="EG81" i="7"/>
  <c r="CH81" i="7"/>
  <c r="CP81" i="7"/>
  <c r="EM81" i="7"/>
  <c r="EE81" i="7"/>
  <c r="DW81" i="7"/>
  <c r="DO81" i="7"/>
  <c r="DG81" i="7"/>
  <c r="EK81" i="7"/>
  <c r="EC81" i="7"/>
  <c r="EC82" i="7" s="1"/>
  <c r="DU81" i="7"/>
  <c r="DM81" i="7"/>
  <c r="EI81" i="7"/>
  <c r="EA81" i="7"/>
  <c r="DS81" i="7"/>
  <c r="CJ81" i="7"/>
  <c r="DB81" i="7"/>
  <c r="CT81" i="7"/>
  <c r="CL81" i="7"/>
  <c r="CD81" i="7"/>
  <c r="CR81" i="7"/>
  <c r="CB81" i="7"/>
  <c r="CB82" i="7" s="1"/>
  <c r="CZ81" i="7"/>
  <c r="DD81" i="7"/>
  <c r="DD82" i="7" s="1"/>
  <c r="CV81" i="7"/>
  <c r="CV82" i="7" s="1"/>
  <c r="CN81" i="7"/>
  <c r="CF81" i="7"/>
  <c r="CF82" i="7" s="1"/>
  <c r="BX81" i="7"/>
  <c r="BX82" i="7" s="1"/>
  <c r="DQ82" i="7"/>
  <c r="DK82" i="7"/>
  <c r="EL81" i="7"/>
  <c r="EH81" i="7"/>
  <c r="ED81" i="7"/>
  <c r="DZ81" i="7"/>
  <c r="DV81" i="7"/>
  <c r="DR81" i="7"/>
  <c r="DN81" i="7"/>
  <c r="DJ81" i="7"/>
  <c r="DF81" i="7"/>
  <c r="EG82" i="7"/>
  <c r="DY82" i="7"/>
  <c r="EN81" i="7"/>
  <c r="EJ81" i="7"/>
  <c r="EF81" i="7"/>
  <c r="EB81" i="7"/>
  <c r="DX81" i="7"/>
  <c r="DT81" i="7"/>
  <c r="DP81" i="7"/>
  <c r="DL81" i="7"/>
  <c r="DH81" i="7"/>
  <c r="CR82" i="7"/>
  <c r="DC152" i="7"/>
  <c r="DC81" i="7"/>
  <c r="CY152" i="7"/>
  <c r="CY81" i="7"/>
  <c r="CU152" i="7"/>
  <c r="CU81" i="7"/>
  <c r="CQ152" i="7"/>
  <c r="CQ81" i="7"/>
  <c r="CM152" i="7"/>
  <c r="CM81" i="7"/>
  <c r="CI152" i="7"/>
  <c r="CI81" i="7"/>
  <c r="CE152" i="7"/>
  <c r="CE81" i="7"/>
  <c r="CA152" i="7"/>
  <c r="CA81" i="7"/>
  <c r="DE81" i="7"/>
  <c r="DA81" i="7"/>
  <c r="CW81" i="7"/>
  <c r="CS81" i="7"/>
  <c r="CO81" i="7"/>
  <c r="CK81" i="7"/>
  <c r="CG81" i="7"/>
  <c r="CC81" i="7"/>
  <c r="BY81" i="7"/>
  <c r="AJ152" i="7"/>
  <c r="AK152" i="7"/>
  <c r="AL152" i="7"/>
  <c r="DG152" i="7" s="1"/>
  <c r="AM152" i="7"/>
  <c r="DH152" i="7" s="1"/>
  <c r="AN152" i="7"/>
  <c r="DI152" i="7" s="1"/>
  <c r="AO152" i="7"/>
  <c r="DJ152" i="7" s="1"/>
  <c r="AP152" i="7"/>
  <c r="DK152" i="7" s="1"/>
  <c r="AQ152" i="7"/>
  <c r="DL152" i="7" s="1"/>
  <c r="AR152" i="7"/>
  <c r="DM152" i="7" s="1"/>
  <c r="AS152" i="7"/>
  <c r="AT152" i="7"/>
  <c r="DO152" i="7" s="1"/>
  <c r="AU152" i="7"/>
  <c r="DP152" i="7" s="1"/>
  <c r="AV152" i="7"/>
  <c r="DQ152" i="7" s="1"/>
  <c r="AW152" i="7"/>
  <c r="DR152" i="7" s="1"/>
  <c r="AX152" i="7"/>
  <c r="DS152" i="7" s="1"/>
  <c r="AY152" i="7"/>
  <c r="DT152" i="7" s="1"/>
  <c r="AZ152" i="7"/>
  <c r="DU152" i="7" s="1"/>
  <c r="BA152" i="7"/>
  <c r="DV152" i="7" s="1"/>
  <c r="BB152" i="7"/>
  <c r="DW152" i="7" s="1"/>
  <c r="BC152" i="7"/>
  <c r="DX152" i="7" s="1"/>
  <c r="BD152" i="7"/>
  <c r="DY152" i="7" s="1"/>
  <c r="BE152" i="7"/>
  <c r="DZ152" i="7" s="1"/>
  <c r="BF152" i="7"/>
  <c r="EA152" i="7" s="1"/>
  <c r="BG152" i="7"/>
  <c r="EB152" i="7" s="1"/>
  <c r="BH152" i="7"/>
  <c r="EC152" i="7" s="1"/>
  <c r="BI152" i="7"/>
  <c r="ED152" i="7" s="1"/>
  <c r="BJ152" i="7"/>
  <c r="EE152" i="7" s="1"/>
  <c r="BK152" i="7"/>
  <c r="EF152" i="7" s="1"/>
  <c r="BL152" i="7"/>
  <c r="EG152" i="7" s="1"/>
  <c r="BM152" i="7"/>
  <c r="EH152" i="7" s="1"/>
  <c r="BN152" i="7"/>
  <c r="EI152" i="7" s="1"/>
  <c r="BO152" i="7"/>
  <c r="EJ152" i="7" s="1"/>
  <c r="BP152" i="7"/>
  <c r="EK152" i="7" s="1"/>
  <c r="BQ152" i="7"/>
  <c r="EL152" i="7" s="1"/>
  <c r="BR152" i="7"/>
  <c r="EM152" i="7" s="1"/>
  <c r="BS152" i="7"/>
  <c r="EN152" i="7" s="1"/>
  <c r="C153" i="7"/>
  <c r="BX153" i="7" s="1"/>
  <c r="D153" i="7"/>
  <c r="E153" i="7"/>
  <c r="F153" i="7"/>
  <c r="G153" i="7"/>
  <c r="CB153" i="7" s="1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AN153" i="7"/>
  <c r="DI153" i="7" s="1"/>
  <c r="AO153" i="7"/>
  <c r="AP153" i="7"/>
  <c r="DK153" i="7" s="1"/>
  <c r="AQ153" i="7"/>
  <c r="AR153" i="7"/>
  <c r="AS153" i="7"/>
  <c r="AT153" i="7"/>
  <c r="AU153" i="7"/>
  <c r="AV153" i="7"/>
  <c r="AW153" i="7"/>
  <c r="AX153" i="7"/>
  <c r="AY153" i="7"/>
  <c r="AZ153" i="7"/>
  <c r="BA153" i="7"/>
  <c r="BB153" i="7"/>
  <c r="BC153" i="7"/>
  <c r="BD153" i="7"/>
  <c r="DY153" i="7" s="1"/>
  <c r="BE153" i="7"/>
  <c r="BF153" i="7"/>
  <c r="BG153" i="7"/>
  <c r="BH153" i="7"/>
  <c r="BI153" i="7"/>
  <c r="BJ153" i="7"/>
  <c r="BK153" i="7"/>
  <c r="BL153" i="7"/>
  <c r="BM153" i="7"/>
  <c r="BN153" i="7"/>
  <c r="BO153" i="7"/>
  <c r="BP153" i="7"/>
  <c r="BQ153" i="7"/>
  <c r="BR153" i="7"/>
  <c r="BS153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AN154" i="7"/>
  <c r="DI154" i="7" s="1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BB154" i="7"/>
  <c r="BC154" i="7"/>
  <c r="BD154" i="7"/>
  <c r="BE154" i="7"/>
  <c r="BF154" i="7"/>
  <c r="BG154" i="7"/>
  <c r="BH154" i="7"/>
  <c r="BI154" i="7"/>
  <c r="BJ154" i="7"/>
  <c r="BK154" i="7"/>
  <c r="BL154" i="7"/>
  <c r="BM154" i="7"/>
  <c r="BN154" i="7"/>
  <c r="BO154" i="7"/>
  <c r="BP154" i="7"/>
  <c r="BQ154" i="7"/>
  <c r="BR154" i="7"/>
  <c r="BS154" i="7"/>
  <c r="C155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AN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BB155" i="7"/>
  <c r="BC155" i="7"/>
  <c r="BD155" i="7"/>
  <c r="BE155" i="7"/>
  <c r="BF155" i="7"/>
  <c r="BG155" i="7"/>
  <c r="BH155" i="7"/>
  <c r="BI155" i="7"/>
  <c r="BJ155" i="7"/>
  <c r="BK155" i="7"/>
  <c r="BL155" i="7"/>
  <c r="BM155" i="7"/>
  <c r="BN155" i="7"/>
  <c r="BO155" i="7"/>
  <c r="BP155" i="7"/>
  <c r="BQ155" i="7"/>
  <c r="BR155" i="7"/>
  <c r="BS155" i="7"/>
  <c r="C156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AN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BB156" i="7"/>
  <c r="BC156" i="7"/>
  <c r="BD156" i="7"/>
  <c r="BE156" i="7"/>
  <c r="BF156" i="7"/>
  <c r="BG156" i="7"/>
  <c r="BH156" i="7"/>
  <c r="BI156" i="7"/>
  <c r="BJ156" i="7"/>
  <c r="BK156" i="7"/>
  <c r="BL156" i="7"/>
  <c r="BM156" i="7"/>
  <c r="BN156" i="7"/>
  <c r="BO156" i="7"/>
  <c r="BP156" i="7"/>
  <c r="BQ156" i="7"/>
  <c r="BR156" i="7"/>
  <c r="BS156" i="7"/>
  <c r="C157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AN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BB157" i="7"/>
  <c r="BC157" i="7"/>
  <c r="BD157" i="7"/>
  <c r="BE157" i="7"/>
  <c r="BF157" i="7"/>
  <c r="BG157" i="7"/>
  <c r="BH157" i="7"/>
  <c r="BI157" i="7"/>
  <c r="BJ157" i="7"/>
  <c r="BK157" i="7"/>
  <c r="BL157" i="7"/>
  <c r="BM157" i="7"/>
  <c r="BN157" i="7"/>
  <c r="BO157" i="7"/>
  <c r="BP157" i="7"/>
  <c r="BQ157" i="7"/>
  <c r="BR157" i="7"/>
  <c r="BS157" i="7"/>
  <c r="C158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AN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BB158" i="7"/>
  <c r="BC158" i="7"/>
  <c r="BD158" i="7"/>
  <c r="BE158" i="7"/>
  <c r="BF158" i="7"/>
  <c r="BG158" i="7"/>
  <c r="BH158" i="7"/>
  <c r="BI158" i="7"/>
  <c r="BJ158" i="7"/>
  <c r="BK158" i="7"/>
  <c r="BL158" i="7"/>
  <c r="BM158" i="7"/>
  <c r="BN158" i="7"/>
  <c r="BO158" i="7"/>
  <c r="BP158" i="7"/>
  <c r="BQ158" i="7"/>
  <c r="BR158" i="7"/>
  <c r="BS158" i="7"/>
  <c r="C159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AN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BB159" i="7"/>
  <c r="BC159" i="7"/>
  <c r="BD159" i="7"/>
  <c r="BE159" i="7"/>
  <c r="BF159" i="7"/>
  <c r="BG159" i="7"/>
  <c r="BH159" i="7"/>
  <c r="BI159" i="7"/>
  <c r="BJ159" i="7"/>
  <c r="BK159" i="7"/>
  <c r="BL159" i="7"/>
  <c r="BM159" i="7"/>
  <c r="BN159" i="7"/>
  <c r="BO159" i="7"/>
  <c r="BP159" i="7"/>
  <c r="BQ159" i="7"/>
  <c r="BR159" i="7"/>
  <c r="BS159" i="7"/>
  <c r="C160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AN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BB160" i="7"/>
  <c r="BC160" i="7"/>
  <c r="BD160" i="7"/>
  <c r="BE160" i="7"/>
  <c r="BF160" i="7"/>
  <c r="BG160" i="7"/>
  <c r="BH160" i="7"/>
  <c r="BI160" i="7"/>
  <c r="BJ160" i="7"/>
  <c r="BK160" i="7"/>
  <c r="BL160" i="7"/>
  <c r="BM160" i="7"/>
  <c r="BN160" i="7"/>
  <c r="BO160" i="7"/>
  <c r="BP160" i="7"/>
  <c r="BQ160" i="7"/>
  <c r="BR160" i="7"/>
  <c r="BS160" i="7"/>
  <c r="C161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AN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BB161" i="7"/>
  <c r="BC161" i="7"/>
  <c r="BD161" i="7"/>
  <c r="BE161" i="7"/>
  <c r="BF161" i="7"/>
  <c r="BG161" i="7"/>
  <c r="BH161" i="7"/>
  <c r="BI161" i="7"/>
  <c r="BJ161" i="7"/>
  <c r="BK161" i="7"/>
  <c r="BL161" i="7"/>
  <c r="BM161" i="7"/>
  <c r="BN161" i="7"/>
  <c r="BO161" i="7"/>
  <c r="BP161" i="7"/>
  <c r="BQ161" i="7"/>
  <c r="BR161" i="7"/>
  <c r="BS161" i="7"/>
  <c r="C162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AN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BB162" i="7"/>
  <c r="BC162" i="7"/>
  <c r="BD162" i="7"/>
  <c r="BE162" i="7"/>
  <c r="BF162" i="7"/>
  <c r="BG162" i="7"/>
  <c r="BH162" i="7"/>
  <c r="BI162" i="7"/>
  <c r="BJ162" i="7"/>
  <c r="BK162" i="7"/>
  <c r="BL162" i="7"/>
  <c r="BM162" i="7"/>
  <c r="BN162" i="7"/>
  <c r="BO162" i="7"/>
  <c r="BP162" i="7"/>
  <c r="BQ162" i="7"/>
  <c r="BR162" i="7"/>
  <c r="BS162" i="7"/>
  <c r="C163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AN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BB163" i="7"/>
  <c r="BC163" i="7"/>
  <c r="BD163" i="7"/>
  <c r="BE163" i="7"/>
  <c r="BF163" i="7"/>
  <c r="BG163" i="7"/>
  <c r="BH163" i="7"/>
  <c r="BI163" i="7"/>
  <c r="BJ163" i="7"/>
  <c r="BK163" i="7"/>
  <c r="BL163" i="7"/>
  <c r="BM163" i="7"/>
  <c r="BN163" i="7"/>
  <c r="BO163" i="7"/>
  <c r="BP163" i="7"/>
  <c r="BQ163" i="7"/>
  <c r="BR163" i="7"/>
  <c r="BS163" i="7"/>
  <c r="C164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AN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BB164" i="7"/>
  <c r="BC164" i="7"/>
  <c r="BD164" i="7"/>
  <c r="BE164" i="7"/>
  <c r="BF164" i="7"/>
  <c r="BG164" i="7"/>
  <c r="BH164" i="7"/>
  <c r="BI164" i="7"/>
  <c r="BJ164" i="7"/>
  <c r="BK164" i="7"/>
  <c r="BL164" i="7"/>
  <c r="BM164" i="7"/>
  <c r="BN164" i="7"/>
  <c r="BO164" i="7"/>
  <c r="BP164" i="7"/>
  <c r="BQ164" i="7"/>
  <c r="BR164" i="7"/>
  <c r="BS164" i="7"/>
  <c r="C165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AN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BB165" i="7"/>
  <c r="BC165" i="7"/>
  <c r="BD165" i="7"/>
  <c r="BE165" i="7"/>
  <c r="BF165" i="7"/>
  <c r="BG165" i="7"/>
  <c r="BH165" i="7"/>
  <c r="BI165" i="7"/>
  <c r="BJ165" i="7"/>
  <c r="BK165" i="7"/>
  <c r="BL165" i="7"/>
  <c r="BM165" i="7"/>
  <c r="BN165" i="7"/>
  <c r="BO165" i="7"/>
  <c r="BP165" i="7"/>
  <c r="BQ165" i="7"/>
  <c r="BR165" i="7"/>
  <c r="BS165" i="7"/>
  <c r="C166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AN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BB166" i="7"/>
  <c r="BC166" i="7"/>
  <c r="BD166" i="7"/>
  <c r="BE166" i="7"/>
  <c r="BF166" i="7"/>
  <c r="BG166" i="7"/>
  <c r="BH166" i="7"/>
  <c r="BI166" i="7"/>
  <c r="BJ166" i="7"/>
  <c r="BK166" i="7"/>
  <c r="BL166" i="7"/>
  <c r="BM166" i="7"/>
  <c r="BN166" i="7"/>
  <c r="BO166" i="7"/>
  <c r="BP166" i="7"/>
  <c r="BQ166" i="7"/>
  <c r="BR166" i="7"/>
  <c r="BS166" i="7"/>
  <c r="C167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AN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BB167" i="7"/>
  <c r="BC167" i="7"/>
  <c r="BD167" i="7"/>
  <c r="BE167" i="7"/>
  <c r="BF167" i="7"/>
  <c r="BG167" i="7"/>
  <c r="BH167" i="7"/>
  <c r="BI167" i="7"/>
  <c r="BJ167" i="7"/>
  <c r="BK167" i="7"/>
  <c r="BL167" i="7"/>
  <c r="BM167" i="7"/>
  <c r="BN167" i="7"/>
  <c r="BO167" i="7"/>
  <c r="BP167" i="7"/>
  <c r="BQ167" i="7"/>
  <c r="BR167" i="7"/>
  <c r="BS167" i="7"/>
  <c r="C168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AN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BB168" i="7"/>
  <c r="BC168" i="7"/>
  <c r="BD168" i="7"/>
  <c r="BE168" i="7"/>
  <c r="BF168" i="7"/>
  <c r="BG168" i="7"/>
  <c r="BH168" i="7"/>
  <c r="BI168" i="7"/>
  <c r="BJ168" i="7"/>
  <c r="BK168" i="7"/>
  <c r="BL168" i="7"/>
  <c r="BM168" i="7"/>
  <c r="BN168" i="7"/>
  <c r="BO168" i="7"/>
  <c r="BP168" i="7"/>
  <c r="BQ168" i="7"/>
  <c r="BR168" i="7"/>
  <c r="BS168" i="7"/>
  <c r="C169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AN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BB169" i="7"/>
  <c r="BC169" i="7"/>
  <c r="BD169" i="7"/>
  <c r="BE169" i="7"/>
  <c r="BF169" i="7"/>
  <c r="BG169" i="7"/>
  <c r="BH169" i="7"/>
  <c r="BI169" i="7"/>
  <c r="BJ169" i="7"/>
  <c r="BK169" i="7"/>
  <c r="BL169" i="7"/>
  <c r="BM169" i="7"/>
  <c r="BN169" i="7"/>
  <c r="BO169" i="7"/>
  <c r="BP169" i="7"/>
  <c r="BQ169" i="7"/>
  <c r="BR169" i="7"/>
  <c r="BS169" i="7"/>
  <c r="C170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AN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BB170" i="7"/>
  <c r="BC170" i="7"/>
  <c r="BD170" i="7"/>
  <c r="BE170" i="7"/>
  <c r="BF170" i="7"/>
  <c r="BG170" i="7"/>
  <c r="BH170" i="7"/>
  <c r="BI170" i="7"/>
  <c r="BJ170" i="7"/>
  <c r="BK170" i="7"/>
  <c r="BL170" i="7"/>
  <c r="BM170" i="7"/>
  <c r="BN170" i="7"/>
  <c r="BO170" i="7"/>
  <c r="BP170" i="7"/>
  <c r="BQ170" i="7"/>
  <c r="BR170" i="7"/>
  <c r="BS170" i="7"/>
  <c r="C171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AN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BB171" i="7"/>
  <c r="BC171" i="7"/>
  <c r="BD171" i="7"/>
  <c r="BE171" i="7"/>
  <c r="BF171" i="7"/>
  <c r="BG171" i="7"/>
  <c r="BH171" i="7"/>
  <c r="BI171" i="7"/>
  <c r="BJ171" i="7"/>
  <c r="BK171" i="7"/>
  <c r="BL171" i="7"/>
  <c r="BM171" i="7"/>
  <c r="BN171" i="7"/>
  <c r="BO171" i="7"/>
  <c r="BP171" i="7"/>
  <c r="BQ171" i="7"/>
  <c r="BR171" i="7"/>
  <c r="BS171" i="7"/>
  <c r="C172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AN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BB172" i="7"/>
  <c r="BC172" i="7"/>
  <c r="BD172" i="7"/>
  <c r="BE172" i="7"/>
  <c r="BF172" i="7"/>
  <c r="BG172" i="7"/>
  <c r="BH172" i="7"/>
  <c r="BI172" i="7"/>
  <c r="BJ172" i="7"/>
  <c r="BK172" i="7"/>
  <c r="BL172" i="7"/>
  <c r="BM172" i="7"/>
  <c r="BN172" i="7"/>
  <c r="BO172" i="7"/>
  <c r="BP172" i="7"/>
  <c r="BQ172" i="7"/>
  <c r="BR172" i="7"/>
  <c r="BS172" i="7"/>
  <c r="C173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AN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BB173" i="7"/>
  <c r="BC173" i="7"/>
  <c r="BD173" i="7"/>
  <c r="BE173" i="7"/>
  <c r="BF173" i="7"/>
  <c r="BG173" i="7"/>
  <c r="BH173" i="7"/>
  <c r="BI173" i="7"/>
  <c r="BJ173" i="7"/>
  <c r="BK173" i="7"/>
  <c r="BL173" i="7"/>
  <c r="BM173" i="7"/>
  <c r="BN173" i="7"/>
  <c r="BO173" i="7"/>
  <c r="BP173" i="7"/>
  <c r="BQ173" i="7"/>
  <c r="BR173" i="7"/>
  <c r="BS173" i="7"/>
  <c r="C174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AN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BB174" i="7"/>
  <c r="BC174" i="7"/>
  <c r="BD174" i="7"/>
  <c r="BE174" i="7"/>
  <c r="BF174" i="7"/>
  <c r="BG174" i="7"/>
  <c r="BH174" i="7"/>
  <c r="BI174" i="7"/>
  <c r="BJ174" i="7"/>
  <c r="BK174" i="7"/>
  <c r="BL174" i="7"/>
  <c r="BM174" i="7"/>
  <c r="BN174" i="7"/>
  <c r="BO174" i="7"/>
  <c r="BP174" i="7"/>
  <c r="BQ174" i="7"/>
  <c r="BR174" i="7"/>
  <c r="BS174" i="7"/>
  <c r="C175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AN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BB175" i="7"/>
  <c r="BC175" i="7"/>
  <c r="BD175" i="7"/>
  <c r="BE175" i="7"/>
  <c r="BF175" i="7"/>
  <c r="BG175" i="7"/>
  <c r="BH175" i="7"/>
  <c r="BI175" i="7"/>
  <c r="BJ175" i="7"/>
  <c r="BK175" i="7"/>
  <c r="BL175" i="7"/>
  <c r="BM175" i="7"/>
  <c r="BN175" i="7"/>
  <c r="BO175" i="7"/>
  <c r="BP175" i="7"/>
  <c r="BQ175" i="7"/>
  <c r="BR175" i="7"/>
  <c r="BS175" i="7"/>
  <c r="C176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AN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BB176" i="7"/>
  <c r="BC176" i="7"/>
  <c r="BD176" i="7"/>
  <c r="BE176" i="7"/>
  <c r="BF176" i="7"/>
  <c r="BG176" i="7"/>
  <c r="BH176" i="7"/>
  <c r="BI176" i="7"/>
  <c r="BJ176" i="7"/>
  <c r="BK176" i="7"/>
  <c r="BL176" i="7"/>
  <c r="BM176" i="7"/>
  <c r="BN176" i="7"/>
  <c r="BO176" i="7"/>
  <c r="BP176" i="7"/>
  <c r="BQ176" i="7"/>
  <c r="BR176" i="7"/>
  <c r="BS176" i="7"/>
  <c r="C177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AN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BB177" i="7"/>
  <c r="BC177" i="7"/>
  <c r="BD177" i="7"/>
  <c r="BE177" i="7"/>
  <c r="BF177" i="7"/>
  <c r="BG177" i="7"/>
  <c r="BH177" i="7"/>
  <c r="BI177" i="7"/>
  <c r="BJ177" i="7"/>
  <c r="BK177" i="7"/>
  <c r="BL177" i="7"/>
  <c r="BM177" i="7"/>
  <c r="BN177" i="7"/>
  <c r="BO177" i="7"/>
  <c r="BP177" i="7"/>
  <c r="BQ177" i="7"/>
  <c r="BR177" i="7"/>
  <c r="BS177" i="7"/>
  <c r="C178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AN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BB178" i="7"/>
  <c r="BC178" i="7"/>
  <c r="BD178" i="7"/>
  <c r="BE178" i="7"/>
  <c r="BF178" i="7"/>
  <c r="BG178" i="7"/>
  <c r="BH178" i="7"/>
  <c r="BI178" i="7"/>
  <c r="BJ178" i="7"/>
  <c r="BK178" i="7"/>
  <c r="BL178" i="7"/>
  <c r="BM178" i="7"/>
  <c r="BN178" i="7"/>
  <c r="BO178" i="7"/>
  <c r="BP178" i="7"/>
  <c r="BQ178" i="7"/>
  <c r="BR178" i="7"/>
  <c r="BS178" i="7"/>
  <c r="C179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AN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BB179" i="7"/>
  <c r="BC179" i="7"/>
  <c r="BD179" i="7"/>
  <c r="BE179" i="7"/>
  <c r="BF179" i="7"/>
  <c r="BG179" i="7"/>
  <c r="BH179" i="7"/>
  <c r="BI179" i="7"/>
  <c r="BJ179" i="7"/>
  <c r="BK179" i="7"/>
  <c r="BL179" i="7"/>
  <c r="BM179" i="7"/>
  <c r="BN179" i="7"/>
  <c r="BO179" i="7"/>
  <c r="BP179" i="7"/>
  <c r="BQ179" i="7"/>
  <c r="BR179" i="7"/>
  <c r="BS179" i="7"/>
  <c r="C180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AN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BB180" i="7"/>
  <c r="BC180" i="7"/>
  <c r="BD180" i="7"/>
  <c r="BE180" i="7"/>
  <c r="BF180" i="7"/>
  <c r="BG180" i="7"/>
  <c r="BH180" i="7"/>
  <c r="BI180" i="7"/>
  <c r="BJ180" i="7"/>
  <c r="BK180" i="7"/>
  <c r="BL180" i="7"/>
  <c r="BM180" i="7"/>
  <c r="BN180" i="7"/>
  <c r="BO180" i="7"/>
  <c r="BP180" i="7"/>
  <c r="BQ180" i="7"/>
  <c r="BR180" i="7"/>
  <c r="BS180" i="7"/>
  <c r="C181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AN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BB181" i="7"/>
  <c r="BC181" i="7"/>
  <c r="BD181" i="7"/>
  <c r="BE181" i="7"/>
  <c r="BF181" i="7"/>
  <c r="BG181" i="7"/>
  <c r="BH181" i="7"/>
  <c r="BI181" i="7"/>
  <c r="BJ181" i="7"/>
  <c r="BK181" i="7"/>
  <c r="BL181" i="7"/>
  <c r="BM181" i="7"/>
  <c r="BN181" i="7"/>
  <c r="BO181" i="7"/>
  <c r="BP181" i="7"/>
  <c r="BQ181" i="7"/>
  <c r="BR181" i="7"/>
  <c r="BS181" i="7"/>
  <c r="C182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AN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BB182" i="7"/>
  <c r="BC182" i="7"/>
  <c r="BD182" i="7"/>
  <c r="BE182" i="7"/>
  <c r="BF182" i="7"/>
  <c r="BG182" i="7"/>
  <c r="BH182" i="7"/>
  <c r="BI182" i="7"/>
  <c r="BJ182" i="7"/>
  <c r="BK182" i="7"/>
  <c r="BL182" i="7"/>
  <c r="BM182" i="7"/>
  <c r="BN182" i="7"/>
  <c r="BO182" i="7"/>
  <c r="BP182" i="7"/>
  <c r="BQ182" i="7"/>
  <c r="BR182" i="7"/>
  <c r="BS182" i="7"/>
  <c r="C183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AN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BB183" i="7"/>
  <c r="BC183" i="7"/>
  <c r="BD183" i="7"/>
  <c r="BE183" i="7"/>
  <c r="BF183" i="7"/>
  <c r="BG183" i="7"/>
  <c r="BH183" i="7"/>
  <c r="BI183" i="7"/>
  <c r="BJ183" i="7"/>
  <c r="BK183" i="7"/>
  <c r="BL183" i="7"/>
  <c r="BM183" i="7"/>
  <c r="BN183" i="7"/>
  <c r="BO183" i="7"/>
  <c r="BP183" i="7"/>
  <c r="BQ183" i="7"/>
  <c r="BR183" i="7"/>
  <c r="BS183" i="7"/>
  <c r="C184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AN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BB184" i="7"/>
  <c r="BC184" i="7"/>
  <c r="BD184" i="7"/>
  <c r="BE184" i="7"/>
  <c r="BF184" i="7"/>
  <c r="BG184" i="7"/>
  <c r="BH184" i="7"/>
  <c r="BI184" i="7"/>
  <c r="BJ184" i="7"/>
  <c r="BK184" i="7"/>
  <c r="BL184" i="7"/>
  <c r="BM184" i="7"/>
  <c r="BN184" i="7"/>
  <c r="BO184" i="7"/>
  <c r="BP184" i="7"/>
  <c r="BQ184" i="7"/>
  <c r="BR184" i="7"/>
  <c r="BS184" i="7"/>
  <c r="C185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AN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BB185" i="7"/>
  <c r="BC185" i="7"/>
  <c r="BD185" i="7"/>
  <c r="BE185" i="7"/>
  <c r="BF185" i="7"/>
  <c r="BG185" i="7"/>
  <c r="BH185" i="7"/>
  <c r="BI185" i="7"/>
  <c r="BJ185" i="7"/>
  <c r="BK185" i="7"/>
  <c r="BL185" i="7"/>
  <c r="BM185" i="7"/>
  <c r="BN185" i="7"/>
  <c r="BO185" i="7"/>
  <c r="BP185" i="7"/>
  <c r="BQ185" i="7"/>
  <c r="BR185" i="7"/>
  <c r="BS185" i="7"/>
  <c r="C186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AN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BB186" i="7"/>
  <c r="BC186" i="7"/>
  <c r="BD186" i="7"/>
  <c r="BE186" i="7"/>
  <c r="BF186" i="7"/>
  <c r="BG186" i="7"/>
  <c r="BH186" i="7"/>
  <c r="BI186" i="7"/>
  <c r="BJ186" i="7"/>
  <c r="BK186" i="7"/>
  <c r="BL186" i="7"/>
  <c r="BM186" i="7"/>
  <c r="BN186" i="7"/>
  <c r="BO186" i="7"/>
  <c r="BP186" i="7"/>
  <c r="BQ186" i="7"/>
  <c r="BR186" i="7"/>
  <c r="BS186" i="7"/>
  <c r="C187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AN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BB187" i="7"/>
  <c r="BC187" i="7"/>
  <c r="BD187" i="7"/>
  <c r="BE187" i="7"/>
  <c r="BF187" i="7"/>
  <c r="BG187" i="7"/>
  <c r="BH187" i="7"/>
  <c r="BI187" i="7"/>
  <c r="BJ187" i="7"/>
  <c r="BK187" i="7"/>
  <c r="BL187" i="7"/>
  <c r="BM187" i="7"/>
  <c r="BN187" i="7"/>
  <c r="BO187" i="7"/>
  <c r="BP187" i="7"/>
  <c r="BQ187" i="7"/>
  <c r="BR187" i="7"/>
  <c r="BS187" i="7"/>
  <c r="C188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AN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BB188" i="7"/>
  <c r="BC188" i="7"/>
  <c r="BD188" i="7"/>
  <c r="BE188" i="7"/>
  <c r="BF188" i="7"/>
  <c r="BG188" i="7"/>
  <c r="BH188" i="7"/>
  <c r="BI188" i="7"/>
  <c r="BJ188" i="7"/>
  <c r="BK188" i="7"/>
  <c r="BL188" i="7"/>
  <c r="BM188" i="7"/>
  <c r="BN188" i="7"/>
  <c r="BO188" i="7"/>
  <c r="BP188" i="7"/>
  <c r="BQ188" i="7"/>
  <c r="BR188" i="7"/>
  <c r="BS188" i="7"/>
  <c r="C189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AN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BB189" i="7"/>
  <c r="BC189" i="7"/>
  <c r="BD189" i="7"/>
  <c r="BE189" i="7"/>
  <c r="BF189" i="7"/>
  <c r="BG189" i="7"/>
  <c r="BH189" i="7"/>
  <c r="BI189" i="7"/>
  <c r="BJ189" i="7"/>
  <c r="BK189" i="7"/>
  <c r="BL189" i="7"/>
  <c r="BM189" i="7"/>
  <c r="BN189" i="7"/>
  <c r="BO189" i="7"/>
  <c r="BP189" i="7"/>
  <c r="BQ189" i="7"/>
  <c r="BR189" i="7"/>
  <c r="BS189" i="7"/>
  <c r="C190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AN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BB190" i="7"/>
  <c r="BC190" i="7"/>
  <c r="BD190" i="7"/>
  <c r="BE190" i="7"/>
  <c r="BF190" i="7"/>
  <c r="BG190" i="7"/>
  <c r="BH190" i="7"/>
  <c r="BI190" i="7"/>
  <c r="BJ190" i="7"/>
  <c r="BK190" i="7"/>
  <c r="BL190" i="7"/>
  <c r="BM190" i="7"/>
  <c r="BN190" i="7"/>
  <c r="BO190" i="7"/>
  <c r="BP190" i="7"/>
  <c r="BQ190" i="7"/>
  <c r="BR190" i="7"/>
  <c r="BS190" i="7"/>
  <c r="C191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AN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BB191" i="7"/>
  <c r="BC191" i="7"/>
  <c r="BD191" i="7"/>
  <c r="BE191" i="7"/>
  <c r="BF191" i="7"/>
  <c r="BG191" i="7"/>
  <c r="BH191" i="7"/>
  <c r="BI191" i="7"/>
  <c r="BJ191" i="7"/>
  <c r="BK191" i="7"/>
  <c r="BL191" i="7"/>
  <c r="BM191" i="7"/>
  <c r="BN191" i="7"/>
  <c r="BO191" i="7"/>
  <c r="BP191" i="7"/>
  <c r="BQ191" i="7"/>
  <c r="BR191" i="7"/>
  <c r="BS191" i="7"/>
  <c r="C192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AN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BB192" i="7"/>
  <c r="BC192" i="7"/>
  <c r="BD192" i="7"/>
  <c r="BE192" i="7"/>
  <c r="BF192" i="7"/>
  <c r="BG192" i="7"/>
  <c r="BH192" i="7"/>
  <c r="BI192" i="7"/>
  <c r="BJ192" i="7"/>
  <c r="BK192" i="7"/>
  <c r="BL192" i="7"/>
  <c r="BM192" i="7"/>
  <c r="BN192" i="7"/>
  <c r="BO192" i="7"/>
  <c r="BP192" i="7"/>
  <c r="BQ192" i="7"/>
  <c r="BR192" i="7"/>
  <c r="BS192" i="7"/>
  <c r="C193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AN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BB193" i="7"/>
  <c r="BC193" i="7"/>
  <c r="BD193" i="7"/>
  <c r="BE193" i="7"/>
  <c r="BF193" i="7"/>
  <c r="BG193" i="7"/>
  <c r="BH193" i="7"/>
  <c r="BI193" i="7"/>
  <c r="BJ193" i="7"/>
  <c r="BK193" i="7"/>
  <c r="BL193" i="7"/>
  <c r="BM193" i="7"/>
  <c r="BN193" i="7"/>
  <c r="BO193" i="7"/>
  <c r="BP193" i="7"/>
  <c r="BQ193" i="7"/>
  <c r="BR193" i="7"/>
  <c r="BS193" i="7"/>
  <c r="C194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AN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BB194" i="7"/>
  <c r="BC194" i="7"/>
  <c r="BD194" i="7"/>
  <c r="BE194" i="7"/>
  <c r="BF194" i="7"/>
  <c r="BG194" i="7"/>
  <c r="BH194" i="7"/>
  <c r="BI194" i="7"/>
  <c r="BJ194" i="7"/>
  <c r="BK194" i="7"/>
  <c r="BL194" i="7"/>
  <c r="BM194" i="7"/>
  <c r="BN194" i="7"/>
  <c r="BO194" i="7"/>
  <c r="BP194" i="7"/>
  <c r="BQ194" i="7"/>
  <c r="BR194" i="7"/>
  <c r="BS194" i="7"/>
  <c r="C195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AN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BB195" i="7"/>
  <c r="BC195" i="7"/>
  <c r="BD195" i="7"/>
  <c r="BE195" i="7"/>
  <c r="BF195" i="7"/>
  <c r="BG195" i="7"/>
  <c r="BH195" i="7"/>
  <c r="BI195" i="7"/>
  <c r="BJ195" i="7"/>
  <c r="BK195" i="7"/>
  <c r="BL195" i="7"/>
  <c r="BM195" i="7"/>
  <c r="BN195" i="7"/>
  <c r="BO195" i="7"/>
  <c r="BP195" i="7"/>
  <c r="BQ195" i="7"/>
  <c r="BR195" i="7"/>
  <c r="BS195" i="7"/>
  <c r="C196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AN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BB196" i="7"/>
  <c r="BC196" i="7"/>
  <c r="BD196" i="7"/>
  <c r="BE196" i="7"/>
  <c r="BF196" i="7"/>
  <c r="BG196" i="7"/>
  <c r="BH196" i="7"/>
  <c r="BI196" i="7"/>
  <c r="BJ196" i="7"/>
  <c r="BK196" i="7"/>
  <c r="BL196" i="7"/>
  <c r="BM196" i="7"/>
  <c r="BN196" i="7"/>
  <c r="BO196" i="7"/>
  <c r="BP196" i="7"/>
  <c r="BQ196" i="7"/>
  <c r="BR196" i="7"/>
  <c r="BS196" i="7"/>
  <c r="C197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AN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BB197" i="7"/>
  <c r="BC197" i="7"/>
  <c r="BD197" i="7"/>
  <c r="BE197" i="7"/>
  <c r="BF197" i="7"/>
  <c r="BG197" i="7"/>
  <c r="BH197" i="7"/>
  <c r="BI197" i="7"/>
  <c r="BJ197" i="7"/>
  <c r="BK197" i="7"/>
  <c r="BL197" i="7"/>
  <c r="BM197" i="7"/>
  <c r="BN197" i="7"/>
  <c r="BO197" i="7"/>
  <c r="BP197" i="7"/>
  <c r="BQ197" i="7"/>
  <c r="BR197" i="7"/>
  <c r="BS197" i="7"/>
  <c r="C198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AN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BB198" i="7"/>
  <c r="BC198" i="7"/>
  <c r="BD198" i="7"/>
  <c r="BE198" i="7"/>
  <c r="BF198" i="7"/>
  <c r="BG198" i="7"/>
  <c r="BH198" i="7"/>
  <c r="BI198" i="7"/>
  <c r="BJ198" i="7"/>
  <c r="BK198" i="7"/>
  <c r="BL198" i="7"/>
  <c r="BM198" i="7"/>
  <c r="BN198" i="7"/>
  <c r="BO198" i="7"/>
  <c r="BP198" i="7"/>
  <c r="BQ198" i="7"/>
  <c r="BR198" i="7"/>
  <c r="BS198" i="7"/>
  <c r="C199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AN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BB199" i="7"/>
  <c r="BC199" i="7"/>
  <c r="BD199" i="7"/>
  <c r="BE199" i="7"/>
  <c r="BF199" i="7"/>
  <c r="BG199" i="7"/>
  <c r="BH199" i="7"/>
  <c r="BI199" i="7"/>
  <c r="BJ199" i="7"/>
  <c r="BK199" i="7"/>
  <c r="BL199" i="7"/>
  <c r="BM199" i="7"/>
  <c r="BN199" i="7"/>
  <c r="BO199" i="7"/>
  <c r="BP199" i="7"/>
  <c r="BQ199" i="7"/>
  <c r="BR199" i="7"/>
  <c r="BS199" i="7"/>
  <c r="C200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AN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BB200" i="7"/>
  <c r="BC200" i="7"/>
  <c r="BD200" i="7"/>
  <c r="BE200" i="7"/>
  <c r="BF200" i="7"/>
  <c r="BG200" i="7"/>
  <c r="BH200" i="7"/>
  <c r="BI200" i="7"/>
  <c r="BJ200" i="7"/>
  <c r="BK200" i="7"/>
  <c r="BL200" i="7"/>
  <c r="BM200" i="7"/>
  <c r="BN200" i="7"/>
  <c r="BO200" i="7"/>
  <c r="BP200" i="7"/>
  <c r="BQ200" i="7"/>
  <c r="BR200" i="7"/>
  <c r="BS200" i="7"/>
  <c r="C201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AN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BB201" i="7"/>
  <c r="BC201" i="7"/>
  <c r="BD201" i="7"/>
  <c r="BE201" i="7"/>
  <c r="BF201" i="7"/>
  <c r="BG201" i="7"/>
  <c r="BH201" i="7"/>
  <c r="BI201" i="7"/>
  <c r="BJ201" i="7"/>
  <c r="BK201" i="7"/>
  <c r="BL201" i="7"/>
  <c r="BM201" i="7"/>
  <c r="BN201" i="7"/>
  <c r="BO201" i="7"/>
  <c r="BP201" i="7"/>
  <c r="BQ201" i="7"/>
  <c r="BR201" i="7"/>
  <c r="BS201" i="7"/>
  <c r="C202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AN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BB202" i="7"/>
  <c r="BC202" i="7"/>
  <c r="BD202" i="7"/>
  <c r="BE202" i="7"/>
  <c r="BF202" i="7"/>
  <c r="BG202" i="7"/>
  <c r="BH202" i="7"/>
  <c r="BI202" i="7"/>
  <c r="BJ202" i="7"/>
  <c r="BK202" i="7"/>
  <c r="BL202" i="7"/>
  <c r="BM202" i="7"/>
  <c r="BN202" i="7"/>
  <c r="BO202" i="7"/>
  <c r="BP202" i="7"/>
  <c r="BQ202" i="7"/>
  <c r="BR202" i="7"/>
  <c r="BS202" i="7"/>
  <c r="C203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AN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BB203" i="7"/>
  <c r="BC203" i="7"/>
  <c r="BD203" i="7"/>
  <c r="BE203" i="7"/>
  <c r="BF203" i="7"/>
  <c r="BG203" i="7"/>
  <c r="BH203" i="7"/>
  <c r="BI203" i="7"/>
  <c r="BJ203" i="7"/>
  <c r="BK203" i="7"/>
  <c r="BL203" i="7"/>
  <c r="BM203" i="7"/>
  <c r="BN203" i="7"/>
  <c r="BO203" i="7"/>
  <c r="BP203" i="7"/>
  <c r="BQ203" i="7"/>
  <c r="BR203" i="7"/>
  <c r="BS203" i="7"/>
  <c r="C204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AN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BB204" i="7"/>
  <c r="BC204" i="7"/>
  <c r="BD204" i="7"/>
  <c r="BE204" i="7"/>
  <c r="BF204" i="7"/>
  <c r="BG204" i="7"/>
  <c r="BH204" i="7"/>
  <c r="BI204" i="7"/>
  <c r="BJ204" i="7"/>
  <c r="BK204" i="7"/>
  <c r="BL204" i="7"/>
  <c r="BM204" i="7"/>
  <c r="BN204" i="7"/>
  <c r="BO204" i="7"/>
  <c r="BP204" i="7"/>
  <c r="BQ204" i="7"/>
  <c r="BR204" i="7"/>
  <c r="BS204" i="7"/>
  <c r="C205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AN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BB205" i="7"/>
  <c r="BC205" i="7"/>
  <c r="BD205" i="7"/>
  <c r="BE205" i="7"/>
  <c r="BF205" i="7"/>
  <c r="BG205" i="7"/>
  <c r="BH205" i="7"/>
  <c r="BI205" i="7"/>
  <c r="BJ205" i="7"/>
  <c r="BK205" i="7"/>
  <c r="BL205" i="7"/>
  <c r="BM205" i="7"/>
  <c r="BN205" i="7"/>
  <c r="BO205" i="7"/>
  <c r="BP205" i="7"/>
  <c r="BQ205" i="7"/>
  <c r="BR205" i="7"/>
  <c r="BS205" i="7"/>
  <c r="C206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AN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BB206" i="7"/>
  <c r="BC206" i="7"/>
  <c r="BD206" i="7"/>
  <c r="BE206" i="7"/>
  <c r="BF206" i="7"/>
  <c r="BG206" i="7"/>
  <c r="BH206" i="7"/>
  <c r="BI206" i="7"/>
  <c r="BJ206" i="7"/>
  <c r="BK206" i="7"/>
  <c r="BL206" i="7"/>
  <c r="BM206" i="7"/>
  <c r="BN206" i="7"/>
  <c r="BO206" i="7"/>
  <c r="BP206" i="7"/>
  <c r="BQ206" i="7"/>
  <c r="BR206" i="7"/>
  <c r="BS206" i="7"/>
  <c r="C207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AN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BB207" i="7"/>
  <c r="BC207" i="7"/>
  <c r="BD207" i="7"/>
  <c r="BE207" i="7"/>
  <c r="BF207" i="7"/>
  <c r="BG207" i="7"/>
  <c r="BH207" i="7"/>
  <c r="BI207" i="7"/>
  <c r="BJ207" i="7"/>
  <c r="BK207" i="7"/>
  <c r="BL207" i="7"/>
  <c r="BM207" i="7"/>
  <c r="BN207" i="7"/>
  <c r="BO207" i="7"/>
  <c r="BP207" i="7"/>
  <c r="BQ207" i="7"/>
  <c r="BR207" i="7"/>
  <c r="BS207" i="7"/>
  <c r="C208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AN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BB208" i="7"/>
  <c r="BC208" i="7"/>
  <c r="BD208" i="7"/>
  <c r="BE208" i="7"/>
  <c r="BF208" i="7"/>
  <c r="BG208" i="7"/>
  <c r="BH208" i="7"/>
  <c r="BI208" i="7"/>
  <c r="BJ208" i="7"/>
  <c r="BK208" i="7"/>
  <c r="BL208" i="7"/>
  <c r="BM208" i="7"/>
  <c r="BN208" i="7"/>
  <c r="BO208" i="7"/>
  <c r="BP208" i="7"/>
  <c r="BQ208" i="7"/>
  <c r="BR208" i="7"/>
  <c r="BS208" i="7"/>
  <c r="C209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AN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BB209" i="7"/>
  <c r="BC209" i="7"/>
  <c r="BD209" i="7"/>
  <c r="BE209" i="7"/>
  <c r="BF209" i="7"/>
  <c r="BG209" i="7"/>
  <c r="BH209" i="7"/>
  <c r="BI209" i="7"/>
  <c r="BJ209" i="7"/>
  <c r="BK209" i="7"/>
  <c r="BL209" i="7"/>
  <c r="BM209" i="7"/>
  <c r="BN209" i="7"/>
  <c r="BO209" i="7"/>
  <c r="BP209" i="7"/>
  <c r="BQ209" i="7"/>
  <c r="BR209" i="7"/>
  <c r="BS209" i="7"/>
  <c r="C210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AN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BB210" i="7"/>
  <c r="BC210" i="7"/>
  <c r="BD210" i="7"/>
  <c r="BE210" i="7"/>
  <c r="BF210" i="7"/>
  <c r="BG210" i="7"/>
  <c r="BH210" i="7"/>
  <c r="BI210" i="7"/>
  <c r="BJ210" i="7"/>
  <c r="BK210" i="7"/>
  <c r="BL210" i="7"/>
  <c r="BM210" i="7"/>
  <c r="BN210" i="7"/>
  <c r="BO210" i="7"/>
  <c r="BP210" i="7"/>
  <c r="BQ210" i="7"/>
  <c r="BR210" i="7"/>
  <c r="BS210" i="7"/>
  <c r="C211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AN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BB211" i="7"/>
  <c r="BC211" i="7"/>
  <c r="BD211" i="7"/>
  <c r="BE211" i="7"/>
  <c r="BF211" i="7"/>
  <c r="BG211" i="7"/>
  <c r="BH211" i="7"/>
  <c r="BI211" i="7"/>
  <c r="BJ211" i="7"/>
  <c r="BK211" i="7"/>
  <c r="BL211" i="7"/>
  <c r="BM211" i="7"/>
  <c r="BN211" i="7"/>
  <c r="BO211" i="7"/>
  <c r="BP211" i="7"/>
  <c r="BQ211" i="7"/>
  <c r="BR211" i="7"/>
  <c r="BS211" i="7"/>
  <c r="C212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AN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BB212" i="7"/>
  <c r="BC212" i="7"/>
  <c r="BD212" i="7"/>
  <c r="BE212" i="7"/>
  <c r="BF212" i="7"/>
  <c r="BG212" i="7"/>
  <c r="BH212" i="7"/>
  <c r="BI212" i="7"/>
  <c r="BJ212" i="7"/>
  <c r="BK212" i="7"/>
  <c r="BL212" i="7"/>
  <c r="BM212" i="7"/>
  <c r="BN212" i="7"/>
  <c r="BO212" i="7"/>
  <c r="BP212" i="7"/>
  <c r="BQ212" i="7"/>
  <c r="BR212" i="7"/>
  <c r="BS212" i="7"/>
  <c r="C213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AN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BB213" i="7"/>
  <c r="BC213" i="7"/>
  <c r="BD213" i="7"/>
  <c r="BE213" i="7"/>
  <c r="BF213" i="7"/>
  <c r="BG213" i="7"/>
  <c r="BH213" i="7"/>
  <c r="BI213" i="7"/>
  <c r="BJ213" i="7"/>
  <c r="BK213" i="7"/>
  <c r="BL213" i="7"/>
  <c r="BM213" i="7"/>
  <c r="BN213" i="7"/>
  <c r="BO213" i="7"/>
  <c r="BP213" i="7"/>
  <c r="BQ213" i="7"/>
  <c r="BR213" i="7"/>
  <c r="BS213" i="7"/>
  <c r="C214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AN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BB214" i="7"/>
  <c r="BC214" i="7"/>
  <c r="BD214" i="7"/>
  <c r="BE214" i="7"/>
  <c r="BF214" i="7"/>
  <c r="BG214" i="7"/>
  <c r="BH214" i="7"/>
  <c r="BI214" i="7"/>
  <c r="BJ214" i="7"/>
  <c r="BK214" i="7"/>
  <c r="BL214" i="7"/>
  <c r="BM214" i="7"/>
  <c r="BN214" i="7"/>
  <c r="BO214" i="7"/>
  <c r="BP214" i="7"/>
  <c r="BQ214" i="7"/>
  <c r="BR214" i="7"/>
  <c r="BS214" i="7"/>
  <c r="C215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AN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BB215" i="7"/>
  <c r="BC215" i="7"/>
  <c r="BD215" i="7"/>
  <c r="BE215" i="7"/>
  <c r="BF215" i="7"/>
  <c r="BG215" i="7"/>
  <c r="BH215" i="7"/>
  <c r="BI215" i="7"/>
  <c r="BJ215" i="7"/>
  <c r="BK215" i="7"/>
  <c r="BL215" i="7"/>
  <c r="BM215" i="7"/>
  <c r="BN215" i="7"/>
  <c r="BO215" i="7"/>
  <c r="BP215" i="7"/>
  <c r="BQ215" i="7"/>
  <c r="BR215" i="7"/>
  <c r="BS215" i="7"/>
  <c r="C216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AN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BB216" i="7"/>
  <c r="BC216" i="7"/>
  <c r="BD216" i="7"/>
  <c r="BE216" i="7"/>
  <c r="BF216" i="7"/>
  <c r="BG216" i="7"/>
  <c r="BH216" i="7"/>
  <c r="BI216" i="7"/>
  <c r="BJ216" i="7"/>
  <c r="BK216" i="7"/>
  <c r="BL216" i="7"/>
  <c r="BM216" i="7"/>
  <c r="BN216" i="7"/>
  <c r="BO216" i="7"/>
  <c r="BP216" i="7"/>
  <c r="BQ216" i="7"/>
  <c r="BR216" i="7"/>
  <c r="BS216" i="7"/>
  <c r="C217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AN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BB217" i="7"/>
  <c r="BC217" i="7"/>
  <c r="BD217" i="7"/>
  <c r="BE217" i="7"/>
  <c r="BF217" i="7"/>
  <c r="BG217" i="7"/>
  <c r="BH217" i="7"/>
  <c r="BI217" i="7"/>
  <c r="BJ217" i="7"/>
  <c r="BK217" i="7"/>
  <c r="BL217" i="7"/>
  <c r="BM217" i="7"/>
  <c r="BN217" i="7"/>
  <c r="BO217" i="7"/>
  <c r="BP217" i="7"/>
  <c r="BQ217" i="7"/>
  <c r="BR217" i="7"/>
  <c r="BS217" i="7"/>
  <c r="C218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AN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BB218" i="7"/>
  <c r="BC218" i="7"/>
  <c r="BD218" i="7"/>
  <c r="BE218" i="7"/>
  <c r="BF218" i="7"/>
  <c r="BG218" i="7"/>
  <c r="BH218" i="7"/>
  <c r="BI218" i="7"/>
  <c r="BJ218" i="7"/>
  <c r="BK218" i="7"/>
  <c r="BL218" i="7"/>
  <c r="BM218" i="7"/>
  <c r="BN218" i="7"/>
  <c r="BO218" i="7"/>
  <c r="BP218" i="7"/>
  <c r="BQ218" i="7"/>
  <c r="BR218" i="7"/>
  <c r="BS218" i="7"/>
  <c r="C219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AN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BB219" i="7"/>
  <c r="BC219" i="7"/>
  <c r="BD219" i="7"/>
  <c r="BE219" i="7"/>
  <c r="BF219" i="7"/>
  <c r="BG219" i="7"/>
  <c r="BH219" i="7"/>
  <c r="BI219" i="7"/>
  <c r="BJ219" i="7"/>
  <c r="BK219" i="7"/>
  <c r="BL219" i="7"/>
  <c r="BM219" i="7"/>
  <c r="BN219" i="7"/>
  <c r="BO219" i="7"/>
  <c r="BP219" i="7"/>
  <c r="BQ219" i="7"/>
  <c r="BR219" i="7"/>
  <c r="BS219" i="7"/>
  <c r="C220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AN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BB220" i="7"/>
  <c r="BC220" i="7"/>
  <c r="BD220" i="7"/>
  <c r="BE220" i="7"/>
  <c r="BF220" i="7"/>
  <c r="BG220" i="7"/>
  <c r="BH220" i="7"/>
  <c r="BI220" i="7"/>
  <c r="BJ220" i="7"/>
  <c r="BK220" i="7"/>
  <c r="BL220" i="7"/>
  <c r="BM220" i="7"/>
  <c r="BN220" i="7"/>
  <c r="BO220" i="7"/>
  <c r="BP220" i="7"/>
  <c r="BQ220" i="7"/>
  <c r="BR220" i="7"/>
  <c r="BS220" i="7"/>
  <c r="C221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AN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BB221" i="7"/>
  <c r="BC221" i="7"/>
  <c r="BD221" i="7"/>
  <c r="BE221" i="7"/>
  <c r="BF221" i="7"/>
  <c r="BG221" i="7"/>
  <c r="BH221" i="7"/>
  <c r="BI221" i="7"/>
  <c r="BJ221" i="7"/>
  <c r="BK221" i="7"/>
  <c r="BL221" i="7"/>
  <c r="BM221" i="7"/>
  <c r="BN221" i="7"/>
  <c r="BO221" i="7"/>
  <c r="BP221" i="7"/>
  <c r="BQ221" i="7"/>
  <c r="BR221" i="7"/>
  <c r="BS221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CF153" i="7" l="1"/>
  <c r="DD153" i="7"/>
  <c r="DE152" i="7"/>
  <c r="B225" i="7" a="1"/>
  <c r="AC254" i="7" s="1"/>
  <c r="DM153" i="7"/>
  <c r="DM82" i="7"/>
  <c r="DM83" i="7" s="1"/>
  <c r="DG153" i="7"/>
  <c r="DG82" i="7"/>
  <c r="EM153" i="7"/>
  <c r="CX153" i="7"/>
  <c r="CZ153" i="7"/>
  <c r="DS153" i="7"/>
  <c r="DU153" i="7"/>
  <c r="DU82" i="7"/>
  <c r="DU83" i="7" s="1"/>
  <c r="DO153" i="7"/>
  <c r="DO82" i="7"/>
  <c r="CP153" i="7"/>
  <c r="BW153" i="7"/>
  <c r="BW82" i="7"/>
  <c r="BZ153" i="7"/>
  <c r="BZ82" i="7"/>
  <c r="BZ154" i="7" s="1"/>
  <c r="CR153" i="7"/>
  <c r="EA153" i="7"/>
  <c r="EC153" i="7"/>
  <c r="DW153" i="7"/>
  <c r="DW82" i="7"/>
  <c r="DW154" i="7" s="1"/>
  <c r="CH153" i="7"/>
  <c r="CH82" i="7"/>
  <c r="CH83" i="7" s="1"/>
  <c r="EI153" i="7"/>
  <c r="CN153" i="7"/>
  <c r="CJ153" i="7"/>
  <c r="EK153" i="7"/>
  <c r="EE153" i="7"/>
  <c r="EG153" i="7"/>
  <c r="DQ153" i="7"/>
  <c r="CV153" i="7"/>
  <c r="CX82" i="7"/>
  <c r="CJ82" i="7"/>
  <c r="CJ83" i="7" s="1"/>
  <c r="EI82" i="7"/>
  <c r="EA82" i="7"/>
  <c r="EA154" i="7" s="1"/>
  <c r="BZ83" i="7"/>
  <c r="BZ84" i="7" s="1"/>
  <c r="CZ82" i="7"/>
  <c r="CZ154" i="7" s="1"/>
  <c r="CP82" i="7"/>
  <c r="CP83" i="7" s="1"/>
  <c r="EK82" i="7"/>
  <c r="EK83" i="7" s="1"/>
  <c r="EE82" i="7"/>
  <c r="EE154" i="7" s="1"/>
  <c r="DS82" i="7"/>
  <c r="DS83" i="7" s="1"/>
  <c r="EM82" i="7"/>
  <c r="EM154" i="7" s="1"/>
  <c r="CH154" i="7"/>
  <c r="CL153" i="7"/>
  <c r="CL82" i="7"/>
  <c r="CT153" i="7"/>
  <c r="CT82" i="7"/>
  <c r="CN82" i="7"/>
  <c r="CN154" i="7" s="1"/>
  <c r="CP154" i="7"/>
  <c r="CX154" i="7"/>
  <c r="CX83" i="7"/>
  <c r="DB153" i="7"/>
  <c r="DB82" i="7"/>
  <c r="EP152" i="7"/>
  <c r="CD153" i="7"/>
  <c r="CD82" i="7"/>
  <c r="EI154" i="7"/>
  <c r="EI83" i="7"/>
  <c r="DL153" i="7"/>
  <c r="DL82" i="7"/>
  <c r="EB153" i="7"/>
  <c r="EB82" i="7"/>
  <c r="DF153" i="7"/>
  <c r="DF82" i="7"/>
  <c r="DV153" i="7"/>
  <c r="DV82" i="7"/>
  <c r="EL153" i="7"/>
  <c r="EL82" i="7"/>
  <c r="DQ83" i="7"/>
  <c r="DQ154" i="7"/>
  <c r="DP153" i="7"/>
  <c r="DP82" i="7"/>
  <c r="EF153" i="7"/>
  <c r="EF82" i="7"/>
  <c r="DY83" i="7"/>
  <c r="DY154" i="7"/>
  <c r="DJ153" i="7"/>
  <c r="DJ82" i="7"/>
  <c r="DZ153" i="7"/>
  <c r="DZ82" i="7"/>
  <c r="DK154" i="7"/>
  <c r="DK83" i="7"/>
  <c r="EC83" i="7"/>
  <c r="EC154" i="7"/>
  <c r="DT153" i="7"/>
  <c r="DT82" i="7"/>
  <c r="EJ153" i="7"/>
  <c r="EJ82" i="7"/>
  <c r="EG83" i="7"/>
  <c r="EG154" i="7"/>
  <c r="DN153" i="7"/>
  <c r="DN82" i="7"/>
  <c r="ED153" i="7"/>
  <c r="ED82" i="7"/>
  <c r="DH153" i="7"/>
  <c r="DH82" i="7"/>
  <c r="DX153" i="7"/>
  <c r="DX82" i="7"/>
  <c r="EN153" i="7"/>
  <c r="EN82" i="7"/>
  <c r="DR153" i="7"/>
  <c r="DR82" i="7"/>
  <c r="EH153" i="7"/>
  <c r="EH82" i="7"/>
  <c r="DS154" i="7"/>
  <c r="DI84" i="7"/>
  <c r="DI155" i="7"/>
  <c r="CS153" i="7"/>
  <c r="CS82" i="7"/>
  <c r="BY153" i="7"/>
  <c r="BY82" i="7"/>
  <c r="CO153" i="7"/>
  <c r="CO82" i="7"/>
  <c r="DE153" i="7"/>
  <c r="DE82" i="7"/>
  <c r="CJ154" i="7"/>
  <c r="CA153" i="7"/>
  <c r="CA82" i="7"/>
  <c r="CI153" i="7"/>
  <c r="CI82" i="7"/>
  <c r="CQ153" i="7"/>
  <c r="CQ82" i="7"/>
  <c r="CY153" i="7"/>
  <c r="CY82" i="7"/>
  <c r="BX83" i="7"/>
  <c r="BX154" i="7"/>
  <c r="CV83" i="7"/>
  <c r="CV154" i="7"/>
  <c r="CG153" i="7"/>
  <c r="CG82" i="7"/>
  <c r="CW153" i="7"/>
  <c r="CW82" i="7"/>
  <c r="CB83" i="7"/>
  <c r="CB154" i="7"/>
  <c r="CE153" i="7"/>
  <c r="CE82" i="7"/>
  <c r="CM153" i="7"/>
  <c r="CM82" i="7"/>
  <c r="CU153" i="7"/>
  <c r="CU82" i="7"/>
  <c r="DC153" i="7"/>
  <c r="DC82" i="7"/>
  <c r="CF83" i="7"/>
  <c r="CF154" i="7"/>
  <c r="DD83" i="7"/>
  <c r="DD154" i="7"/>
  <c r="CR83" i="7"/>
  <c r="CR154" i="7"/>
  <c r="CC153" i="7"/>
  <c r="CC82" i="7"/>
  <c r="BW154" i="7"/>
  <c r="BW83" i="7"/>
  <c r="CK153" i="7"/>
  <c r="CK82" i="7"/>
  <c r="DA153" i="7"/>
  <c r="DA82" i="7"/>
  <c r="BZ155" i="7"/>
  <c r="M252" i="7"/>
  <c r="AK248" i="7"/>
  <c r="BI244" i="7"/>
  <c r="O241" i="7"/>
  <c r="I235" i="7"/>
  <c r="H226" i="7"/>
  <c r="BB229" i="7"/>
  <c r="AK227" i="7"/>
  <c r="BN229" i="7"/>
  <c r="M226" i="7"/>
  <c r="AY225" i="7"/>
  <c r="BO228" i="7"/>
  <c r="AI231" i="7"/>
  <c r="W233" i="7"/>
  <c r="BQ234" i="7"/>
  <c r="BK235" i="7"/>
  <c r="BE236" i="7"/>
  <c r="BK226" i="7"/>
  <c r="AW229" i="7"/>
  <c r="U231" i="7"/>
  <c r="AJ232" i="7"/>
  <c r="AZ233" i="7"/>
  <c r="BJ234" i="7"/>
  <c r="BO234" i="7"/>
  <c r="L236" i="7"/>
  <c r="X237" i="7"/>
  <c r="N238" i="7"/>
  <c r="R238" i="7"/>
  <c r="H239" i="7"/>
  <c r="L239" i="7"/>
  <c r="B240" i="7"/>
  <c r="F240" i="7"/>
  <c r="B228" i="7"/>
  <c r="Q228" i="7"/>
  <c r="U230" i="7"/>
  <c r="AA230" i="7"/>
  <c r="AX231" i="7"/>
  <c r="BD231" i="7"/>
  <c r="BN232" i="7"/>
  <c r="BS232" i="7"/>
  <c r="K234" i="7"/>
  <c r="P234" i="7"/>
  <c r="Z235" i="7"/>
  <c r="AF235" i="7"/>
  <c r="AP236" i="7"/>
  <c r="AU236" i="7"/>
  <c r="AT237" i="7"/>
  <c r="AX237" i="7"/>
  <c r="AN238" i="7"/>
  <c r="AR238" i="7"/>
  <c r="DO154" i="7" l="1"/>
  <c r="DO83" i="7"/>
  <c r="G236" i="7"/>
  <c r="AM229" i="7"/>
  <c r="W231" i="7"/>
  <c r="U227" i="7"/>
  <c r="AE241" i="7"/>
  <c r="J238" i="7"/>
  <c r="BC235" i="7"/>
  <c r="P227" i="7"/>
  <c r="AS252" i="7"/>
  <c r="AE236" i="7"/>
  <c r="AR227" i="7"/>
  <c r="AJ233" i="7"/>
  <c r="AS236" i="7"/>
  <c r="R228" i="7"/>
  <c r="AD225" i="7"/>
  <c r="BI252" i="7"/>
  <c r="AB238" i="7"/>
  <c r="AH237" i="7"/>
  <c r="Z236" i="7"/>
  <c r="J235" i="7"/>
  <c r="BM233" i="7"/>
  <c r="AX232" i="7"/>
  <c r="AH231" i="7"/>
  <c r="BQ229" i="7"/>
  <c r="AC227" i="7"/>
  <c r="BH239" i="7"/>
  <c r="BN238" i="7"/>
  <c r="B238" i="7"/>
  <c r="F237" i="7"/>
  <c r="BI235" i="7"/>
  <c r="AT234" i="7"/>
  <c r="AD233" i="7"/>
  <c r="O232" i="7"/>
  <c r="BO230" i="7"/>
  <c r="K229" i="7"/>
  <c r="G226" i="7"/>
  <c r="AO236" i="7"/>
  <c r="AU235" i="7"/>
  <c r="AW234" i="7"/>
  <c r="BI232" i="7"/>
  <c r="BS230" i="7"/>
  <c r="K228" i="7"/>
  <c r="AQ228" i="7"/>
  <c r="Y225" i="7"/>
  <c r="Y229" i="7"/>
  <c r="BM226" i="7"/>
  <c r="BH228" i="7"/>
  <c r="N225" i="7"/>
  <c r="AG237" i="7"/>
  <c r="I242" i="7"/>
  <c r="BC245" i="7"/>
  <c r="AE249" i="7"/>
  <c r="G253" i="7"/>
  <c r="AT233" i="7"/>
  <c r="BG235" i="7"/>
  <c r="BI225" i="7"/>
  <c r="G245" i="7"/>
  <c r="F234" i="7"/>
  <c r="P237" i="7"/>
  <c r="J231" i="7"/>
  <c r="S231" i="7"/>
  <c r="V229" i="7"/>
  <c r="AF238" i="7"/>
  <c r="P235" i="7"/>
  <c r="BC232" i="7"/>
  <c r="F230" i="7"/>
  <c r="F238" i="7"/>
  <c r="BN235" i="7"/>
  <c r="T232" i="7"/>
  <c r="U229" i="7"/>
  <c r="BA234" i="7"/>
  <c r="G231" i="7"/>
  <c r="AX228" i="7"/>
  <c r="AE229" i="7"/>
  <c r="BR226" i="7"/>
  <c r="BO236" i="7"/>
  <c r="O249" i="7"/>
  <c r="X238" i="7"/>
  <c r="AD237" i="7"/>
  <c r="T236" i="7"/>
  <c r="E235" i="7"/>
  <c r="BH233" i="7"/>
  <c r="AR232" i="7"/>
  <c r="AC231" i="7"/>
  <c r="BK229" i="7"/>
  <c r="O227" i="7"/>
  <c r="BD239" i="7"/>
  <c r="BJ238" i="7"/>
  <c r="BP237" i="7"/>
  <c r="BS236" i="7"/>
  <c r="BD235" i="7"/>
  <c r="AN234" i="7"/>
  <c r="Y233" i="7"/>
  <c r="J232" i="7"/>
  <c r="BG230" i="7"/>
  <c r="BS228" i="7"/>
  <c r="BK225" i="7"/>
  <c r="AK236" i="7"/>
  <c r="AQ235" i="7"/>
  <c r="AK234" i="7"/>
  <c r="AW232" i="7"/>
  <c r="BC230" i="7"/>
  <c r="BH227" i="7"/>
  <c r="V228" i="7"/>
  <c r="C225" i="7"/>
  <c r="I229" i="7"/>
  <c r="AW226" i="7"/>
  <c r="AR228" i="7"/>
  <c r="AZ225" i="7"/>
  <c r="BM237" i="7"/>
  <c r="Y242" i="7"/>
  <c r="BS245" i="7"/>
  <c r="AU249" i="7"/>
  <c r="W253" i="7"/>
  <c r="AX226" i="7"/>
  <c r="AZ229" i="7"/>
  <c r="AC252" i="7"/>
  <c r="AP237" i="7"/>
  <c r="BE227" i="7"/>
  <c r="AO233" i="7"/>
  <c r="AW236" i="7"/>
  <c r="BA225" i="7"/>
  <c r="X236" i="7"/>
  <c r="BQ248" i="7"/>
  <c r="AL237" i="7"/>
  <c r="BR233" i="7"/>
  <c r="AN231" i="7"/>
  <c r="BL239" i="7"/>
  <c r="L237" i="7"/>
  <c r="AY234" i="7"/>
  <c r="D231" i="7"/>
  <c r="U226" i="7"/>
  <c r="BM232" i="7"/>
  <c r="AF225" i="7"/>
  <c r="F229" i="7"/>
  <c r="AM245" i="7"/>
  <c r="T238" i="7"/>
  <c r="Z237" i="7"/>
  <c r="O236" i="7"/>
  <c r="BR234" i="7"/>
  <c r="BB233" i="7"/>
  <c r="AM232" i="7"/>
  <c r="X231" i="7"/>
  <c r="BA229" i="7"/>
  <c r="BS226" i="7"/>
  <c r="AZ239" i="7"/>
  <c r="BF238" i="7"/>
  <c r="BL237" i="7"/>
  <c r="BN236" i="7"/>
  <c r="AX235" i="7"/>
  <c r="AI234" i="7"/>
  <c r="T233" i="7"/>
  <c r="D232" i="7"/>
  <c r="BA230" i="7"/>
  <c r="BJ228" i="7"/>
  <c r="AV225" i="7"/>
  <c r="AG236" i="7"/>
  <c r="AM235" i="7"/>
  <c r="AG234" i="7"/>
  <c r="AS232" i="7"/>
  <c r="AX230" i="7"/>
  <c r="AZ227" i="7"/>
  <c r="N228" i="7"/>
  <c r="F231" i="7"/>
  <c r="D229" i="7"/>
  <c r="AQ226" i="7"/>
  <c r="AB228" i="7"/>
  <c r="Y227" i="7"/>
  <c r="AA238" i="7"/>
  <c r="AO242" i="7"/>
  <c r="Q246" i="7"/>
  <c r="BK249" i="7"/>
  <c r="AM253" i="7"/>
  <c r="EK154" i="7"/>
  <c r="T237" i="7"/>
  <c r="P231" i="7"/>
  <c r="K233" i="7"/>
  <c r="AL229" i="7"/>
  <c r="BA248" i="7"/>
  <c r="U235" i="7"/>
  <c r="BP239" i="7"/>
  <c r="BD234" i="7"/>
  <c r="AC229" i="7"/>
  <c r="G233" i="7"/>
  <c r="U225" i="7"/>
  <c r="AT225" i="7"/>
  <c r="W245" i="7"/>
  <c r="BR238" i="7"/>
  <c r="AY235" i="7"/>
  <c r="BK241" i="7"/>
  <c r="P238" i="7"/>
  <c r="V237" i="7"/>
  <c r="J236" i="7"/>
  <c r="BL234" i="7"/>
  <c r="AW233" i="7"/>
  <c r="AH232" i="7"/>
  <c r="R231" i="7"/>
  <c r="AR229" i="7"/>
  <c r="BE226" i="7"/>
  <c r="AV239" i="7"/>
  <c r="BB238" i="7"/>
  <c r="BH237" i="7"/>
  <c r="BH236" i="7"/>
  <c r="AS235" i="7"/>
  <c r="AD234" i="7"/>
  <c r="N233" i="7"/>
  <c r="BQ231" i="7"/>
  <c r="AT230" i="7"/>
  <c r="AY228" i="7"/>
  <c r="AI225" i="7"/>
  <c r="AC236" i="7"/>
  <c r="AI235" i="7"/>
  <c r="U234" i="7"/>
  <c r="AG232" i="7"/>
  <c r="AH230" i="7"/>
  <c r="AE227" i="7"/>
  <c r="BK227" i="7"/>
  <c r="BL230" i="7"/>
  <c r="BF228" i="7"/>
  <c r="AA226" i="7"/>
  <c r="L228" i="7"/>
  <c r="BM228" i="7"/>
  <c r="BG238" i="7"/>
  <c r="BE242" i="7"/>
  <c r="AG246" i="7"/>
  <c r="I250" i="7"/>
  <c r="BC253" i="7"/>
  <c r="X234" i="7"/>
  <c r="BA228" i="7"/>
  <c r="H238" i="7"/>
  <c r="N237" i="7"/>
  <c r="BQ235" i="7"/>
  <c r="BB234" i="7"/>
  <c r="AL233" i="7"/>
  <c r="W232" i="7"/>
  <c r="H231" i="7"/>
  <c r="X229" i="7"/>
  <c r="AC226" i="7"/>
  <c r="AN239" i="7"/>
  <c r="AT238" i="7"/>
  <c r="AZ237" i="7"/>
  <c r="AX236" i="7"/>
  <c r="AH235" i="7"/>
  <c r="S234" i="7"/>
  <c r="D233" i="7"/>
  <c r="BF231" i="7"/>
  <c r="AE230" i="7"/>
  <c r="W228" i="7"/>
  <c r="E225" i="7"/>
  <c r="U236" i="7"/>
  <c r="AA235" i="7"/>
  <c r="E234" i="7"/>
  <c r="Q232" i="7"/>
  <c r="M230" i="7"/>
  <c r="C227" i="7"/>
  <c r="AI227" i="7"/>
  <c r="AV230" i="7"/>
  <c r="AK228" i="7"/>
  <c r="F226" i="7"/>
  <c r="AX227" i="7"/>
  <c r="BB230" i="7"/>
  <c r="AE239" i="7"/>
  <c r="S243" i="7"/>
  <c r="BM246" i="7"/>
  <c r="AO250" i="7"/>
  <c r="Q254" i="7"/>
  <c r="AE232" i="7"/>
  <c r="BA236" i="7"/>
  <c r="AT228" i="7"/>
  <c r="BJ225" i="7"/>
  <c r="AJ236" i="7"/>
  <c r="AS231" i="7"/>
  <c r="D239" i="7"/>
  <c r="B236" i="7"/>
  <c r="Z232" i="7"/>
  <c r="AI226" i="7"/>
  <c r="BI234" i="7"/>
  <c r="AM228" i="7"/>
  <c r="AU229" i="7"/>
  <c r="AU241" i="7"/>
  <c r="L238" i="7"/>
  <c r="R237" i="7"/>
  <c r="D236" i="7"/>
  <c r="BG234" i="7"/>
  <c r="AR233" i="7"/>
  <c r="AB232" i="7"/>
  <c r="M231" i="7"/>
  <c r="AI229" i="7"/>
  <c r="AP226" i="7"/>
  <c r="AR239" i="7"/>
  <c r="AX238" i="7"/>
  <c r="BD237" i="7"/>
  <c r="BC236" i="7"/>
  <c r="AN235" i="7"/>
  <c r="I233" i="7"/>
  <c r="BL231" i="7"/>
  <c r="AL230" i="7"/>
  <c r="AL228" i="7"/>
  <c r="T225" i="7"/>
  <c r="Y236" i="7"/>
  <c r="AE235" i="7"/>
  <c r="Q234" i="7"/>
  <c r="AC232" i="7"/>
  <c r="AC230" i="7"/>
  <c r="X227" i="7"/>
  <c r="BD227" i="7"/>
  <c r="BH230" i="7"/>
  <c r="V226" i="7"/>
  <c r="BN227" i="7"/>
  <c r="BP229" i="7"/>
  <c r="J239" i="7"/>
  <c r="C243" i="7"/>
  <c r="AW246" i="7"/>
  <c r="Y250" i="7"/>
  <c r="BS253" i="7"/>
  <c r="D238" i="7"/>
  <c r="I237" i="7"/>
  <c r="BL235" i="7"/>
  <c r="AV234" i="7"/>
  <c r="AG233" i="7"/>
  <c r="R232" i="7"/>
  <c r="BR230" i="7"/>
  <c r="P229" i="7"/>
  <c r="N226" i="7"/>
  <c r="AJ239" i="7"/>
  <c r="AP238" i="7"/>
  <c r="AV237" i="7"/>
  <c r="AR236" i="7"/>
  <c r="AC235" i="7"/>
  <c r="N234" i="7"/>
  <c r="BP232" i="7"/>
  <c r="BA231" i="7"/>
  <c r="Y230" i="7"/>
  <c r="I228" i="7"/>
  <c r="K237" i="7"/>
  <c r="Q236" i="7"/>
  <c r="W235" i="7"/>
  <c r="BS233" i="7"/>
  <c r="M232" i="7"/>
  <c r="G230" i="7"/>
  <c r="BN226" i="7"/>
  <c r="AB227" i="7"/>
  <c r="AR230" i="7"/>
  <c r="AE228" i="7"/>
  <c r="BS225" i="7"/>
  <c r="AH227" i="7"/>
  <c r="AG231" i="7"/>
  <c r="BA239" i="7"/>
  <c r="AI243" i="7"/>
  <c r="K247" i="7"/>
  <c r="BE250" i="7"/>
  <c r="C251" i="7"/>
  <c r="AC225" i="7"/>
  <c r="N230" i="7"/>
  <c r="BR237" i="7"/>
  <c r="BF235" i="7"/>
  <c r="AB233" i="7"/>
  <c r="BK230" i="7"/>
  <c r="BQ225" i="7"/>
  <c r="AL238" i="7"/>
  <c r="AM236" i="7"/>
  <c r="H234" i="7"/>
  <c r="AV231" i="7"/>
  <c r="G237" i="7"/>
  <c r="S235" i="7"/>
  <c r="BS231" i="7"/>
  <c r="AS226" i="7"/>
  <c r="AF230" i="7"/>
  <c r="BC225" i="7"/>
  <c r="AY243" i="7"/>
  <c r="BP236" i="7"/>
  <c r="V233" i="7"/>
  <c r="BN228" i="7"/>
  <c r="AB239" i="7"/>
  <c r="AN237" i="7"/>
  <c r="R235" i="7"/>
  <c r="BF232" i="7"/>
  <c r="J230" i="7"/>
  <c r="C237" i="7"/>
  <c r="O235" i="7"/>
  <c r="BO231" i="7"/>
  <c r="AK226" i="7"/>
  <c r="AB230" i="7"/>
  <c r="J228" i="7"/>
  <c r="B227" i="7"/>
  <c r="AV232" i="7"/>
  <c r="BO243" i="7"/>
  <c r="S251" i="7"/>
  <c r="BD238" i="7"/>
  <c r="BJ237" i="7"/>
  <c r="BK236" i="7"/>
  <c r="AV235" i="7"/>
  <c r="AF234" i="7"/>
  <c r="Q233" i="7"/>
  <c r="B232" i="7"/>
  <c r="AW230" i="7"/>
  <c r="BE228" i="7"/>
  <c r="AO225" i="7"/>
  <c r="X239" i="7"/>
  <c r="AD238" i="7"/>
  <c r="AJ237" i="7"/>
  <c r="AB236" i="7"/>
  <c r="M235" i="7"/>
  <c r="BP233" i="7"/>
  <c r="AZ232" i="7"/>
  <c r="AK231" i="7"/>
  <c r="C230" i="7"/>
  <c r="AJ227" i="7"/>
  <c r="BQ236" i="7"/>
  <c r="E236" i="7"/>
  <c r="K235" i="7"/>
  <c r="AQ233" i="7"/>
  <c r="BC231" i="7"/>
  <c r="AG229" i="7"/>
  <c r="O226" i="7"/>
  <c r="AU226" i="7"/>
  <c r="P230" i="7"/>
  <c r="BL227" i="7"/>
  <c r="AG225" i="7"/>
  <c r="BD226" i="7"/>
  <c r="U233" i="7"/>
  <c r="AK240" i="7"/>
  <c r="M244" i="7"/>
  <c r="BG247" i="7"/>
  <c r="AI251" i="7"/>
  <c r="BM227" i="7"/>
  <c r="G232" i="7"/>
  <c r="BC229" i="7"/>
  <c r="U240" i="7"/>
  <c r="AZ238" i="7"/>
  <c r="BF237" i="7"/>
  <c r="BF236" i="7"/>
  <c r="AP235" i="7"/>
  <c r="AA234" i="7"/>
  <c r="L233" i="7"/>
  <c r="BN231" i="7"/>
  <c r="AP230" i="7"/>
  <c r="AS228" i="7"/>
  <c r="AA225" i="7"/>
  <c r="T239" i="7"/>
  <c r="Z238" i="7"/>
  <c r="AF237" i="7"/>
  <c r="W236" i="7"/>
  <c r="H235" i="7"/>
  <c r="BJ233" i="7"/>
  <c r="AU232" i="7"/>
  <c r="AF231" i="7"/>
  <c r="BM229" i="7"/>
  <c r="W227" i="7"/>
  <c r="BM236" i="7"/>
  <c r="BS235" i="7"/>
  <c r="G235" i="7"/>
  <c r="AM233" i="7"/>
  <c r="AY231" i="7"/>
  <c r="AA229" i="7"/>
  <c r="I226" i="7"/>
  <c r="AO226" i="7"/>
  <c r="L230" i="7"/>
  <c r="BG227" i="7"/>
  <c r="AB225" i="7"/>
  <c r="AN226" i="7"/>
  <c r="BL233" i="7"/>
  <c r="BA240" i="7"/>
  <c r="AC244" i="7"/>
  <c r="E248" i="7"/>
  <c r="AY251" i="7"/>
  <c r="EM83" i="7"/>
  <c r="BM234" i="7"/>
  <c r="AZ235" i="7"/>
  <c r="AJ238" i="7"/>
  <c r="BH232" i="7"/>
  <c r="D237" i="7"/>
  <c r="AQ234" i="7"/>
  <c r="L232" i="7"/>
  <c r="G229" i="7"/>
  <c r="AF239" i="7"/>
  <c r="AR237" i="7"/>
  <c r="X235" i="7"/>
  <c r="BK232" i="7"/>
  <c r="Q230" i="7"/>
  <c r="M236" i="7"/>
  <c r="BG233" i="7"/>
  <c r="BI229" i="7"/>
  <c r="G227" i="7"/>
  <c r="O228" i="7"/>
  <c r="R227" i="7"/>
  <c r="F232" i="7"/>
  <c r="D240" i="7"/>
  <c r="AA247" i="7"/>
  <c r="BN237" i="7"/>
  <c r="BA235" i="7"/>
  <c r="AL234" i="7"/>
  <c r="BE230" i="7"/>
  <c r="BD225" i="7"/>
  <c r="AH238" i="7"/>
  <c r="AH236" i="7"/>
  <c r="C234" i="7"/>
  <c r="AP231" i="7"/>
  <c r="AY227" i="7"/>
  <c r="I236" i="7"/>
  <c r="BC233" i="7"/>
  <c r="BQ226" i="7"/>
  <c r="AW225" i="7"/>
  <c r="AQ247" i="7"/>
  <c r="AV238" i="7"/>
  <c r="BB237" i="7"/>
  <c r="AZ236" i="7"/>
  <c r="AK235" i="7"/>
  <c r="V234" i="7"/>
  <c r="F233" i="7"/>
  <c r="BI231" i="7"/>
  <c r="AI230" i="7"/>
  <c r="AD228" i="7"/>
  <c r="M225" i="7"/>
  <c r="P239" i="7"/>
  <c r="V238" i="7"/>
  <c r="AB237" i="7"/>
  <c r="R236" i="7"/>
  <c r="B235" i="7"/>
  <c r="BE233" i="7"/>
  <c r="AP232" i="7"/>
  <c r="Z231" i="7"/>
  <c r="BG229" i="7"/>
  <c r="H227" i="7"/>
  <c r="BI236" i="7"/>
  <c r="BO235" i="7"/>
  <c r="C235" i="7"/>
  <c r="AA233" i="7"/>
  <c r="AM231" i="7"/>
  <c r="E229" i="7"/>
  <c r="BE225" i="7"/>
  <c r="S226" i="7"/>
  <c r="BR229" i="7"/>
  <c r="AQ227" i="7"/>
  <c r="L225" i="7"/>
  <c r="X226" i="7"/>
  <c r="AJ234" i="7"/>
  <c r="BQ240" i="7"/>
  <c r="AS244" i="7"/>
  <c r="U248" i="7"/>
  <c r="BO251" i="7"/>
  <c r="DU154" i="7"/>
  <c r="DW83" i="7"/>
  <c r="DM154" i="7"/>
  <c r="EA83" i="7"/>
  <c r="EA84" i="7" s="1"/>
  <c r="DG154" i="7"/>
  <c r="DG83" i="7"/>
  <c r="AS234" i="7"/>
  <c r="AC234" i="7"/>
  <c r="M234" i="7"/>
  <c r="BO233" i="7"/>
  <c r="AY233" i="7"/>
  <c r="AI233" i="7"/>
  <c r="S233" i="7"/>
  <c r="C233" i="7"/>
  <c r="BE232" i="7"/>
  <c r="AO232" i="7"/>
  <c r="Y232" i="7"/>
  <c r="I232" i="7"/>
  <c r="BK231" i="7"/>
  <c r="AU231" i="7"/>
  <c r="AE231" i="7"/>
  <c r="O231" i="7"/>
  <c r="BN230" i="7"/>
  <c r="AS230" i="7"/>
  <c r="W230" i="7"/>
  <c r="B230" i="7"/>
  <c r="AV229" i="7"/>
  <c r="S229" i="7"/>
  <c r="BI228" i="7"/>
  <c r="AG228" i="7"/>
  <c r="C228" i="7"/>
  <c r="AS227" i="7"/>
  <c r="Q227" i="7"/>
  <c r="BF226" i="7"/>
  <c r="AD226" i="7"/>
  <c r="B226" i="7"/>
  <c r="AQ225" i="7"/>
  <c r="O225" i="7"/>
  <c r="AI228" i="7"/>
  <c r="G228" i="7"/>
  <c r="AW227" i="7"/>
  <c r="T227" i="7"/>
  <c r="BJ226" i="7"/>
  <c r="AH226" i="7"/>
  <c r="E226" i="7"/>
  <c r="AU225" i="7"/>
  <c r="S225" i="7"/>
  <c r="B231" i="7"/>
  <c r="BD230" i="7"/>
  <c r="AN230" i="7"/>
  <c r="X230" i="7"/>
  <c r="H230" i="7"/>
  <c r="BJ229" i="7"/>
  <c r="AO229" i="7"/>
  <c r="T229" i="7"/>
  <c r="BQ228" i="7"/>
  <c r="AU228" i="7"/>
  <c r="Z228" i="7"/>
  <c r="E228" i="7"/>
  <c r="BA227" i="7"/>
  <c r="AF227" i="7"/>
  <c r="K227" i="7"/>
  <c r="BG226" i="7"/>
  <c r="AL226" i="7"/>
  <c r="Q226" i="7"/>
  <c r="BM225" i="7"/>
  <c r="AR225" i="7"/>
  <c r="W225" i="7"/>
  <c r="D225" i="7"/>
  <c r="AT229" i="7"/>
  <c r="AD229" i="7"/>
  <c r="N229" i="7"/>
  <c r="BP228" i="7"/>
  <c r="AZ228" i="7"/>
  <c r="AJ228" i="7"/>
  <c r="T228" i="7"/>
  <c r="D228" i="7"/>
  <c r="BF227" i="7"/>
  <c r="AP227" i="7"/>
  <c r="Z227" i="7"/>
  <c r="J227" i="7"/>
  <c r="BL226" i="7"/>
  <c r="AV226" i="7"/>
  <c r="AF226" i="7"/>
  <c r="P226" i="7"/>
  <c r="BR225" i="7"/>
  <c r="BB225" i="7"/>
  <c r="AL225" i="7"/>
  <c r="V225" i="7"/>
  <c r="F225" i="7"/>
  <c r="AM226" i="7"/>
  <c r="M228" i="7"/>
  <c r="AF229" i="7"/>
  <c r="Z230" i="7"/>
  <c r="L231" i="7"/>
  <c r="BB231" i="7"/>
  <c r="AA232" i="7"/>
  <c r="BR232" i="7"/>
  <c r="AP233" i="7"/>
  <c r="O234" i="7"/>
  <c r="BF234" i="7"/>
  <c r="AD235" i="7"/>
  <c r="C236" i="7"/>
  <c r="AT236" i="7"/>
  <c r="Q237" i="7"/>
  <c r="AW237" i="7"/>
  <c r="K238" i="7"/>
  <c r="AQ238" i="7"/>
  <c r="BQ238" i="7"/>
  <c r="U239" i="7"/>
  <c r="AP239" i="7"/>
  <c r="BK239" i="7"/>
  <c r="M240" i="7"/>
  <c r="AC240" i="7"/>
  <c r="AS240" i="7"/>
  <c r="BI240" i="7"/>
  <c r="G241" i="7"/>
  <c r="W241" i="7"/>
  <c r="AM241" i="7"/>
  <c r="BC241" i="7"/>
  <c r="BS241" i="7"/>
  <c r="Q242" i="7"/>
  <c r="AG242" i="7"/>
  <c r="AW242" i="7"/>
  <c r="BM242" i="7"/>
  <c r="K243" i="7"/>
  <c r="AA243" i="7"/>
  <c r="AQ243" i="7"/>
  <c r="BG243" i="7"/>
  <c r="E244" i="7"/>
  <c r="U244" i="7"/>
  <c r="AK244" i="7"/>
  <c r="BA244" i="7"/>
  <c r="BQ244" i="7"/>
  <c r="O245" i="7"/>
  <c r="AE245" i="7"/>
  <c r="AU245" i="7"/>
  <c r="BK245" i="7"/>
  <c r="I246" i="7"/>
  <c r="Y246" i="7"/>
  <c r="AO246" i="7"/>
  <c r="BE246" i="7"/>
  <c r="C247" i="7"/>
  <c r="S247" i="7"/>
  <c r="AI247" i="7"/>
  <c r="AY247" i="7"/>
  <c r="BO247" i="7"/>
  <c r="M248" i="7"/>
  <c r="AC248" i="7"/>
  <c r="AS248" i="7"/>
  <c r="BI248" i="7"/>
  <c r="G249" i="7"/>
  <c r="W249" i="7"/>
  <c r="AM249" i="7"/>
  <c r="BC249" i="7"/>
  <c r="BS249" i="7"/>
  <c r="Q250" i="7"/>
  <c r="AG250" i="7"/>
  <c r="AW250" i="7"/>
  <c r="BM250" i="7"/>
  <c r="K251" i="7"/>
  <c r="AA251" i="7"/>
  <c r="AQ251" i="7"/>
  <c r="BG251" i="7"/>
  <c r="E252" i="7"/>
  <c r="U252" i="7"/>
  <c r="AK252" i="7"/>
  <c r="BA252" i="7"/>
  <c r="BQ252" i="7"/>
  <c r="O253" i="7"/>
  <c r="AE253" i="7"/>
  <c r="AU253" i="7"/>
  <c r="BK253" i="7"/>
  <c r="I254" i="7"/>
  <c r="Y254" i="7"/>
  <c r="BE234" i="7"/>
  <c r="AO234" i="7"/>
  <c r="Y234" i="7"/>
  <c r="I234" i="7"/>
  <c r="BK233" i="7"/>
  <c r="AU233" i="7"/>
  <c r="AE233" i="7"/>
  <c r="O233" i="7"/>
  <c r="BQ232" i="7"/>
  <c r="BA232" i="7"/>
  <c r="AK232" i="7"/>
  <c r="U232" i="7"/>
  <c r="E232" i="7"/>
  <c r="BG231" i="7"/>
  <c r="AQ231" i="7"/>
  <c r="AA231" i="7"/>
  <c r="K231" i="7"/>
  <c r="BI230" i="7"/>
  <c r="AM230" i="7"/>
  <c r="R230" i="7"/>
  <c r="BO229" i="7"/>
  <c r="AN229" i="7"/>
  <c r="L229" i="7"/>
  <c r="BB228" i="7"/>
  <c r="Y228" i="7"/>
  <c r="BO227" i="7"/>
  <c r="AM227" i="7"/>
  <c r="I227" i="7"/>
  <c r="AY226" i="7"/>
  <c r="W226" i="7"/>
  <c r="BL225" i="7"/>
  <c r="AJ225" i="7"/>
  <c r="H225" i="7"/>
  <c r="AC228" i="7"/>
  <c r="BS227" i="7"/>
  <c r="AO227" i="7"/>
  <c r="M227" i="7"/>
  <c r="BC226" i="7"/>
  <c r="Z226" i="7"/>
  <c r="BP225" i="7"/>
  <c r="AN225" i="7"/>
  <c r="K225" i="7"/>
  <c r="BP230" i="7"/>
  <c r="AZ230" i="7"/>
  <c r="AJ230" i="7"/>
  <c r="T230" i="7"/>
  <c r="D230" i="7"/>
  <c r="BE229" i="7"/>
  <c r="AJ229" i="7"/>
  <c r="O229" i="7"/>
  <c r="BK228" i="7"/>
  <c r="AP228" i="7"/>
  <c r="U228" i="7"/>
  <c r="BQ227" i="7"/>
  <c r="AV227" i="7"/>
  <c r="AA227" i="7"/>
  <c r="E227" i="7"/>
  <c r="BB226" i="7"/>
  <c r="AG226" i="7"/>
  <c r="K226" i="7"/>
  <c r="BH225" i="7"/>
  <c r="AM225" i="7"/>
  <c r="Q225" i="7"/>
  <c r="BF229" i="7"/>
  <c r="AP229" i="7"/>
  <c r="Z229" i="7"/>
  <c r="J229" i="7"/>
  <c r="BL228" i="7"/>
  <c r="AV228" i="7"/>
  <c r="AF228" i="7"/>
  <c r="P228" i="7"/>
  <c r="BR227" i="7"/>
  <c r="BB227" i="7"/>
  <c r="AL227" i="7"/>
  <c r="V227" i="7"/>
  <c r="F227" i="7"/>
  <c r="BH226" i="7"/>
  <c r="AR226" i="7"/>
  <c r="AB226" i="7"/>
  <c r="L226" i="7"/>
  <c r="BN225" i="7"/>
  <c r="AX225" i="7"/>
  <c r="AH225" i="7"/>
  <c r="R225" i="7"/>
  <c r="B225" i="7"/>
  <c r="BO226" i="7"/>
  <c r="AO228" i="7"/>
  <c r="AY229" i="7"/>
  <c r="AO230" i="7"/>
  <c r="V231" i="7"/>
  <c r="BM231" i="7"/>
  <c r="AL232" i="7"/>
  <c r="J233" i="7"/>
  <c r="BA233" i="7"/>
  <c r="Z234" i="7"/>
  <c r="BP234" i="7"/>
  <c r="AO235" i="7"/>
  <c r="N236" i="7"/>
  <c r="BD236" i="7"/>
  <c r="Y237" i="7"/>
  <c r="BE237" i="7"/>
  <c r="S238" i="7"/>
  <c r="AY238" i="7"/>
  <c r="E239" i="7"/>
  <c r="Z239" i="7"/>
  <c r="AU239" i="7"/>
  <c r="BQ239" i="7"/>
  <c r="Q240" i="7"/>
  <c r="AG240" i="7"/>
  <c r="AW240" i="7"/>
  <c r="BM240" i="7"/>
  <c r="K241" i="7"/>
  <c r="AA241" i="7"/>
  <c r="AQ241" i="7"/>
  <c r="BG241" i="7"/>
  <c r="E242" i="7"/>
  <c r="U242" i="7"/>
  <c r="AK242" i="7"/>
  <c r="BA242" i="7"/>
  <c r="BQ242" i="7"/>
  <c r="O243" i="7"/>
  <c r="AE243" i="7"/>
  <c r="AU243" i="7"/>
  <c r="BK243" i="7"/>
  <c r="I244" i="7"/>
  <c r="Y244" i="7"/>
  <c r="AO244" i="7"/>
  <c r="BE244" i="7"/>
  <c r="C245" i="7"/>
  <c r="S245" i="7"/>
  <c r="AI245" i="7"/>
  <c r="AY245" i="7"/>
  <c r="BO245" i="7"/>
  <c r="M246" i="7"/>
  <c r="AC246" i="7"/>
  <c r="AS246" i="7"/>
  <c r="BI246" i="7"/>
  <c r="G247" i="7"/>
  <c r="W247" i="7"/>
  <c r="AM247" i="7"/>
  <c r="BC247" i="7"/>
  <c r="BS247" i="7"/>
  <c r="Q248" i="7"/>
  <c r="AG248" i="7"/>
  <c r="AW248" i="7"/>
  <c r="BM248" i="7"/>
  <c r="K249" i="7"/>
  <c r="AA249" i="7"/>
  <c r="AQ249" i="7"/>
  <c r="BG249" i="7"/>
  <c r="E250" i="7"/>
  <c r="U250" i="7"/>
  <c r="AK250" i="7"/>
  <c r="BA250" i="7"/>
  <c r="BQ250" i="7"/>
  <c r="O251" i="7"/>
  <c r="AE251" i="7"/>
  <c r="AU251" i="7"/>
  <c r="BK251" i="7"/>
  <c r="I252" i="7"/>
  <c r="Y252" i="7"/>
  <c r="AO252" i="7"/>
  <c r="BE252" i="7"/>
  <c r="C253" i="7"/>
  <c r="S253" i="7"/>
  <c r="AI253" i="7"/>
  <c r="AY253" i="7"/>
  <c r="BO253" i="7"/>
  <c r="M254" i="7"/>
  <c r="X225" i="7"/>
  <c r="AE225" i="7"/>
  <c r="BO225" i="7"/>
  <c r="AE226" i="7"/>
  <c r="D227" i="7"/>
  <c r="AN227" i="7"/>
  <c r="F228" i="7"/>
  <c r="AW228" i="7"/>
  <c r="C229" i="7"/>
  <c r="AB229" i="7"/>
  <c r="BD229" i="7"/>
  <c r="E230" i="7"/>
  <c r="V230" i="7"/>
  <c r="AQ230" i="7"/>
  <c r="BJ230" i="7"/>
  <c r="I231" i="7"/>
  <c r="Y231" i="7"/>
  <c r="AL231" i="7"/>
  <c r="AZ231" i="7"/>
  <c r="BP231" i="7"/>
  <c r="K232" i="7"/>
  <c r="X232" i="7"/>
  <c r="AN232" i="7"/>
  <c r="BB232" i="7"/>
  <c r="BO232" i="7"/>
  <c r="M233" i="7"/>
  <c r="Z233" i="7"/>
  <c r="AN233" i="7"/>
  <c r="BD233" i="7"/>
  <c r="BQ233" i="7"/>
  <c r="L234" i="7"/>
  <c r="AB234" i="7"/>
  <c r="AP234" i="7"/>
  <c r="BC234" i="7"/>
  <c r="BS234" i="7"/>
  <c r="N235" i="7"/>
  <c r="AB235" i="7"/>
  <c r="AR235" i="7"/>
  <c r="BE235" i="7"/>
  <c r="BR235" i="7"/>
  <c r="P236" i="7"/>
  <c r="AD236" i="7"/>
  <c r="AQ236" i="7"/>
  <c r="BG236" i="7"/>
  <c r="B237" i="7"/>
  <c r="O237" i="7"/>
  <c r="AA237" i="7"/>
  <c r="AK237" i="7"/>
  <c r="AU237" i="7"/>
  <c r="BG237" i="7"/>
  <c r="BQ237" i="7"/>
  <c r="I238" i="7"/>
  <c r="U238" i="7"/>
  <c r="AE238" i="7"/>
  <c r="AO238" i="7"/>
  <c r="BA238" i="7"/>
  <c r="BI238" i="7"/>
  <c r="BP238" i="7"/>
  <c r="F239" i="7"/>
  <c r="M239" i="7"/>
  <c r="S239" i="7"/>
  <c r="P225" i="7"/>
  <c r="C226" i="7"/>
  <c r="BA226" i="7"/>
  <c r="AG227" i="7"/>
  <c r="S228" i="7"/>
  <c r="BG228" i="7"/>
  <c r="W229" i="7"/>
  <c r="BH229" i="7"/>
  <c r="O230" i="7"/>
  <c r="AK230" i="7"/>
  <c r="BM230" i="7"/>
  <c r="Q231" i="7"/>
  <c r="AJ231" i="7"/>
  <c r="BE231" i="7"/>
  <c r="C232" i="7"/>
  <c r="V232" i="7"/>
  <c r="AQ232" i="7"/>
  <c r="BJ232" i="7"/>
  <c r="H233" i="7"/>
  <c r="AC233" i="7"/>
  <c r="AV233" i="7"/>
  <c r="BN233" i="7"/>
  <c r="R234" i="7"/>
  <c r="AH234" i="7"/>
  <c r="AZ234" i="7"/>
  <c r="D235" i="7"/>
  <c r="V235" i="7"/>
  <c r="AL235" i="7"/>
  <c r="BH235" i="7"/>
  <c r="H236" i="7"/>
  <c r="AA236" i="7"/>
  <c r="AV236" i="7"/>
  <c r="BL236" i="7"/>
  <c r="M237" i="7"/>
  <c r="AC237" i="7"/>
  <c r="AQ237" i="7"/>
  <c r="BC237" i="7"/>
  <c r="BS237" i="7"/>
  <c r="O238" i="7"/>
  <c r="AC238" i="7"/>
  <c r="AS238" i="7"/>
  <c r="BE238" i="7"/>
  <c r="BO238" i="7"/>
  <c r="G239" i="7"/>
  <c r="Q239" i="7"/>
  <c r="Y239" i="7"/>
  <c r="AG239" i="7"/>
  <c r="AM239" i="7"/>
  <c r="AT239" i="7"/>
  <c r="BB239" i="7"/>
  <c r="BI239" i="7"/>
  <c r="BO239" i="7"/>
  <c r="E240" i="7"/>
  <c r="K240" i="7"/>
  <c r="P240" i="7"/>
  <c r="V240" i="7"/>
  <c r="AA240" i="7"/>
  <c r="AF240" i="7"/>
  <c r="AL240" i="7"/>
  <c r="AQ240" i="7"/>
  <c r="AV240" i="7"/>
  <c r="BB240" i="7"/>
  <c r="BG240" i="7"/>
  <c r="BL240" i="7"/>
  <c r="BR240" i="7"/>
  <c r="E241" i="7"/>
  <c r="J241" i="7"/>
  <c r="P241" i="7"/>
  <c r="U241" i="7"/>
  <c r="Z241" i="7"/>
  <c r="AF241" i="7"/>
  <c r="AK241" i="7"/>
  <c r="AP241" i="7"/>
  <c r="AV241" i="7"/>
  <c r="BA241" i="7"/>
  <c r="BF241" i="7"/>
  <c r="BL241" i="7"/>
  <c r="BQ241" i="7"/>
  <c r="D242" i="7"/>
  <c r="J242" i="7"/>
  <c r="O242" i="7"/>
  <c r="T242" i="7"/>
  <c r="Z242" i="7"/>
  <c r="AE242" i="7"/>
  <c r="AJ242" i="7"/>
  <c r="AP242" i="7"/>
  <c r="AU242" i="7"/>
  <c r="AZ242" i="7"/>
  <c r="BF242" i="7"/>
  <c r="BK242" i="7"/>
  <c r="BP242" i="7"/>
  <c r="D243" i="7"/>
  <c r="I243" i="7"/>
  <c r="N243" i="7"/>
  <c r="T243" i="7"/>
  <c r="Y243" i="7"/>
  <c r="AD243" i="7"/>
  <c r="AJ243" i="7"/>
  <c r="AO243" i="7"/>
  <c r="AT243" i="7"/>
  <c r="AZ243" i="7"/>
  <c r="BE243" i="7"/>
  <c r="BJ243" i="7"/>
  <c r="BP243" i="7"/>
  <c r="C244" i="7"/>
  <c r="H244" i="7"/>
  <c r="N244" i="7"/>
  <c r="S244" i="7"/>
  <c r="X244" i="7"/>
  <c r="AD244" i="7"/>
  <c r="AI244" i="7"/>
  <c r="AN244" i="7"/>
  <c r="AT244" i="7"/>
  <c r="AY244" i="7"/>
  <c r="BD244" i="7"/>
  <c r="BJ244" i="7"/>
  <c r="BO244" i="7"/>
  <c r="B245" i="7"/>
  <c r="H245" i="7"/>
  <c r="M245" i="7"/>
  <c r="R245" i="7"/>
  <c r="X245" i="7"/>
  <c r="AC245" i="7"/>
  <c r="AH245" i="7"/>
  <c r="AN245" i="7"/>
  <c r="AS245" i="7"/>
  <c r="AX245" i="7"/>
  <c r="BD245" i="7"/>
  <c r="BI245" i="7"/>
  <c r="BN245" i="7"/>
  <c r="B246" i="7"/>
  <c r="G246" i="7"/>
  <c r="L246" i="7"/>
  <c r="R246" i="7"/>
  <c r="W246" i="7"/>
  <c r="AB246" i="7"/>
  <c r="AH246" i="7"/>
  <c r="AM246" i="7"/>
  <c r="AR246" i="7"/>
  <c r="AX246" i="7"/>
  <c r="BC246" i="7"/>
  <c r="BH246" i="7"/>
  <c r="BN246" i="7"/>
  <c r="BS246" i="7"/>
  <c r="F247" i="7"/>
  <c r="L247" i="7"/>
  <c r="Q247" i="7"/>
  <c r="V247" i="7"/>
  <c r="AB247" i="7"/>
  <c r="AG247" i="7"/>
  <c r="AL247" i="7"/>
  <c r="AR247" i="7"/>
  <c r="AW247" i="7"/>
  <c r="BB247" i="7"/>
  <c r="BH247" i="7"/>
  <c r="BM247" i="7"/>
  <c r="AS225" i="7"/>
  <c r="AT226" i="7"/>
  <c r="AU227" i="7"/>
  <c r="AH228" i="7"/>
  <c r="Q229" i="7"/>
  <c r="BL229" i="7"/>
  <c r="AD230" i="7"/>
  <c r="BF230" i="7"/>
  <c r="T231" i="7"/>
  <c r="AT231" i="7"/>
  <c r="BR231" i="7"/>
  <c r="AD232" i="7"/>
  <c r="AY232" i="7"/>
  <c r="E233" i="7"/>
  <c r="AH233" i="7"/>
  <c r="BF233" i="7"/>
  <c r="J234" i="7"/>
  <c r="AM234" i="7"/>
  <c r="BK234" i="7"/>
  <c r="Q235" i="7"/>
  <c r="AT235" i="7"/>
  <c r="BP235" i="7"/>
  <c r="V236" i="7"/>
  <c r="AY236" i="7"/>
  <c r="E237" i="7"/>
  <c r="W237" i="7"/>
  <c r="AS237" i="7"/>
  <c r="BK237" i="7"/>
  <c r="M238" i="7"/>
  <c r="AG238" i="7"/>
  <c r="AW238" i="7"/>
  <c r="BM238" i="7"/>
  <c r="I239" i="7"/>
  <c r="V239" i="7"/>
  <c r="AD239" i="7"/>
  <c r="AO239" i="7"/>
  <c r="AX239" i="7"/>
  <c r="BG239" i="7"/>
  <c r="BR239" i="7"/>
  <c r="H240" i="7"/>
  <c r="O240" i="7"/>
  <c r="W240" i="7"/>
  <c r="AD240" i="7"/>
  <c r="AJ240" i="7"/>
  <c r="AR240" i="7"/>
  <c r="AY240" i="7"/>
  <c r="BF240" i="7"/>
  <c r="BN240" i="7"/>
  <c r="B241" i="7"/>
  <c r="I241" i="7"/>
  <c r="Q241" i="7"/>
  <c r="X241" i="7"/>
  <c r="AD241" i="7"/>
  <c r="AL241" i="7"/>
  <c r="AS241" i="7"/>
  <c r="AZ241" i="7"/>
  <c r="BH241" i="7"/>
  <c r="BN241" i="7"/>
  <c r="C242" i="7"/>
  <c r="K242" i="7"/>
  <c r="R242" i="7"/>
  <c r="X242" i="7"/>
  <c r="AF242" i="7"/>
  <c r="AM242" i="7"/>
  <c r="AT242" i="7"/>
  <c r="BB242" i="7"/>
  <c r="BH242" i="7"/>
  <c r="BO242" i="7"/>
  <c r="E243" i="7"/>
  <c r="L243" i="7"/>
  <c r="R243" i="7"/>
  <c r="Z243" i="7"/>
  <c r="AG243" i="7"/>
  <c r="AN243" i="7"/>
  <c r="AV243" i="7"/>
  <c r="BB243" i="7"/>
  <c r="BI243" i="7"/>
  <c r="BQ243" i="7"/>
  <c r="F244" i="7"/>
  <c r="L244" i="7"/>
  <c r="T244" i="7"/>
  <c r="AA244" i="7"/>
  <c r="AH244" i="7"/>
  <c r="AP244" i="7"/>
  <c r="AV244" i="7"/>
  <c r="BC244" i="7"/>
  <c r="BK244" i="7"/>
  <c r="BR244" i="7"/>
  <c r="F245" i="7"/>
  <c r="N245" i="7"/>
  <c r="U245" i="7"/>
  <c r="AB245" i="7"/>
  <c r="AJ245" i="7"/>
  <c r="AP245" i="7"/>
  <c r="AW245" i="7"/>
  <c r="BE245" i="7"/>
  <c r="BL245" i="7"/>
  <c r="BR245" i="7"/>
  <c r="H246" i="7"/>
  <c r="O246" i="7"/>
  <c r="V246" i="7"/>
  <c r="AD246" i="7"/>
  <c r="AJ246" i="7"/>
  <c r="AQ246" i="7"/>
  <c r="AY246" i="7"/>
  <c r="BF246" i="7"/>
  <c r="BL246" i="7"/>
  <c r="B247" i="7"/>
  <c r="I247" i="7"/>
  <c r="P247" i="7"/>
  <c r="X247" i="7"/>
  <c r="AD247" i="7"/>
  <c r="AK247" i="7"/>
  <c r="AS247" i="7"/>
  <c r="AZ247" i="7"/>
  <c r="BF247" i="7"/>
  <c r="BN247" i="7"/>
  <c r="B248" i="7"/>
  <c r="G248" i="7"/>
  <c r="L248" i="7"/>
  <c r="R248" i="7"/>
  <c r="W248" i="7"/>
  <c r="AB248" i="7"/>
  <c r="AH248" i="7"/>
  <c r="AM248" i="7"/>
  <c r="AR248" i="7"/>
  <c r="AX248" i="7"/>
  <c r="BC248" i="7"/>
  <c r="BH248" i="7"/>
  <c r="BN248" i="7"/>
  <c r="BS248" i="7"/>
  <c r="F249" i="7"/>
  <c r="L249" i="7"/>
  <c r="Q249" i="7"/>
  <c r="V249" i="7"/>
  <c r="AB249" i="7"/>
  <c r="AG249" i="7"/>
  <c r="AL249" i="7"/>
  <c r="AR249" i="7"/>
  <c r="AW249" i="7"/>
  <c r="BB249" i="7"/>
  <c r="BH249" i="7"/>
  <c r="BM249" i="7"/>
  <c r="BR249" i="7"/>
  <c r="F250" i="7"/>
  <c r="K250" i="7"/>
  <c r="P250" i="7"/>
  <c r="V250" i="7"/>
  <c r="AA250" i="7"/>
  <c r="AF250" i="7"/>
  <c r="AL250" i="7"/>
  <c r="AQ250" i="7"/>
  <c r="AV250" i="7"/>
  <c r="BB250" i="7"/>
  <c r="BG250" i="7"/>
  <c r="BL250" i="7"/>
  <c r="BR250" i="7"/>
  <c r="E251" i="7"/>
  <c r="J251" i="7"/>
  <c r="P251" i="7"/>
  <c r="U251" i="7"/>
  <c r="Z251" i="7"/>
  <c r="AF251" i="7"/>
  <c r="AK251" i="7"/>
  <c r="AP251" i="7"/>
  <c r="AV251" i="7"/>
  <c r="BA251" i="7"/>
  <c r="BF251" i="7"/>
  <c r="BL251" i="7"/>
  <c r="BQ251" i="7"/>
  <c r="D252" i="7"/>
  <c r="J252" i="7"/>
  <c r="O252" i="7"/>
  <c r="T252" i="7"/>
  <c r="Z252" i="7"/>
  <c r="AE252" i="7"/>
  <c r="AJ252" i="7"/>
  <c r="AP252" i="7"/>
  <c r="AU252" i="7"/>
  <c r="AZ252" i="7"/>
  <c r="BF252" i="7"/>
  <c r="BK252" i="7"/>
  <c r="BP252" i="7"/>
  <c r="D253" i="7"/>
  <c r="I253" i="7"/>
  <c r="N253" i="7"/>
  <c r="T253" i="7"/>
  <c r="Y253" i="7"/>
  <c r="AD253" i="7"/>
  <c r="AJ253" i="7"/>
  <c r="AO253" i="7"/>
  <c r="AT253" i="7"/>
  <c r="AZ253" i="7"/>
  <c r="BE253" i="7"/>
  <c r="BJ253" i="7"/>
  <c r="BP253" i="7"/>
  <c r="C254" i="7"/>
  <c r="H254" i="7"/>
  <c r="N254" i="7"/>
  <c r="S254" i="7"/>
  <c r="X254" i="7"/>
  <c r="AD254" i="7"/>
  <c r="AH254" i="7"/>
  <c r="AL254" i="7"/>
  <c r="AP254" i="7"/>
  <c r="AT254" i="7"/>
  <c r="AX254" i="7"/>
  <c r="BB254" i="7"/>
  <c r="BF254" i="7"/>
  <c r="BJ254" i="7"/>
  <c r="BN254" i="7"/>
  <c r="BR254" i="7"/>
  <c r="D255" i="7"/>
  <c r="H255" i="7"/>
  <c r="L255" i="7"/>
  <c r="P255" i="7"/>
  <c r="T255" i="7"/>
  <c r="X255" i="7"/>
  <c r="AB255" i="7"/>
  <c r="AF255" i="7"/>
  <c r="AJ255" i="7"/>
  <c r="AN255" i="7"/>
  <c r="AR255" i="7"/>
  <c r="AV255" i="7"/>
  <c r="AZ255" i="7"/>
  <c r="BD255" i="7"/>
  <c r="BH255" i="7"/>
  <c r="BL255" i="7"/>
  <c r="BP255" i="7"/>
  <c r="B256" i="7"/>
  <c r="F256" i="7"/>
  <c r="J256" i="7"/>
  <c r="N256" i="7"/>
  <c r="R256" i="7"/>
  <c r="V256" i="7"/>
  <c r="Z256" i="7"/>
  <c r="AD256" i="7"/>
  <c r="AH256" i="7"/>
  <c r="AL256" i="7"/>
  <c r="AP256" i="7"/>
  <c r="AT256" i="7"/>
  <c r="AX256" i="7"/>
  <c r="BB256" i="7"/>
  <c r="BF256" i="7"/>
  <c r="BJ256" i="7"/>
  <c r="BN256" i="7"/>
  <c r="BR256" i="7"/>
  <c r="D257" i="7"/>
  <c r="H257" i="7"/>
  <c r="L257" i="7"/>
  <c r="P257" i="7"/>
  <c r="T257" i="7"/>
  <c r="X257" i="7"/>
  <c r="AB257" i="7"/>
  <c r="AF257" i="7"/>
  <c r="AJ257" i="7"/>
  <c r="AN257" i="7"/>
  <c r="AR257" i="7"/>
  <c r="AV257" i="7"/>
  <c r="AZ257" i="7"/>
  <c r="BD257" i="7"/>
  <c r="BH257" i="7"/>
  <c r="BL257" i="7"/>
  <c r="BP257" i="7"/>
  <c r="B258" i="7"/>
  <c r="F258" i="7"/>
  <c r="J258" i="7"/>
  <c r="N258" i="7"/>
  <c r="R258" i="7"/>
  <c r="V258" i="7"/>
  <c r="Z258" i="7"/>
  <c r="AD258" i="7"/>
  <c r="AH258" i="7"/>
  <c r="AL258" i="7"/>
  <c r="AP258" i="7"/>
  <c r="AT258" i="7"/>
  <c r="AX258" i="7"/>
  <c r="BB258" i="7"/>
  <c r="BF258" i="7"/>
  <c r="BJ258" i="7"/>
  <c r="BN258" i="7"/>
  <c r="BR258" i="7"/>
  <c r="D259" i="7"/>
  <c r="H259" i="7"/>
  <c r="L259" i="7"/>
  <c r="P259" i="7"/>
  <c r="T259" i="7"/>
  <c r="X259" i="7"/>
  <c r="AB259" i="7"/>
  <c r="AF259" i="7"/>
  <c r="AJ259" i="7"/>
  <c r="AN259" i="7"/>
  <c r="AR259" i="7"/>
  <c r="AV259" i="7"/>
  <c r="AZ259" i="7"/>
  <c r="BD259" i="7"/>
  <c r="BH259" i="7"/>
  <c r="BL259" i="7"/>
  <c r="BP259" i="7"/>
  <c r="B260" i="7"/>
  <c r="F260" i="7"/>
  <c r="J260" i="7"/>
  <c r="N260" i="7"/>
  <c r="R260" i="7"/>
  <c r="V260" i="7"/>
  <c r="Z260" i="7"/>
  <c r="AD260" i="7"/>
  <c r="AH260" i="7"/>
  <c r="AL260" i="7"/>
  <c r="AP260" i="7"/>
  <c r="AT260" i="7"/>
  <c r="AX260" i="7"/>
  <c r="BB260" i="7"/>
  <c r="BF260" i="7"/>
  <c r="BJ260" i="7"/>
  <c r="BN260" i="7"/>
  <c r="BR260" i="7"/>
  <c r="D261" i="7"/>
  <c r="H261" i="7"/>
  <c r="L261" i="7"/>
  <c r="P261" i="7"/>
  <c r="T261" i="7"/>
  <c r="X261" i="7"/>
  <c r="AB261" i="7"/>
  <c r="AF261" i="7"/>
  <c r="AJ261" i="7"/>
  <c r="AN261" i="7"/>
  <c r="AR261" i="7"/>
  <c r="AV261" i="7"/>
  <c r="AZ261" i="7"/>
  <c r="BG225" i="7"/>
  <c r="L227" i="7"/>
  <c r="AA228" i="7"/>
  <c r="AK229" i="7"/>
  <c r="I230" i="7"/>
  <c r="AY230" i="7"/>
  <c r="AB231" i="7"/>
  <c r="BH231" i="7"/>
  <c r="S232" i="7"/>
  <c r="BD232" i="7"/>
  <c r="R233" i="7"/>
  <c r="AX233" i="7"/>
  <c r="T234" i="7"/>
  <c r="AX234" i="7"/>
  <c r="L235" i="7"/>
  <c r="AW235" i="7"/>
  <c r="K236" i="7"/>
  <c r="AN236" i="7"/>
  <c r="J237" i="7"/>
  <c r="AI237" i="7"/>
  <c r="BI237" i="7"/>
  <c r="Q238" i="7"/>
  <c r="AM238" i="7"/>
  <c r="BK238" i="7"/>
  <c r="K239" i="7"/>
  <c r="AA239" i="7"/>
  <c r="AL239" i="7"/>
  <c r="AY239" i="7"/>
  <c r="BM239" i="7"/>
  <c r="G240" i="7"/>
  <c r="R240" i="7"/>
  <c r="Z240" i="7"/>
  <c r="AI240" i="7"/>
  <c r="AT240" i="7"/>
  <c r="BC240" i="7"/>
  <c r="BK240" i="7"/>
  <c r="D241" i="7"/>
  <c r="M241" i="7"/>
  <c r="V241" i="7"/>
  <c r="AG241" i="7"/>
  <c r="AO241" i="7"/>
  <c r="AX241" i="7"/>
  <c r="BI241" i="7"/>
  <c r="BR241" i="7"/>
  <c r="H242" i="7"/>
  <c r="S242" i="7"/>
  <c r="AB242" i="7"/>
  <c r="AL242" i="7"/>
  <c r="AV242" i="7"/>
  <c r="BD242" i="7"/>
  <c r="BN242" i="7"/>
  <c r="F243" i="7"/>
  <c r="P243" i="7"/>
  <c r="X243" i="7"/>
  <c r="AH243" i="7"/>
  <c r="AR243" i="7"/>
  <c r="BA243" i="7"/>
  <c r="BL243" i="7"/>
  <c r="B244" i="7"/>
  <c r="K244" i="7"/>
  <c r="V244" i="7"/>
  <c r="AE244" i="7"/>
  <c r="AM244" i="7"/>
  <c r="AX244" i="7"/>
  <c r="BG244" i="7"/>
  <c r="BP244" i="7"/>
  <c r="I245" i="7"/>
  <c r="Q245" i="7"/>
  <c r="Z245" i="7"/>
  <c r="AK245" i="7"/>
  <c r="AT245" i="7"/>
  <c r="BB245" i="7"/>
  <c r="BM245" i="7"/>
  <c r="D246" i="7"/>
  <c r="N246" i="7"/>
  <c r="X246" i="7"/>
  <c r="AF246" i="7"/>
  <c r="AP246" i="7"/>
  <c r="AZ246" i="7"/>
  <c r="BJ246" i="7"/>
  <c r="BR246" i="7"/>
  <c r="J247" i="7"/>
  <c r="T247" i="7"/>
  <c r="AC247" i="7"/>
  <c r="AN247" i="7"/>
  <c r="AV247" i="7"/>
  <c r="BE247" i="7"/>
  <c r="BP247" i="7"/>
  <c r="D248" i="7"/>
  <c r="K248" i="7"/>
  <c r="S248" i="7"/>
  <c r="Z248" i="7"/>
  <c r="AF248" i="7"/>
  <c r="AN248" i="7"/>
  <c r="AU248" i="7"/>
  <c r="BB248" i="7"/>
  <c r="BJ248" i="7"/>
  <c r="BP248" i="7"/>
  <c r="E249" i="7"/>
  <c r="M249" i="7"/>
  <c r="T249" i="7"/>
  <c r="Z249" i="7"/>
  <c r="AH249" i="7"/>
  <c r="AO249" i="7"/>
  <c r="AV249" i="7"/>
  <c r="BD249" i="7"/>
  <c r="BJ249" i="7"/>
  <c r="BQ249" i="7"/>
  <c r="G250" i="7"/>
  <c r="N250" i="7"/>
  <c r="T250" i="7"/>
  <c r="AB250" i="7"/>
  <c r="AI250" i="7"/>
  <c r="AP250" i="7"/>
  <c r="AX250" i="7"/>
  <c r="BD250" i="7"/>
  <c r="BK250" i="7"/>
  <c r="BS250" i="7"/>
  <c r="H251" i="7"/>
  <c r="N251" i="7"/>
  <c r="V251" i="7"/>
  <c r="AC251" i="7"/>
  <c r="AJ251" i="7"/>
  <c r="AR251" i="7"/>
  <c r="AX251" i="7"/>
  <c r="BE251" i="7"/>
  <c r="BM251" i="7"/>
  <c r="B252" i="7"/>
  <c r="H252" i="7"/>
  <c r="P252" i="7"/>
  <c r="W252" i="7"/>
  <c r="AD252" i="7"/>
  <c r="AL252" i="7"/>
  <c r="AR252" i="7"/>
  <c r="AY252" i="7"/>
  <c r="BG252" i="7"/>
  <c r="BN252" i="7"/>
  <c r="B253" i="7"/>
  <c r="J253" i="7"/>
  <c r="Q253" i="7"/>
  <c r="X253" i="7"/>
  <c r="AF253" i="7"/>
  <c r="AL253" i="7"/>
  <c r="AS253" i="7"/>
  <c r="BA253" i="7"/>
  <c r="BH253" i="7"/>
  <c r="BN253" i="7"/>
  <c r="D254" i="7"/>
  <c r="K254" i="7"/>
  <c r="R254" i="7"/>
  <c r="Z254" i="7"/>
  <c r="AF254" i="7"/>
  <c r="AK254" i="7"/>
  <c r="AQ254" i="7"/>
  <c r="AV254" i="7"/>
  <c r="BA254" i="7"/>
  <c r="BG254" i="7"/>
  <c r="BL254" i="7"/>
  <c r="BQ254" i="7"/>
  <c r="E255" i="7"/>
  <c r="J255" i="7"/>
  <c r="O255" i="7"/>
  <c r="U255" i="7"/>
  <c r="Z255" i="7"/>
  <c r="AE255" i="7"/>
  <c r="AK255" i="7"/>
  <c r="AP255" i="7"/>
  <c r="AU255" i="7"/>
  <c r="BA255" i="7"/>
  <c r="BF255" i="7"/>
  <c r="BK255" i="7"/>
  <c r="BQ255" i="7"/>
  <c r="D256" i="7"/>
  <c r="I256" i="7"/>
  <c r="O256" i="7"/>
  <c r="T256" i="7"/>
  <c r="Y256" i="7"/>
  <c r="AE256" i="7"/>
  <c r="AJ256" i="7"/>
  <c r="AO256" i="7"/>
  <c r="AU256" i="7"/>
  <c r="AZ256" i="7"/>
  <c r="BE256" i="7"/>
  <c r="BK256" i="7"/>
  <c r="BP256" i="7"/>
  <c r="C257" i="7"/>
  <c r="I257" i="7"/>
  <c r="N257" i="7"/>
  <c r="S257" i="7"/>
  <c r="Y257" i="7"/>
  <c r="AD257" i="7"/>
  <c r="AI257" i="7"/>
  <c r="AO257" i="7"/>
  <c r="AT257" i="7"/>
  <c r="AY257" i="7"/>
  <c r="BE257" i="7"/>
  <c r="BJ257" i="7"/>
  <c r="BO257" i="7"/>
  <c r="C258" i="7"/>
  <c r="H258" i="7"/>
  <c r="M258" i="7"/>
  <c r="S258" i="7"/>
  <c r="X258" i="7"/>
  <c r="AC258" i="7"/>
  <c r="AI258" i="7"/>
  <c r="AN258" i="7"/>
  <c r="AS258" i="7"/>
  <c r="AY258" i="7"/>
  <c r="BD258" i="7"/>
  <c r="BI258" i="7"/>
  <c r="BO258" i="7"/>
  <c r="B259" i="7"/>
  <c r="G259" i="7"/>
  <c r="M259" i="7"/>
  <c r="R259" i="7"/>
  <c r="W259" i="7"/>
  <c r="AC259" i="7"/>
  <c r="AH259" i="7"/>
  <c r="AM259" i="7"/>
  <c r="AS259" i="7"/>
  <c r="AX259" i="7"/>
  <c r="BC259" i="7"/>
  <c r="BI259" i="7"/>
  <c r="BN259" i="7"/>
  <c r="BS259" i="7"/>
  <c r="G260" i="7"/>
  <c r="L260" i="7"/>
  <c r="Q260" i="7"/>
  <c r="W260" i="7"/>
  <c r="AB260" i="7"/>
  <c r="AG260" i="7"/>
  <c r="AM260" i="7"/>
  <c r="AR260" i="7"/>
  <c r="AW260" i="7"/>
  <c r="BC260" i="7"/>
  <c r="BH260" i="7"/>
  <c r="BM260" i="7"/>
  <c r="BS260" i="7"/>
  <c r="F261" i="7"/>
  <c r="K261" i="7"/>
  <c r="Q261" i="7"/>
  <c r="V261" i="7"/>
  <c r="AA261" i="7"/>
  <c r="AG261" i="7"/>
  <c r="AL261" i="7"/>
  <c r="AQ261" i="7"/>
  <c r="AW261" i="7"/>
  <c r="BB261" i="7"/>
  <c r="BF261" i="7"/>
  <c r="BJ261" i="7"/>
  <c r="BN261" i="7"/>
  <c r="BR261" i="7"/>
  <c r="D262" i="7"/>
  <c r="H262" i="7"/>
  <c r="L262" i="7"/>
  <c r="P262" i="7"/>
  <c r="T262" i="7"/>
  <c r="X262" i="7"/>
  <c r="AB262" i="7"/>
  <c r="AF262" i="7"/>
  <c r="AJ262" i="7"/>
  <c r="AN262" i="7"/>
  <c r="AR262" i="7"/>
  <c r="AV262" i="7"/>
  <c r="AZ262" i="7"/>
  <c r="BD262" i="7"/>
  <c r="BH262" i="7"/>
  <c r="BL262" i="7"/>
  <c r="BP262" i="7"/>
  <c r="B263" i="7"/>
  <c r="F263" i="7"/>
  <c r="J263" i="7"/>
  <c r="N263" i="7"/>
  <c r="R263" i="7"/>
  <c r="V263" i="7"/>
  <c r="Z263" i="7"/>
  <c r="AD263" i="7"/>
  <c r="AH263" i="7"/>
  <c r="AL263" i="7"/>
  <c r="AP263" i="7"/>
  <c r="AT263" i="7"/>
  <c r="AX263" i="7"/>
  <c r="BB263" i="7"/>
  <c r="BF263" i="7"/>
  <c r="BJ263" i="7"/>
  <c r="BN263" i="7"/>
  <c r="BR263" i="7"/>
  <c r="D264" i="7"/>
  <c r="H264" i="7"/>
  <c r="L264" i="7"/>
  <c r="P264" i="7"/>
  <c r="T264" i="7"/>
  <c r="X264" i="7"/>
  <c r="AB264" i="7"/>
  <c r="AF264" i="7"/>
  <c r="AJ264" i="7"/>
  <c r="AN264" i="7"/>
  <c r="AR264" i="7"/>
  <c r="AV264" i="7"/>
  <c r="AZ264" i="7"/>
  <c r="BD264" i="7"/>
  <c r="BH264" i="7"/>
  <c r="BL264" i="7"/>
  <c r="BP264" i="7"/>
  <c r="B265" i="7"/>
  <c r="F265" i="7"/>
  <c r="J265" i="7"/>
  <c r="N265" i="7"/>
  <c r="R265" i="7"/>
  <c r="V265" i="7"/>
  <c r="Z265" i="7"/>
  <c r="AD265" i="7"/>
  <c r="AH265" i="7"/>
  <c r="AL265" i="7"/>
  <c r="AP265" i="7"/>
  <c r="AT265" i="7"/>
  <c r="AX265" i="7"/>
  <c r="BB265" i="7"/>
  <c r="BF265" i="7"/>
  <c r="BJ265" i="7"/>
  <c r="BN265" i="7"/>
  <c r="BR265" i="7"/>
  <c r="D266" i="7"/>
  <c r="H266" i="7"/>
  <c r="L266" i="7"/>
  <c r="P266" i="7"/>
  <c r="T266" i="7"/>
  <c r="X266" i="7"/>
  <c r="AB266" i="7"/>
  <c r="AF266" i="7"/>
  <c r="AJ266" i="7"/>
  <c r="AN266" i="7"/>
  <c r="AR266" i="7"/>
  <c r="AV266" i="7"/>
  <c r="AZ266" i="7"/>
  <c r="BD266" i="7"/>
  <c r="BH266" i="7"/>
  <c r="BL266" i="7"/>
  <c r="BP266" i="7"/>
  <c r="B267" i="7"/>
  <c r="F267" i="7"/>
  <c r="J267" i="7"/>
  <c r="N267" i="7"/>
  <c r="R267" i="7"/>
  <c r="V267" i="7"/>
  <c r="Z267" i="7"/>
  <c r="AD267" i="7"/>
  <c r="AH267" i="7"/>
  <c r="AL267" i="7"/>
  <c r="AP267" i="7"/>
  <c r="AT267" i="7"/>
  <c r="AX267" i="7"/>
  <c r="BB267" i="7"/>
  <c r="BF267" i="7"/>
  <c r="BJ267" i="7"/>
  <c r="BN267" i="7"/>
  <c r="BR267" i="7"/>
  <c r="D268" i="7"/>
  <c r="H268" i="7"/>
  <c r="L268" i="7"/>
  <c r="P268" i="7"/>
  <c r="T268" i="7"/>
  <c r="X268" i="7"/>
  <c r="AB268" i="7"/>
  <c r="AF268" i="7"/>
  <c r="AJ268" i="7"/>
  <c r="AN268" i="7"/>
  <c r="AR268" i="7"/>
  <c r="AV268" i="7"/>
  <c r="AZ268" i="7"/>
  <c r="BD268" i="7"/>
  <c r="BH268" i="7"/>
  <c r="BL268" i="7"/>
  <c r="BP268" i="7"/>
  <c r="B269" i="7"/>
  <c r="F269" i="7"/>
  <c r="J269" i="7"/>
  <c r="N269" i="7"/>
  <c r="R269" i="7"/>
  <c r="V269" i="7"/>
  <c r="Z269" i="7"/>
  <c r="AD269" i="7"/>
  <c r="AH269" i="7"/>
  <c r="AL269" i="7"/>
  <c r="AP269" i="7"/>
  <c r="AT269" i="7"/>
  <c r="AX269" i="7"/>
  <c r="BB269" i="7"/>
  <c r="BF269" i="7"/>
  <c r="BJ269" i="7"/>
  <c r="BN269" i="7"/>
  <c r="BR269" i="7"/>
  <c r="D270" i="7"/>
  <c r="H270" i="7"/>
  <c r="L270" i="7"/>
  <c r="P270" i="7"/>
  <c r="T270" i="7"/>
  <c r="X270" i="7"/>
  <c r="AB270" i="7"/>
  <c r="AF270" i="7"/>
  <c r="AJ270" i="7"/>
  <c r="AN270" i="7"/>
  <c r="AR270" i="7"/>
  <c r="AV270" i="7"/>
  <c r="AZ270" i="7"/>
  <c r="BD270" i="7"/>
  <c r="BH270" i="7"/>
  <c r="BL270" i="7"/>
  <c r="BP270" i="7"/>
  <c r="B271" i="7"/>
  <c r="F271" i="7"/>
  <c r="J271" i="7"/>
  <c r="N271" i="7"/>
  <c r="R271" i="7"/>
  <c r="V271" i="7"/>
  <c r="Z271" i="7"/>
  <c r="AD271" i="7"/>
  <c r="AH271" i="7"/>
  <c r="AL271" i="7"/>
  <c r="AP271" i="7"/>
  <c r="AT271" i="7"/>
  <c r="AX271" i="7"/>
  <c r="BB271" i="7"/>
  <c r="BF271" i="7"/>
  <c r="BJ271" i="7"/>
  <c r="BN271" i="7"/>
  <c r="BR271" i="7"/>
  <c r="D272" i="7"/>
  <c r="H272" i="7"/>
  <c r="L272" i="7"/>
  <c r="P272" i="7"/>
  <c r="T272" i="7"/>
  <c r="X272" i="7"/>
  <c r="AB272" i="7"/>
  <c r="AF272" i="7"/>
  <c r="AJ272" i="7"/>
  <c r="AN272" i="7"/>
  <c r="AR272" i="7"/>
  <c r="AV272" i="7"/>
  <c r="AZ272" i="7"/>
  <c r="BD272" i="7"/>
  <c r="BH272" i="7"/>
  <c r="BL272" i="7"/>
  <c r="BP272" i="7"/>
  <c r="B273" i="7"/>
  <c r="F273" i="7"/>
  <c r="J273" i="7"/>
  <c r="N273" i="7"/>
  <c r="R273" i="7"/>
  <c r="V273" i="7"/>
  <c r="Z273" i="7"/>
  <c r="AD273" i="7"/>
  <c r="AH273" i="7"/>
  <c r="AL273" i="7"/>
  <c r="AP273" i="7"/>
  <c r="AT273" i="7"/>
  <c r="AX273" i="7"/>
  <c r="BB273" i="7"/>
  <c r="BF273" i="7"/>
  <c r="BJ273" i="7"/>
  <c r="BN273" i="7"/>
  <c r="BR273" i="7"/>
  <c r="D274" i="7"/>
  <c r="H274" i="7"/>
  <c r="L274" i="7"/>
  <c r="P274" i="7"/>
  <c r="T274" i="7"/>
  <c r="X274" i="7"/>
  <c r="AB274" i="7"/>
  <c r="AF274" i="7"/>
  <c r="AJ274" i="7"/>
  <c r="AN274" i="7"/>
  <c r="AR274" i="7"/>
  <c r="AV274" i="7"/>
  <c r="AZ274" i="7"/>
  <c r="BD274" i="7"/>
  <c r="BH274" i="7"/>
  <c r="BL274" i="7"/>
  <c r="BP274" i="7"/>
  <c r="B275" i="7"/>
  <c r="F275" i="7"/>
  <c r="J275" i="7"/>
  <c r="N275" i="7"/>
  <c r="R275" i="7"/>
  <c r="V275" i="7"/>
  <c r="Z275" i="7"/>
  <c r="AD275" i="7"/>
  <c r="AH275" i="7"/>
  <c r="AL275" i="7"/>
  <c r="AP275" i="7"/>
  <c r="AT275" i="7"/>
  <c r="AX275" i="7"/>
  <c r="BB275" i="7"/>
  <c r="BF275" i="7"/>
  <c r="BJ275" i="7"/>
  <c r="BN275" i="7"/>
  <c r="BR275" i="7"/>
  <c r="D276" i="7"/>
  <c r="H276" i="7"/>
  <c r="L276" i="7"/>
  <c r="P276" i="7"/>
  <c r="T276" i="7"/>
  <c r="X276" i="7"/>
  <c r="AB276" i="7"/>
  <c r="AF276" i="7"/>
  <c r="AJ276" i="7"/>
  <c r="AN276" i="7"/>
  <c r="AR276" i="7"/>
  <c r="AV276" i="7"/>
  <c r="AZ276" i="7"/>
  <c r="BD276" i="7"/>
  <c r="BH276" i="7"/>
  <c r="BL276" i="7"/>
  <c r="BP276" i="7"/>
  <c r="B277" i="7"/>
  <c r="F277" i="7"/>
  <c r="J277" i="7"/>
  <c r="N277" i="7"/>
  <c r="R277" i="7"/>
  <c r="V277" i="7"/>
  <c r="Z277" i="7"/>
  <c r="AD277" i="7"/>
  <c r="AH277" i="7"/>
  <c r="AL277" i="7"/>
  <c r="AP277" i="7"/>
  <c r="AT277" i="7"/>
  <c r="AX277" i="7"/>
  <c r="BB277" i="7"/>
  <c r="BF277" i="7"/>
  <c r="BJ277" i="7"/>
  <c r="BN277" i="7"/>
  <c r="BR277" i="7"/>
  <c r="D278" i="7"/>
  <c r="H278" i="7"/>
  <c r="L278" i="7"/>
  <c r="P278" i="7"/>
  <c r="T278" i="7"/>
  <c r="X278" i="7"/>
  <c r="AB278" i="7"/>
  <c r="AF278" i="7"/>
  <c r="AJ278" i="7"/>
  <c r="AN278" i="7"/>
  <c r="AR278" i="7"/>
  <c r="AV278" i="7"/>
  <c r="AZ278" i="7"/>
  <c r="BD278" i="7"/>
  <c r="BH278" i="7"/>
  <c r="BL278" i="7"/>
  <c r="BP278" i="7"/>
  <c r="B279" i="7"/>
  <c r="F279" i="7"/>
  <c r="J279" i="7"/>
  <c r="N279" i="7"/>
  <c r="R279" i="7"/>
  <c r="V279" i="7"/>
  <c r="Z279" i="7"/>
  <c r="AD279" i="7"/>
  <c r="AH279" i="7"/>
  <c r="AL279" i="7"/>
  <c r="AP279" i="7"/>
  <c r="AT279" i="7"/>
  <c r="AX279" i="7"/>
  <c r="BB279" i="7"/>
  <c r="BF279" i="7"/>
  <c r="BJ279" i="7"/>
  <c r="BN279" i="7"/>
  <c r="BR279" i="7"/>
  <c r="D280" i="7"/>
  <c r="H280" i="7"/>
  <c r="L280" i="7"/>
  <c r="P280" i="7"/>
  <c r="T280" i="7"/>
  <c r="X280" i="7"/>
  <c r="AB280" i="7"/>
  <c r="AF280" i="7"/>
  <c r="AJ280" i="7"/>
  <c r="AN280" i="7"/>
  <c r="AR280" i="7"/>
  <c r="AV280" i="7"/>
  <c r="AZ280" i="7"/>
  <c r="BD280" i="7"/>
  <c r="BH280" i="7"/>
  <c r="BL280" i="7"/>
  <c r="BP280" i="7"/>
  <c r="B281" i="7"/>
  <c r="F281" i="7"/>
  <c r="J281" i="7"/>
  <c r="N281" i="7"/>
  <c r="R281" i="7"/>
  <c r="V281" i="7"/>
  <c r="Z281" i="7"/>
  <c r="AD281" i="7"/>
  <c r="AH281" i="7"/>
  <c r="AL281" i="7"/>
  <c r="AP281" i="7"/>
  <c r="AT281" i="7"/>
  <c r="AX281" i="7"/>
  <c r="BB281" i="7"/>
  <c r="BF281" i="7"/>
  <c r="BJ281" i="7"/>
  <c r="BN281" i="7"/>
  <c r="BR281" i="7"/>
  <c r="D282" i="7"/>
  <c r="H282" i="7"/>
  <c r="L282" i="7"/>
  <c r="P282" i="7"/>
  <c r="T282" i="7"/>
  <c r="X282" i="7"/>
  <c r="AB282" i="7"/>
  <c r="AF282" i="7"/>
  <c r="AJ282" i="7"/>
  <c r="AN282" i="7"/>
  <c r="AR282" i="7"/>
  <c r="AV282" i="7"/>
  <c r="AZ282" i="7"/>
  <c r="BD282" i="7"/>
  <c r="BH282" i="7"/>
  <c r="BL282" i="7"/>
  <c r="BP282" i="7"/>
  <c r="B283" i="7"/>
  <c r="F283" i="7"/>
  <c r="J283" i="7"/>
  <c r="N283" i="7"/>
  <c r="R283" i="7"/>
  <c r="V283" i="7"/>
  <c r="Z283" i="7"/>
  <c r="AD283" i="7"/>
  <c r="AH283" i="7"/>
  <c r="AL283" i="7"/>
  <c r="AP283" i="7"/>
  <c r="AT283" i="7"/>
  <c r="AX283" i="7"/>
  <c r="BB283" i="7"/>
  <c r="BF283" i="7"/>
  <c r="BJ283" i="7"/>
  <c r="BN283" i="7"/>
  <c r="BR283" i="7"/>
  <c r="D284" i="7"/>
  <c r="H284" i="7"/>
  <c r="L284" i="7"/>
  <c r="P284" i="7"/>
  <c r="T284" i="7"/>
  <c r="X284" i="7"/>
  <c r="AB284" i="7"/>
  <c r="AF284" i="7"/>
  <c r="AJ284" i="7"/>
  <c r="AN284" i="7"/>
  <c r="AR284" i="7"/>
  <c r="AV284" i="7"/>
  <c r="AZ284" i="7"/>
  <c r="BD284" i="7"/>
  <c r="BH284" i="7"/>
  <c r="BL284" i="7"/>
  <c r="BP284" i="7"/>
  <c r="B285" i="7"/>
  <c r="F285" i="7"/>
  <c r="J285" i="7"/>
  <c r="N285" i="7"/>
  <c r="R285" i="7"/>
  <c r="V285" i="7"/>
  <c r="Z285" i="7"/>
  <c r="AD285" i="7"/>
  <c r="AH285" i="7"/>
  <c r="AL285" i="7"/>
  <c r="AP285" i="7"/>
  <c r="AT285" i="7"/>
  <c r="AX285" i="7"/>
  <c r="BB285" i="7"/>
  <c r="BF285" i="7"/>
  <c r="BJ285" i="7"/>
  <c r="BN285" i="7"/>
  <c r="BR285" i="7"/>
  <c r="D286" i="7"/>
  <c r="H286" i="7"/>
  <c r="L286" i="7"/>
  <c r="I225" i="7"/>
  <c r="BI226" i="7"/>
  <c r="BC228" i="7"/>
  <c r="AS229" i="7"/>
  <c r="AU230" i="7"/>
  <c r="AD231" i="7"/>
  <c r="H232" i="7"/>
  <c r="AT232" i="7"/>
  <c r="X233" i="7"/>
  <c r="B234" i="7"/>
  <c r="AR234" i="7"/>
  <c r="Y235" i="7"/>
  <c r="BM235" i="7"/>
  <c r="AL236" i="7"/>
  <c r="S237" i="7"/>
  <c r="AY237" i="7"/>
  <c r="G238" i="7"/>
  <c r="AU238" i="7"/>
  <c r="B239" i="7"/>
  <c r="W239" i="7"/>
  <c r="AQ239" i="7"/>
  <c r="BE239" i="7"/>
  <c r="C240" i="7"/>
  <c r="S240" i="7"/>
  <c r="AE240" i="7"/>
  <c r="AP240" i="7"/>
  <c r="BD240" i="7"/>
  <c r="BP240" i="7"/>
  <c r="L241" i="7"/>
  <c r="Y241" i="7"/>
  <c r="AJ241" i="7"/>
  <c r="AW241" i="7"/>
  <c r="BJ241" i="7"/>
  <c r="F242" i="7"/>
  <c r="P242" i="7"/>
  <c r="AD242" i="7"/>
  <c r="AQ242" i="7"/>
  <c r="BC242" i="7"/>
  <c r="BR242" i="7"/>
  <c r="J243" i="7"/>
  <c r="V243" i="7"/>
  <c r="AK243" i="7"/>
  <c r="AW243" i="7"/>
  <c r="BH243" i="7"/>
  <c r="D244" i="7"/>
  <c r="P244" i="7"/>
  <c r="AB244" i="7"/>
  <c r="AQ244" i="7"/>
  <c r="BB244" i="7"/>
  <c r="BN244" i="7"/>
  <c r="J245" i="7"/>
  <c r="V245" i="7"/>
  <c r="AG245" i="7"/>
  <c r="AV245" i="7"/>
  <c r="BH245" i="7"/>
  <c r="C246" i="7"/>
  <c r="P246" i="7"/>
  <c r="AA246" i="7"/>
  <c r="AN246" i="7"/>
  <c r="BB246" i="7"/>
  <c r="BO246" i="7"/>
  <c r="H247" i="7"/>
  <c r="U247" i="7"/>
  <c r="AH247" i="7"/>
  <c r="AT247" i="7"/>
  <c r="BI247" i="7"/>
  <c r="BR247" i="7"/>
  <c r="J248" i="7"/>
  <c r="T248" i="7"/>
  <c r="AD248" i="7"/>
  <c r="AL248" i="7"/>
  <c r="AV248" i="7"/>
  <c r="BF248" i="7"/>
  <c r="BO248" i="7"/>
  <c r="H249" i="7"/>
  <c r="P249" i="7"/>
  <c r="Y249" i="7"/>
  <c r="AJ249" i="7"/>
  <c r="AS249" i="7"/>
  <c r="BA249" i="7"/>
  <c r="BL249" i="7"/>
  <c r="C250" i="7"/>
  <c r="L250" i="7"/>
  <c r="W250" i="7"/>
  <c r="AE250" i="7"/>
  <c r="AN250" i="7"/>
  <c r="AY250" i="7"/>
  <c r="BH250" i="7"/>
  <c r="BP250" i="7"/>
  <c r="I251" i="7"/>
  <c r="R251" i="7"/>
  <c r="AB251" i="7"/>
  <c r="AL251" i="7"/>
  <c r="AT251" i="7"/>
  <c r="BD251" i="7"/>
  <c r="BN251" i="7"/>
  <c r="F252" i="7"/>
  <c r="N252" i="7"/>
  <c r="X252" i="7"/>
  <c r="AH252" i="7"/>
  <c r="AQ252" i="7"/>
  <c r="BB252" i="7"/>
  <c r="BJ252" i="7"/>
  <c r="BS252" i="7"/>
  <c r="L253" i="7"/>
  <c r="U253" i="7"/>
  <c r="AC253" i="7"/>
  <c r="AN253" i="7"/>
  <c r="AW253" i="7"/>
  <c r="BF253" i="7"/>
  <c r="BQ253" i="7"/>
  <c r="G254" i="7"/>
  <c r="P254" i="7"/>
  <c r="AA254" i="7"/>
  <c r="AI254" i="7"/>
  <c r="AO254" i="7"/>
  <c r="AW254" i="7"/>
  <c r="BD254" i="7"/>
  <c r="BK254" i="7"/>
  <c r="BS254" i="7"/>
  <c r="G255" i="7"/>
  <c r="N255" i="7"/>
  <c r="V255" i="7"/>
  <c r="AC255" i="7"/>
  <c r="AI255" i="7"/>
  <c r="AQ255" i="7"/>
  <c r="AX255" i="7"/>
  <c r="BE255" i="7"/>
  <c r="BM255" i="7"/>
  <c r="BS255" i="7"/>
  <c r="H256" i="7"/>
  <c r="P256" i="7"/>
  <c r="W256" i="7"/>
  <c r="AC256" i="7"/>
  <c r="AK256" i="7"/>
  <c r="AR256" i="7"/>
  <c r="AY256" i="7"/>
  <c r="BG256" i="7"/>
  <c r="BM256" i="7"/>
  <c r="B257" i="7"/>
  <c r="J257" i="7"/>
  <c r="Q257" i="7"/>
  <c r="W257" i="7"/>
  <c r="AE257" i="7"/>
  <c r="AL257" i="7"/>
  <c r="AS257" i="7"/>
  <c r="BA257" i="7"/>
  <c r="BG257" i="7"/>
  <c r="AK225" i="7"/>
  <c r="S227" i="7"/>
  <c r="BR228" i="7"/>
  <c r="BS229" i="7"/>
  <c r="C231" i="7"/>
  <c r="AO231" i="7"/>
  <c r="N232" i="7"/>
  <c r="BL232" i="7"/>
  <c r="AK233" i="7"/>
  <c r="G234" i="7"/>
  <c r="BH234" i="7"/>
  <c r="AG235" i="7"/>
  <c r="F236" i="7"/>
  <c r="BB236" i="7"/>
  <c r="U237" i="7"/>
  <c r="BA237" i="7"/>
  <c r="W238" i="7"/>
  <c r="BC238" i="7"/>
  <c r="C239" i="7"/>
  <c r="AC239" i="7"/>
  <c r="AS239" i="7"/>
  <c r="BJ239" i="7"/>
  <c r="J240" i="7"/>
  <c r="T240" i="7"/>
  <c r="AH240" i="7"/>
  <c r="AU240" i="7"/>
  <c r="BH240" i="7"/>
  <c r="BS240" i="7"/>
  <c r="N241" i="7"/>
  <c r="AB241" i="7"/>
  <c r="AN241" i="7"/>
  <c r="BB241" i="7"/>
  <c r="BM241" i="7"/>
  <c r="G242" i="7"/>
  <c r="V242" i="7"/>
  <c r="AH242" i="7"/>
  <c r="AR242" i="7"/>
  <c r="BG242" i="7"/>
  <c r="BS242" i="7"/>
  <c r="M243" i="7"/>
  <c r="AB243" i="7"/>
  <c r="AL243" i="7"/>
  <c r="AX243" i="7"/>
  <c r="BM243" i="7"/>
  <c r="G244" i="7"/>
  <c r="R244" i="7"/>
  <c r="AF244" i="7"/>
  <c r="AR244" i="7"/>
  <c r="BF244" i="7"/>
  <c r="BS244" i="7"/>
  <c r="L245" i="7"/>
  <c r="Y245" i="7"/>
  <c r="AL245" i="7"/>
  <c r="AZ245" i="7"/>
  <c r="BJ245" i="7"/>
  <c r="F246" i="7"/>
  <c r="S246" i="7"/>
  <c r="AE246" i="7"/>
  <c r="AT246" i="7"/>
  <c r="BD246" i="7"/>
  <c r="BP246" i="7"/>
  <c r="M247" i="7"/>
  <c r="Y247" i="7"/>
  <c r="AJ247" i="7"/>
  <c r="AX247" i="7"/>
  <c r="BJ247" i="7"/>
  <c r="C248" i="7"/>
  <c r="N248" i="7"/>
  <c r="V248" i="7"/>
  <c r="AE248" i="7"/>
  <c r="AP248" i="7"/>
  <c r="AY248" i="7"/>
  <c r="BG248" i="7"/>
  <c r="BR248" i="7"/>
  <c r="I249" i="7"/>
  <c r="R249" i="7"/>
  <c r="AC249" i="7"/>
  <c r="AK249" i="7"/>
  <c r="BI227" i="7"/>
  <c r="S230" i="7"/>
  <c r="AW231" i="7"/>
  <c r="B233" i="7"/>
  <c r="W234" i="7"/>
  <c r="AJ235" i="7"/>
  <c r="BJ236" i="7"/>
  <c r="BO237" i="7"/>
  <c r="BH238" i="7"/>
  <c r="AH239" i="7"/>
  <c r="BN239" i="7"/>
  <c r="X240" i="7"/>
  <c r="AX240" i="7"/>
  <c r="F241" i="7"/>
  <c r="AC241" i="7"/>
  <c r="BD241" i="7"/>
  <c r="L242" i="7"/>
  <c r="AI242" i="7"/>
  <c r="BJ242" i="7"/>
  <c r="Q243" i="7"/>
  <c r="AP243" i="7"/>
  <c r="BN243" i="7"/>
  <c r="W244" i="7"/>
  <c r="AU244" i="7"/>
  <c r="D245" i="7"/>
  <c r="AD245" i="7"/>
  <c r="BA245" i="7"/>
  <c r="J246" i="7"/>
  <c r="AI246" i="7"/>
  <c r="BG246" i="7"/>
  <c r="N247" i="7"/>
  <c r="AO247" i="7"/>
  <c r="BL247" i="7"/>
  <c r="O248" i="7"/>
  <c r="AI248" i="7"/>
  <c r="AZ248" i="7"/>
  <c r="B249" i="7"/>
  <c r="U249" i="7"/>
  <c r="AN249" i="7"/>
  <c r="AZ249" i="7"/>
  <c r="BN249" i="7"/>
  <c r="H250" i="7"/>
  <c r="S250" i="7"/>
  <c r="AH250" i="7"/>
  <c r="AT250" i="7"/>
  <c r="BF250" i="7"/>
  <c r="B251" i="7"/>
  <c r="M251" i="7"/>
  <c r="Y251" i="7"/>
  <c r="AN251" i="7"/>
  <c r="AZ251" i="7"/>
  <c r="BJ251" i="7"/>
  <c r="G252" i="7"/>
  <c r="S252" i="7"/>
  <c r="AF252" i="7"/>
  <c r="AT252" i="7"/>
  <c r="BD252" i="7"/>
  <c r="BR252" i="7"/>
  <c r="M253" i="7"/>
  <c r="Z253" i="7"/>
  <c r="AK253" i="7"/>
  <c r="AX253" i="7"/>
  <c r="BL253" i="7"/>
  <c r="F254" i="7"/>
  <c r="T254" i="7"/>
  <c r="AE254" i="7"/>
  <c r="AN254" i="7"/>
  <c r="AY254" i="7"/>
  <c r="BH254" i="7"/>
  <c r="BP254" i="7"/>
  <c r="I255" i="7"/>
  <c r="R255" i="7"/>
  <c r="AA255" i="7"/>
  <c r="AL255" i="7"/>
  <c r="AT255" i="7"/>
  <c r="BC255" i="7"/>
  <c r="BN255" i="7"/>
  <c r="E256" i="7"/>
  <c r="M256" i="7"/>
  <c r="X256" i="7"/>
  <c r="AG256" i="7"/>
  <c r="AQ256" i="7"/>
  <c r="BA256" i="7"/>
  <c r="BI256" i="7"/>
  <c r="BS256" i="7"/>
  <c r="K257" i="7"/>
  <c r="U257" i="7"/>
  <c r="AC257" i="7"/>
  <c r="AM257" i="7"/>
  <c r="AW257" i="7"/>
  <c r="BF257" i="7"/>
  <c r="BN257" i="7"/>
  <c r="D258" i="7"/>
  <c r="K258" i="7"/>
  <c r="Q258" i="7"/>
  <c r="Y258" i="7"/>
  <c r="AF258" i="7"/>
  <c r="AM258" i="7"/>
  <c r="AU258" i="7"/>
  <c r="BA258" i="7"/>
  <c r="BH258" i="7"/>
  <c r="BP258" i="7"/>
  <c r="E259" i="7"/>
  <c r="K259" i="7"/>
  <c r="S259" i="7"/>
  <c r="Z259" i="7"/>
  <c r="AG259" i="7"/>
  <c r="AO259" i="7"/>
  <c r="AU259" i="7"/>
  <c r="BB259" i="7"/>
  <c r="BJ259" i="7"/>
  <c r="BQ259" i="7"/>
  <c r="E260" i="7"/>
  <c r="M260" i="7"/>
  <c r="T260" i="7"/>
  <c r="AA260" i="7"/>
  <c r="AI260" i="7"/>
  <c r="AO260" i="7"/>
  <c r="AV260" i="7"/>
  <c r="BD260" i="7"/>
  <c r="BK260" i="7"/>
  <c r="BQ260" i="7"/>
  <c r="G261" i="7"/>
  <c r="N261" i="7"/>
  <c r="U261" i="7"/>
  <c r="AC261" i="7"/>
  <c r="AI261" i="7"/>
  <c r="AP261" i="7"/>
  <c r="AX261" i="7"/>
  <c r="BD261" i="7"/>
  <c r="BI261" i="7"/>
  <c r="BO261" i="7"/>
  <c r="B262" i="7"/>
  <c r="G262" i="7"/>
  <c r="M262" i="7"/>
  <c r="R262" i="7"/>
  <c r="W262" i="7"/>
  <c r="AC262" i="7"/>
  <c r="AH262" i="7"/>
  <c r="AM262" i="7"/>
  <c r="AS262" i="7"/>
  <c r="AX262" i="7"/>
  <c r="BC262" i="7"/>
  <c r="BI262" i="7"/>
  <c r="BN262" i="7"/>
  <c r="BS262" i="7"/>
  <c r="G263" i="7"/>
  <c r="L263" i="7"/>
  <c r="Q263" i="7"/>
  <c r="W263" i="7"/>
  <c r="AB263" i="7"/>
  <c r="AG263" i="7"/>
  <c r="AM263" i="7"/>
  <c r="AR263" i="7"/>
  <c r="AW263" i="7"/>
  <c r="BC263" i="7"/>
  <c r="BH263" i="7"/>
  <c r="BM263" i="7"/>
  <c r="BS263" i="7"/>
  <c r="F264" i="7"/>
  <c r="K264" i="7"/>
  <c r="Q264" i="7"/>
  <c r="V264" i="7"/>
  <c r="AA264" i="7"/>
  <c r="AG264" i="7"/>
  <c r="AL264" i="7"/>
  <c r="AQ264" i="7"/>
  <c r="AW264" i="7"/>
  <c r="BB264" i="7"/>
  <c r="BG264" i="7"/>
  <c r="BM264" i="7"/>
  <c r="BR264" i="7"/>
  <c r="E265" i="7"/>
  <c r="K265" i="7"/>
  <c r="P265" i="7"/>
  <c r="U265" i="7"/>
  <c r="AA265" i="7"/>
  <c r="AF265" i="7"/>
  <c r="AK265" i="7"/>
  <c r="AQ265" i="7"/>
  <c r="AV265" i="7"/>
  <c r="BA265" i="7"/>
  <c r="BG265" i="7"/>
  <c r="BL265" i="7"/>
  <c r="BQ265" i="7"/>
  <c r="E266" i="7"/>
  <c r="J266" i="7"/>
  <c r="O266" i="7"/>
  <c r="U266" i="7"/>
  <c r="Z266" i="7"/>
  <c r="AE266" i="7"/>
  <c r="AK266" i="7"/>
  <c r="AP266" i="7"/>
  <c r="AU266" i="7"/>
  <c r="BA266" i="7"/>
  <c r="BF266" i="7"/>
  <c r="BK266" i="7"/>
  <c r="BQ266" i="7"/>
  <c r="D267" i="7"/>
  <c r="I267" i="7"/>
  <c r="O267" i="7"/>
  <c r="T267" i="7"/>
  <c r="Y267" i="7"/>
  <c r="AE267" i="7"/>
  <c r="AJ267" i="7"/>
  <c r="AO267" i="7"/>
  <c r="AU267" i="7"/>
  <c r="AZ267" i="7"/>
  <c r="BE267" i="7"/>
  <c r="BK267" i="7"/>
  <c r="BP267" i="7"/>
  <c r="C268" i="7"/>
  <c r="I268" i="7"/>
  <c r="N268" i="7"/>
  <c r="S268" i="7"/>
  <c r="Y268" i="7"/>
  <c r="AD268" i="7"/>
  <c r="AI268" i="7"/>
  <c r="AO268" i="7"/>
  <c r="AT268" i="7"/>
  <c r="AY268" i="7"/>
  <c r="BE268" i="7"/>
  <c r="BJ268" i="7"/>
  <c r="BO268" i="7"/>
  <c r="C269" i="7"/>
  <c r="H269" i="7"/>
  <c r="M269" i="7"/>
  <c r="S269" i="7"/>
  <c r="X269" i="7"/>
  <c r="AC269" i="7"/>
  <c r="AI269" i="7"/>
  <c r="AN269" i="7"/>
  <c r="AS269" i="7"/>
  <c r="AY269" i="7"/>
  <c r="BD269" i="7"/>
  <c r="BI269" i="7"/>
  <c r="BO269" i="7"/>
  <c r="B270" i="7"/>
  <c r="G270" i="7"/>
  <c r="M270" i="7"/>
  <c r="R270" i="7"/>
  <c r="W270" i="7"/>
  <c r="AC270" i="7"/>
  <c r="AH270" i="7"/>
  <c r="AM270" i="7"/>
  <c r="AS270" i="7"/>
  <c r="AX270" i="7"/>
  <c r="BC270" i="7"/>
  <c r="BI270" i="7"/>
  <c r="BN270" i="7"/>
  <c r="BS270" i="7"/>
  <c r="G271" i="7"/>
  <c r="L271" i="7"/>
  <c r="Q271" i="7"/>
  <c r="W271" i="7"/>
  <c r="AB271" i="7"/>
  <c r="AG271" i="7"/>
  <c r="AM271" i="7"/>
  <c r="AR271" i="7"/>
  <c r="AW271" i="7"/>
  <c r="BC271" i="7"/>
  <c r="BH271" i="7"/>
  <c r="BM271" i="7"/>
  <c r="BS271" i="7"/>
  <c r="F272" i="7"/>
  <c r="K272" i="7"/>
  <c r="Q272" i="7"/>
  <c r="V272" i="7"/>
  <c r="AA272" i="7"/>
  <c r="AG272" i="7"/>
  <c r="AL272" i="7"/>
  <c r="AQ272" i="7"/>
  <c r="AW272" i="7"/>
  <c r="BB272" i="7"/>
  <c r="BG272" i="7"/>
  <c r="BM272" i="7"/>
  <c r="BR272" i="7"/>
  <c r="E273" i="7"/>
  <c r="K273" i="7"/>
  <c r="P273" i="7"/>
  <c r="U273" i="7"/>
  <c r="AA273" i="7"/>
  <c r="AF273" i="7"/>
  <c r="AK273" i="7"/>
  <c r="AQ273" i="7"/>
  <c r="AV273" i="7"/>
  <c r="BA273" i="7"/>
  <c r="BG273" i="7"/>
  <c r="BL273" i="7"/>
  <c r="BQ273" i="7"/>
  <c r="E274" i="7"/>
  <c r="J274" i="7"/>
  <c r="O274" i="7"/>
  <c r="U274" i="7"/>
  <c r="Z274" i="7"/>
  <c r="AE274" i="7"/>
  <c r="AK274" i="7"/>
  <c r="AP274" i="7"/>
  <c r="AU274" i="7"/>
  <c r="BA274" i="7"/>
  <c r="BF274" i="7"/>
  <c r="BK274" i="7"/>
  <c r="BQ274" i="7"/>
  <c r="D275" i="7"/>
  <c r="I275" i="7"/>
  <c r="O275" i="7"/>
  <c r="T275" i="7"/>
  <c r="Y275" i="7"/>
  <c r="AE275" i="7"/>
  <c r="AJ275" i="7"/>
  <c r="AO275" i="7"/>
  <c r="AU275" i="7"/>
  <c r="AZ275" i="7"/>
  <c r="BE275" i="7"/>
  <c r="BK275" i="7"/>
  <c r="BP275" i="7"/>
  <c r="C276" i="7"/>
  <c r="I276" i="7"/>
  <c r="N276" i="7"/>
  <c r="S276" i="7"/>
  <c r="Y276" i="7"/>
  <c r="AD276" i="7"/>
  <c r="AI276" i="7"/>
  <c r="AO276" i="7"/>
  <c r="AT276" i="7"/>
  <c r="AY276" i="7"/>
  <c r="BE276" i="7"/>
  <c r="BJ276" i="7"/>
  <c r="BO276" i="7"/>
  <c r="C277" i="7"/>
  <c r="H277" i="7"/>
  <c r="M277" i="7"/>
  <c r="S277" i="7"/>
  <c r="X277" i="7"/>
  <c r="AC277" i="7"/>
  <c r="AI277" i="7"/>
  <c r="AN277" i="7"/>
  <c r="AS277" i="7"/>
  <c r="AY277" i="7"/>
  <c r="BD277" i="7"/>
  <c r="BI277" i="7"/>
  <c r="BO277" i="7"/>
  <c r="B278" i="7"/>
  <c r="G278" i="7"/>
  <c r="M278" i="7"/>
  <c r="R278" i="7"/>
  <c r="W278" i="7"/>
  <c r="AC278" i="7"/>
  <c r="AH278" i="7"/>
  <c r="AM278" i="7"/>
  <c r="AS278" i="7"/>
  <c r="AX278" i="7"/>
  <c r="BC278" i="7"/>
  <c r="BI278" i="7"/>
  <c r="BN278" i="7"/>
  <c r="BS278" i="7"/>
  <c r="G279" i="7"/>
  <c r="L279" i="7"/>
  <c r="Q279" i="7"/>
  <c r="W279" i="7"/>
  <c r="AB279" i="7"/>
  <c r="AG279" i="7"/>
  <c r="AM279" i="7"/>
  <c r="AR279" i="7"/>
  <c r="AW279" i="7"/>
  <c r="BC279" i="7"/>
  <c r="BH279" i="7"/>
  <c r="BM279" i="7"/>
  <c r="BS279" i="7"/>
  <c r="F280" i="7"/>
  <c r="K280" i="7"/>
  <c r="Q280" i="7"/>
  <c r="V280" i="7"/>
  <c r="AA280" i="7"/>
  <c r="AG280" i="7"/>
  <c r="AL280" i="7"/>
  <c r="AQ280" i="7"/>
  <c r="AW280" i="7"/>
  <c r="BB280" i="7"/>
  <c r="BG280" i="7"/>
  <c r="BM280" i="7"/>
  <c r="BR280" i="7"/>
  <c r="E281" i="7"/>
  <c r="K281" i="7"/>
  <c r="P281" i="7"/>
  <c r="U281" i="7"/>
  <c r="AA281" i="7"/>
  <c r="AF281" i="7"/>
  <c r="AK281" i="7"/>
  <c r="AQ281" i="7"/>
  <c r="AV281" i="7"/>
  <c r="BA281" i="7"/>
  <c r="BG281" i="7"/>
  <c r="BL281" i="7"/>
  <c r="BQ281" i="7"/>
  <c r="E282" i="7"/>
  <c r="J282" i="7"/>
  <c r="O282" i="7"/>
  <c r="U282" i="7"/>
  <c r="Z282" i="7"/>
  <c r="AE282" i="7"/>
  <c r="AK282" i="7"/>
  <c r="AP282" i="7"/>
  <c r="AU282" i="7"/>
  <c r="BA282" i="7"/>
  <c r="BF282" i="7"/>
  <c r="BK282" i="7"/>
  <c r="BQ282" i="7"/>
  <c r="D283" i="7"/>
  <c r="I283" i="7"/>
  <c r="O283" i="7"/>
  <c r="T283" i="7"/>
  <c r="Y283" i="7"/>
  <c r="AE283" i="7"/>
  <c r="AJ283" i="7"/>
  <c r="AO283" i="7"/>
  <c r="AU283" i="7"/>
  <c r="AZ283" i="7"/>
  <c r="BE283" i="7"/>
  <c r="BK283" i="7"/>
  <c r="BP283" i="7"/>
  <c r="C284" i="7"/>
  <c r="I284" i="7"/>
  <c r="N284" i="7"/>
  <c r="S284" i="7"/>
  <c r="Y284" i="7"/>
  <c r="AD284" i="7"/>
  <c r="AI284" i="7"/>
  <c r="AO284" i="7"/>
  <c r="AT284" i="7"/>
  <c r="AY284" i="7"/>
  <c r="BE284" i="7"/>
  <c r="BJ284" i="7"/>
  <c r="BO284" i="7"/>
  <c r="C285" i="7"/>
  <c r="H285" i="7"/>
  <c r="M285" i="7"/>
  <c r="S285" i="7"/>
  <c r="X285" i="7"/>
  <c r="AC285" i="7"/>
  <c r="AI285" i="7"/>
  <c r="AN285" i="7"/>
  <c r="AS285" i="7"/>
  <c r="AY285" i="7"/>
  <c r="BD285" i="7"/>
  <c r="BI285" i="7"/>
  <c r="BO285" i="7"/>
  <c r="B286" i="7"/>
  <c r="G286" i="7"/>
  <c r="M286" i="7"/>
  <c r="Q286" i="7"/>
  <c r="U286" i="7"/>
  <c r="Y286" i="7"/>
  <c r="AC286" i="7"/>
  <c r="AG286" i="7"/>
  <c r="AK286" i="7"/>
  <c r="AO286" i="7"/>
  <c r="AS286" i="7"/>
  <c r="AW286" i="7"/>
  <c r="BA286" i="7"/>
  <c r="BE286" i="7"/>
  <c r="BI286" i="7"/>
  <c r="BM286" i="7"/>
  <c r="BQ286" i="7"/>
  <c r="C287" i="7"/>
  <c r="G287" i="7"/>
  <c r="K287" i="7"/>
  <c r="O287" i="7"/>
  <c r="S287" i="7"/>
  <c r="W287" i="7"/>
  <c r="AA287" i="7"/>
  <c r="AE287" i="7"/>
  <c r="AI287" i="7"/>
  <c r="AM287" i="7"/>
  <c r="AQ287" i="7"/>
  <c r="AU287" i="7"/>
  <c r="AY287" i="7"/>
  <c r="BC287" i="7"/>
  <c r="BG287" i="7"/>
  <c r="BK287" i="7"/>
  <c r="BO287" i="7"/>
  <c r="BS287" i="7"/>
  <c r="E288" i="7"/>
  <c r="I288" i="7"/>
  <c r="M288" i="7"/>
  <c r="Q288" i="7"/>
  <c r="U288" i="7"/>
  <c r="Y288" i="7"/>
  <c r="AC288" i="7"/>
  <c r="AG288" i="7"/>
  <c r="AK288" i="7"/>
  <c r="AO288" i="7"/>
  <c r="AS288" i="7"/>
  <c r="AW288" i="7"/>
  <c r="BA288" i="7"/>
  <c r="BE288" i="7"/>
  <c r="BI288" i="7"/>
  <c r="BM288" i="7"/>
  <c r="BQ288" i="7"/>
  <c r="C289" i="7"/>
  <c r="G289" i="7"/>
  <c r="K289" i="7"/>
  <c r="O289" i="7"/>
  <c r="S289" i="7"/>
  <c r="W289" i="7"/>
  <c r="AA289" i="7"/>
  <c r="AE289" i="7"/>
  <c r="AI289" i="7"/>
  <c r="AM289" i="7"/>
  <c r="AQ289" i="7"/>
  <c r="AU289" i="7"/>
  <c r="AY289" i="7"/>
  <c r="BC289" i="7"/>
  <c r="BG289" i="7"/>
  <c r="BK289" i="7"/>
  <c r="BO289" i="7"/>
  <c r="BS289" i="7"/>
  <c r="E290" i="7"/>
  <c r="I290" i="7"/>
  <c r="M290" i="7"/>
  <c r="Q290" i="7"/>
  <c r="U290" i="7"/>
  <c r="Y290" i="7"/>
  <c r="AC290" i="7"/>
  <c r="AG290" i="7"/>
  <c r="AK290" i="7"/>
  <c r="AO290" i="7"/>
  <c r="AS290" i="7"/>
  <c r="AW290" i="7"/>
  <c r="BA290" i="7"/>
  <c r="BE290" i="7"/>
  <c r="BI290" i="7"/>
  <c r="BM290" i="7"/>
  <c r="BQ290" i="7"/>
  <c r="C291" i="7"/>
  <c r="G291" i="7"/>
  <c r="K291" i="7"/>
  <c r="O291" i="7"/>
  <c r="S291" i="7"/>
  <c r="W291" i="7"/>
  <c r="AA291" i="7"/>
  <c r="AE291" i="7"/>
  <c r="AI291" i="7"/>
  <c r="AM291" i="7"/>
  <c r="AQ291" i="7"/>
  <c r="AU291" i="7"/>
  <c r="AY291" i="7"/>
  <c r="BC291" i="7"/>
  <c r="BG291" i="7"/>
  <c r="BK291" i="7"/>
  <c r="BO291" i="7"/>
  <c r="BS291" i="7"/>
  <c r="E292" i="7"/>
  <c r="I292" i="7"/>
  <c r="M292" i="7"/>
  <c r="Q292" i="7"/>
  <c r="U292" i="7"/>
  <c r="Y292" i="7"/>
  <c r="AC292" i="7"/>
  <c r="AG292" i="7"/>
  <c r="AK292" i="7"/>
  <c r="AO292" i="7"/>
  <c r="AS292" i="7"/>
  <c r="AW292" i="7"/>
  <c r="BA292" i="7"/>
  <c r="BE292" i="7"/>
  <c r="BI292" i="7"/>
  <c r="BM292" i="7"/>
  <c r="BQ292" i="7"/>
  <c r="C293" i="7"/>
  <c r="G293" i="7"/>
  <c r="K293" i="7"/>
  <c r="O293" i="7"/>
  <c r="S293" i="7"/>
  <c r="W293" i="7"/>
  <c r="AA293" i="7"/>
  <c r="AE293" i="7"/>
  <c r="AI293" i="7"/>
  <c r="AM293" i="7"/>
  <c r="AQ293" i="7"/>
  <c r="AU293" i="7"/>
  <c r="AY293" i="7"/>
  <c r="BC293" i="7"/>
  <c r="BG293" i="7"/>
  <c r="BK293" i="7"/>
  <c r="BO293" i="7"/>
  <c r="BS293" i="7"/>
  <c r="E294" i="7"/>
  <c r="I294" i="7"/>
  <c r="M294" i="7"/>
  <c r="Q294" i="7"/>
  <c r="U294" i="7"/>
  <c r="Y294" i="7"/>
  <c r="AC294" i="7"/>
  <c r="AG294" i="7"/>
  <c r="AK294" i="7"/>
  <c r="AO294" i="7"/>
  <c r="AS294" i="7"/>
  <c r="AW294" i="7"/>
  <c r="BA294" i="7"/>
  <c r="BE294" i="7"/>
  <c r="BI294" i="7"/>
  <c r="BM294" i="7"/>
  <c r="BQ294" i="7"/>
  <c r="R226" i="7"/>
  <c r="H229" i="7"/>
  <c r="E231" i="7"/>
  <c r="AF232" i="7"/>
  <c r="AS233" i="7"/>
  <c r="BN234" i="7"/>
  <c r="S236" i="7"/>
  <c r="AE237" i="7"/>
  <c r="Y238" i="7"/>
  <c r="N239" i="7"/>
  <c r="AW239" i="7"/>
  <c r="L240" i="7"/>
  <c r="AM240" i="7"/>
  <c r="BJ240" i="7"/>
  <c r="R241" i="7"/>
  <c r="AR241" i="7"/>
  <c r="BP241" i="7"/>
  <c r="W242" i="7"/>
  <c r="AX242" i="7"/>
  <c r="B243" i="7"/>
  <c r="AC243" i="7"/>
  <c r="BD243" i="7"/>
  <c r="J244" i="7"/>
  <c r="AJ244" i="7"/>
  <c r="BH244" i="7"/>
  <c r="P245" i="7"/>
  <c r="AO245" i="7"/>
  <c r="BP245" i="7"/>
  <c r="T246" i="7"/>
  <c r="AU246" i="7"/>
  <c r="D247" i="7"/>
  <c r="Z247" i="7"/>
  <c r="BA247" i="7"/>
  <c r="F248" i="7"/>
  <c r="X248" i="7"/>
  <c r="AQ248" i="7"/>
  <c r="BK248" i="7"/>
  <c r="J249" i="7"/>
  <c r="AD249" i="7"/>
  <c r="AT249" i="7"/>
  <c r="BF249" i="7"/>
  <c r="B250" i="7"/>
  <c r="O250" i="7"/>
  <c r="Z250" i="7"/>
  <c r="AM250" i="7"/>
  <c r="AZ250" i="7"/>
  <c r="BN250" i="7"/>
  <c r="F251" i="7"/>
  <c r="T251" i="7"/>
  <c r="AG251" i="7"/>
  <c r="AS251" i="7"/>
  <c r="BH251" i="7"/>
  <c r="BR251" i="7"/>
  <c r="L252" i="7"/>
  <c r="AA252" i="7"/>
  <c r="AM252" i="7"/>
  <c r="AX252" i="7"/>
  <c r="BL252" i="7"/>
  <c r="F253" i="7"/>
  <c r="R253" i="7"/>
  <c r="AG253" i="7"/>
  <c r="AR253" i="7"/>
  <c r="BD253" i="7"/>
  <c r="BR253" i="7"/>
  <c r="L254" i="7"/>
  <c r="W254" i="7"/>
  <c r="AJ254" i="7"/>
  <c r="AS254" i="7"/>
  <c r="BC254" i="7"/>
  <c r="BM254" i="7"/>
  <c r="C255" i="7"/>
  <c r="M255" i="7"/>
  <c r="W255" i="7"/>
  <c r="AG255" i="7"/>
  <c r="AO255" i="7"/>
  <c r="AY255" i="7"/>
  <c r="BI255" i="7"/>
  <c r="BR255" i="7"/>
  <c r="K256" i="7"/>
  <c r="S256" i="7"/>
  <c r="AB256" i="7"/>
  <c r="AM256" i="7"/>
  <c r="AV256" i="7"/>
  <c r="BD256" i="7"/>
  <c r="BO256" i="7"/>
  <c r="BP227" i="7"/>
  <c r="AG230" i="7"/>
  <c r="P233" i="7"/>
  <c r="BB235" i="7"/>
  <c r="E238" i="7"/>
  <c r="AI239" i="7"/>
  <c r="AB240" i="7"/>
  <c r="H241" i="7"/>
  <c r="BE241" i="7"/>
  <c r="AN242" i="7"/>
  <c r="U243" i="7"/>
  <c r="BR243" i="7"/>
  <c r="AZ244" i="7"/>
  <c r="AF245" i="7"/>
  <c r="K246" i="7"/>
  <c r="BK246" i="7"/>
  <c r="AP247" i="7"/>
  <c r="P248" i="7"/>
  <c r="BD248" i="7"/>
  <c r="X249" i="7"/>
  <c r="BE249" i="7"/>
  <c r="J250" i="7"/>
  <c r="AJ250" i="7"/>
  <c r="BJ250" i="7"/>
  <c r="Q251" i="7"/>
  <c r="AO251" i="7"/>
  <c r="BP251" i="7"/>
  <c r="V252" i="7"/>
  <c r="AV252" i="7"/>
  <c r="E253" i="7"/>
  <c r="AB253" i="7"/>
  <c r="BB253" i="7"/>
  <c r="J254" i="7"/>
  <c r="AG254" i="7"/>
  <c r="AZ254" i="7"/>
  <c r="B255" i="7"/>
  <c r="S255" i="7"/>
  <c r="AM255" i="7"/>
  <c r="BG255" i="7"/>
  <c r="G256" i="7"/>
  <c r="AA256" i="7"/>
  <c r="AS256" i="7"/>
  <c r="BL256" i="7"/>
  <c r="G257" i="7"/>
  <c r="V257" i="7"/>
  <c r="AH257" i="7"/>
  <c r="AU257" i="7"/>
  <c r="BI257" i="7"/>
  <c r="BR257" i="7"/>
  <c r="I258" i="7"/>
  <c r="T258" i="7"/>
  <c r="AB258" i="7"/>
  <c r="AK258" i="7"/>
  <c r="AV258" i="7"/>
  <c r="BE258" i="7"/>
  <c r="BM258" i="7"/>
  <c r="F259" i="7"/>
  <c r="O259" i="7"/>
  <c r="Y259" i="7"/>
  <c r="AI259" i="7"/>
  <c r="AQ259" i="7"/>
  <c r="BA259" i="7"/>
  <c r="BK259" i="7"/>
  <c r="C260" i="7"/>
  <c r="K260" i="7"/>
  <c r="U260" i="7"/>
  <c r="AE260" i="7"/>
  <c r="AN260" i="7"/>
  <c r="AY260" i="7"/>
  <c r="BG260" i="7"/>
  <c r="BP260" i="7"/>
  <c r="I261" i="7"/>
  <c r="R261" i="7"/>
  <c r="Z261" i="7"/>
  <c r="AK261" i="7"/>
  <c r="AT261" i="7"/>
  <c r="BC261" i="7"/>
  <c r="BK261" i="7"/>
  <c r="BQ261" i="7"/>
  <c r="F262" i="7"/>
  <c r="N262" i="7"/>
  <c r="U262" i="7"/>
  <c r="AA262" i="7"/>
  <c r="AI262" i="7"/>
  <c r="AP262" i="7"/>
  <c r="AW262" i="7"/>
  <c r="BE262" i="7"/>
  <c r="BK262" i="7"/>
  <c r="BR262" i="7"/>
  <c r="H263" i="7"/>
  <c r="O263" i="7"/>
  <c r="U263" i="7"/>
  <c r="AC263" i="7"/>
  <c r="AJ263" i="7"/>
  <c r="AQ263" i="7"/>
  <c r="AY263" i="7"/>
  <c r="BE263" i="7"/>
  <c r="BL263" i="7"/>
  <c r="B264" i="7"/>
  <c r="I264" i="7"/>
  <c r="O264" i="7"/>
  <c r="W264" i="7"/>
  <c r="AD264" i="7"/>
  <c r="AK264" i="7"/>
  <c r="AS264" i="7"/>
  <c r="AY264" i="7"/>
  <c r="BF264" i="7"/>
  <c r="BN264" i="7"/>
  <c r="C265" i="7"/>
  <c r="I265" i="7"/>
  <c r="Q265" i="7"/>
  <c r="X265" i="7"/>
  <c r="AE265" i="7"/>
  <c r="AM265" i="7"/>
  <c r="AS265" i="7"/>
  <c r="AZ265" i="7"/>
  <c r="BH265" i="7"/>
  <c r="BO265" i="7"/>
  <c r="C266" i="7"/>
  <c r="K266" i="7"/>
  <c r="R266" i="7"/>
  <c r="Y266" i="7"/>
  <c r="AG266" i="7"/>
  <c r="AM266" i="7"/>
  <c r="AT266" i="7"/>
  <c r="BB266" i="7"/>
  <c r="BI266" i="7"/>
  <c r="BO266" i="7"/>
  <c r="E267" i="7"/>
  <c r="L267" i="7"/>
  <c r="S267" i="7"/>
  <c r="AA267" i="7"/>
  <c r="AG267" i="7"/>
  <c r="AN267" i="7"/>
  <c r="AV267" i="7"/>
  <c r="BC267" i="7"/>
  <c r="BI267" i="7"/>
  <c r="BQ267" i="7"/>
  <c r="F268" i="7"/>
  <c r="M268" i="7"/>
  <c r="U268" i="7"/>
  <c r="AA268" i="7"/>
  <c r="AH268" i="7"/>
  <c r="AP268" i="7"/>
  <c r="AW268" i="7"/>
  <c r="BC268" i="7"/>
  <c r="BK268" i="7"/>
  <c r="BR268" i="7"/>
  <c r="G269" i="7"/>
  <c r="O269" i="7"/>
  <c r="U269" i="7"/>
  <c r="AB269" i="7"/>
  <c r="AJ269" i="7"/>
  <c r="AQ269" i="7"/>
  <c r="AW269" i="7"/>
  <c r="BE269" i="7"/>
  <c r="BL269" i="7"/>
  <c r="BS269" i="7"/>
  <c r="I270" i="7"/>
  <c r="O270" i="7"/>
  <c r="V270" i="7"/>
  <c r="AD270" i="7"/>
  <c r="AK270" i="7"/>
  <c r="AQ270" i="7"/>
  <c r="AY270" i="7"/>
  <c r="BF270" i="7"/>
  <c r="BM270" i="7"/>
  <c r="C271" i="7"/>
  <c r="I271" i="7"/>
  <c r="P271" i="7"/>
  <c r="X271" i="7"/>
  <c r="N231" i="7"/>
  <c r="AE234" i="7"/>
  <c r="AM237" i="7"/>
  <c r="BC239" i="7"/>
  <c r="AZ240" i="7"/>
  <c r="AT241" i="7"/>
  <c r="AY242" i="7"/>
  <c r="AS243" i="7"/>
  <c r="AL244" i="7"/>
  <c r="AR245" i="7"/>
  <c r="AL246" i="7"/>
  <c r="AF247" i="7"/>
  <c r="AA248" i="7"/>
  <c r="D249" i="7"/>
  <c r="AX249" i="7"/>
  <c r="R250" i="7"/>
  <c r="AU250" i="7"/>
  <c r="L251" i="7"/>
  <c r="AW251" i="7"/>
  <c r="K252" i="7"/>
  <c r="AN252" i="7"/>
  <c r="H253" i="7"/>
  <c r="AP253" i="7"/>
  <c r="B254" i="7"/>
  <c r="AM254" i="7"/>
  <c r="BI254" i="7"/>
  <c r="Q255" i="7"/>
  <c r="AS255" i="7"/>
  <c r="BO255" i="7"/>
  <c r="U256" i="7"/>
  <c r="AW256" i="7"/>
  <c r="E257" i="7"/>
  <c r="R257" i="7"/>
  <c r="AK257" i="7"/>
  <c r="BB257" i="7"/>
  <c r="BQ257" i="7"/>
  <c r="L258" i="7"/>
  <c r="W258" i="7"/>
  <c r="AJ258" i="7"/>
  <c r="AW258" i="7"/>
  <c r="BK258" i="7"/>
  <c r="C259" i="7"/>
  <c r="Q259" i="7"/>
  <c r="AD259" i="7"/>
  <c r="AP259" i="7"/>
  <c r="BE259" i="7"/>
  <c r="BO259" i="7"/>
  <c r="I260" i="7"/>
  <c r="X260" i="7"/>
  <c r="AJ260" i="7"/>
  <c r="AU260" i="7"/>
  <c r="BI260" i="7"/>
  <c r="C261" i="7"/>
  <c r="O261" i="7"/>
  <c r="AD261" i="7"/>
  <c r="AO261" i="7"/>
  <c r="BA261" i="7"/>
  <c r="BL261" i="7"/>
  <c r="C262" i="7"/>
  <c r="K262" i="7"/>
  <c r="V262" i="7"/>
  <c r="AE262" i="7"/>
  <c r="AO262" i="7"/>
  <c r="AY262" i="7"/>
  <c r="BG262" i="7"/>
  <c r="BQ262" i="7"/>
  <c r="I263" i="7"/>
  <c r="S263" i="7"/>
  <c r="AA263" i="7"/>
  <c r="AK263" i="7"/>
  <c r="AU263" i="7"/>
  <c r="BD263" i="7"/>
  <c r="BO263" i="7"/>
  <c r="E264" i="7"/>
  <c r="N264" i="7"/>
  <c r="Y264" i="7"/>
  <c r="AH264" i="7"/>
  <c r="AP264" i="7"/>
  <c r="BA264" i="7"/>
  <c r="BJ264" i="7"/>
  <c r="BS264" i="7"/>
  <c r="L265" i="7"/>
  <c r="T265" i="7"/>
  <c r="AC265" i="7"/>
  <c r="AN265" i="7"/>
  <c r="AW265" i="7"/>
  <c r="BE265" i="7"/>
  <c r="BP265" i="7"/>
  <c r="G266" i="7"/>
  <c r="Q266" i="7"/>
  <c r="AA266" i="7"/>
  <c r="AI266" i="7"/>
  <c r="AS266" i="7"/>
  <c r="BC266" i="7"/>
  <c r="BM266" i="7"/>
  <c r="C267" i="7"/>
  <c r="M267" i="7"/>
  <c r="W267" i="7"/>
  <c r="AF267" i="7"/>
  <c r="AQ267" i="7"/>
  <c r="AY267" i="7"/>
  <c r="BH267" i="7"/>
  <c r="BS267" i="7"/>
  <c r="J268" i="7"/>
  <c r="R268" i="7"/>
  <c r="AC268" i="7"/>
  <c r="AL268" i="7"/>
  <c r="AU268" i="7"/>
  <c r="BF268" i="7"/>
  <c r="BN268" i="7"/>
  <c r="E269" i="7"/>
  <c r="P269" i="7"/>
  <c r="Y269" i="7"/>
  <c r="AG269" i="7"/>
  <c r="AR269" i="7"/>
  <c r="BA269" i="7"/>
  <c r="BK269" i="7"/>
  <c r="C270" i="7"/>
  <c r="K270" i="7"/>
  <c r="U270" i="7"/>
  <c r="AE270" i="7"/>
  <c r="AO270" i="7"/>
  <c r="AW270" i="7"/>
  <c r="BG270" i="7"/>
  <c r="BQ270" i="7"/>
  <c r="H271" i="7"/>
  <c r="S271" i="7"/>
  <c r="AA271" i="7"/>
  <c r="AI271" i="7"/>
  <c r="AO271" i="7"/>
  <c r="AV271" i="7"/>
  <c r="BD271" i="7"/>
  <c r="BK271" i="7"/>
  <c r="BQ271" i="7"/>
  <c r="G272" i="7"/>
  <c r="N272" i="7"/>
  <c r="U272" i="7"/>
  <c r="AC272" i="7"/>
  <c r="AI272" i="7"/>
  <c r="AP272" i="7"/>
  <c r="AX272" i="7"/>
  <c r="BE272" i="7"/>
  <c r="BK272" i="7"/>
  <c r="BS272" i="7"/>
  <c r="H273" i="7"/>
  <c r="O273" i="7"/>
  <c r="W273" i="7"/>
  <c r="AC273" i="7"/>
  <c r="AJ273" i="7"/>
  <c r="AR273" i="7"/>
  <c r="AY273" i="7"/>
  <c r="BE273" i="7"/>
  <c r="BM273" i="7"/>
  <c r="B274" i="7"/>
  <c r="I274" i="7"/>
  <c r="Q274" i="7"/>
  <c r="W274" i="7"/>
  <c r="AD274" i="7"/>
  <c r="AL274" i="7"/>
  <c r="AS274" i="7"/>
  <c r="AY274" i="7"/>
  <c r="BG274" i="7"/>
  <c r="BN274" i="7"/>
  <c r="C275" i="7"/>
  <c r="K275" i="7"/>
  <c r="Q275" i="7"/>
  <c r="X275" i="7"/>
  <c r="AF275" i="7"/>
  <c r="AM275" i="7"/>
  <c r="AS275" i="7"/>
  <c r="BA275" i="7"/>
  <c r="BH275" i="7"/>
  <c r="BO275" i="7"/>
  <c r="E276" i="7"/>
  <c r="K276" i="7"/>
  <c r="R276" i="7"/>
  <c r="Z276" i="7"/>
  <c r="AG276" i="7"/>
  <c r="AM276" i="7"/>
  <c r="AU276" i="7"/>
  <c r="BB276" i="7"/>
  <c r="BI276" i="7"/>
  <c r="BQ276" i="7"/>
  <c r="E277" i="7"/>
  <c r="L277" i="7"/>
  <c r="T277" i="7"/>
  <c r="AA277" i="7"/>
  <c r="AG277" i="7"/>
  <c r="AO277" i="7"/>
  <c r="AV277" i="7"/>
  <c r="BC277" i="7"/>
  <c r="BK277" i="7"/>
  <c r="BQ277" i="7"/>
  <c r="F278" i="7"/>
  <c r="N278" i="7"/>
  <c r="U278" i="7"/>
  <c r="AA278" i="7"/>
  <c r="AI278" i="7"/>
  <c r="AP278" i="7"/>
  <c r="AW278" i="7"/>
  <c r="BJ231" i="7"/>
  <c r="F235" i="7"/>
  <c r="AK238" i="7"/>
  <c r="BS239" i="7"/>
  <c r="BO240" i="7"/>
  <c r="B242" i="7"/>
  <c r="BL242" i="7"/>
  <c r="BF243" i="7"/>
  <c r="BL244" i="7"/>
  <c r="BF245" i="7"/>
  <c r="AV246" i="7"/>
  <c r="BD247" i="7"/>
  <c r="AJ248" i="7"/>
  <c r="N249" i="7"/>
  <c r="BI249" i="7"/>
  <c r="X250" i="7"/>
  <c r="BC250" i="7"/>
  <c r="X251" i="7"/>
  <c r="BB251" i="7"/>
  <c r="R252" i="7"/>
  <c r="BC252" i="7"/>
  <c r="P253" i="7"/>
  <c r="AV253" i="7"/>
  <c r="O254" i="7"/>
  <c r="AR254" i="7"/>
  <c r="BO254" i="7"/>
  <c r="Y255" i="7"/>
  <c r="AW255" i="7"/>
  <c r="C256" i="7"/>
  <c r="AF256" i="7"/>
  <c r="BC256" i="7"/>
  <c r="F257" i="7"/>
  <c r="Z257" i="7"/>
  <c r="AP257" i="7"/>
  <c r="BC257" i="7"/>
  <c r="BS257" i="7"/>
  <c r="O258" i="7"/>
  <c r="AA258" i="7"/>
  <c r="AO258" i="7"/>
  <c r="AZ258" i="7"/>
  <c r="BL258" i="7"/>
  <c r="I259" i="7"/>
  <c r="U259" i="7"/>
  <c r="AE259" i="7"/>
  <c r="AT259" i="7"/>
  <c r="BF259" i="7"/>
  <c r="BR259" i="7"/>
  <c r="O260" i="7"/>
  <c r="Y260" i="7"/>
  <c r="AK260" i="7"/>
  <c r="AZ260" i="7"/>
  <c r="BL260" i="7"/>
  <c r="E261" i="7"/>
  <c r="S261" i="7"/>
  <c r="AE261" i="7"/>
  <c r="AS261" i="7"/>
  <c r="BE261" i="7"/>
  <c r="BM261" i="7"/>
  <c r="E262" i="7"/>
  <c r="O262" i="7"/>
  <c r="Y262" i="7"/>
  <c r="AG262" i="7"/>
  <c r="AQ262" i="7"/>
  <c r="BA262" i="7"/>
  <c r="BJ262" i="7"/>
  <c r="C263" i="7"/>
  <c r="K263" i="7"/>
  <c r="T263" i="7"/>
  <c r="AE263" i="7"/>
  <c r="AN263" i="7"/>
  <c r="AV263" i="7"/>
  <c r="BG263" i="7"/>
  <c r="BP263" i="7"/>
  <c r="G264" i="7"/>
  <c r="R264" i="7"/>
  <c r="Z264" i="7"/>
  <c r="AI264" i="7"/>
  <c r="AT264" i="7"/>
  <c r="BC264" i="7"/>
  <c r="BK264" i="7"/>
  <c r="D265" i="7"/>
  <c r="M265" i="7"/>
  <c r="W265" i="7"/>
  <c r="AG265" i="7"/>
  <c r="AO265" i="7"/>
  <c r="AY265" i="7"/>
  <c r="BI265" i="7"/>
  <c r="BS265" i="7"/>
  <c r="I266" i="7"/>
  <c r="S266" i="7"/>
  <c r="AC266" i="7"/>
  <c r="AL266" i="7"/>
  <c r="AW266" i="7"/>
  <c r="BE266" i="7"/>
  <c r="BN266" i="7"/>
  <c r="G267" i="7"/>
  <c r="P267" i="7"/>
  <c r="X267" i="7"/>
  <c r="AI267" i="7"/>
  <c r="AR267" i="7"/>
  <c r="BA267" i="7"/>
  <c r="BL267" i="7"/>
  <c r="B268" i="7"/>
  <c r="K268" i="7"/>
  <c r="V268" i="7"/>
  <c r="AE268" i="7"/>
  <c r="AM268" i="7"/>
  <c r="AX268" i="7"/>
  <c r="BG268" i="7"/>
  <c r="BQ268" i="7"/>
  <c r="I269" i="7"/>
  <c r="Q269" i="7"/>
  <c r="AA269" i="7"/>
  <c r="AK269" i="7"/>
  <c r="AU269" i="7"/>
  <c r="BC269" i="7"/>
  <c r="BM269" i="7"/>
  <c r="E270" i="7"/>
  <c r="N270" i="7"/>
  <c r="Y270" i="7"/>
  <c r="AG270" i="7"/>
  <c r="AP270" i="7"/>
  <c r="BA270" i="7"/>
  <c r="BJ270" i="7"/>
  <c r="BR270" i="7"/>
  <c r="K271" i="7"/>
  <c r="T271" i="7"/>
  <c r="AC271" i="7"/>
  <c r="AJ271" i="7"/>
  <c r="AQ271" i="7"/>
  <c r="AY271" i="7"/>
  <c r="BE271" i="7"/>
  <c r="BL271" i="7"/>
  <c r="B272" i="7"/>
  <c r="I272" i="7"/>
  <c r="O272" i="7"/>
  <c r="W272" i="7"/>
  <c r="AD272" i="7"/>
  <c r="AK272" i="7"/>
  <c r="AS272" i="7"/>
  <c r="AY272" i="7"/>
  <c r="BF272" i="7"/>
  <c r="BN272" i="7"/>
  <c r="C273" i="7"/>
  <c r="I273" i="7"/>
  <c r="Q273" i="7"/>
  <c r="X273" i="7"/>
  <c r="AE273" i="7"/>
  <c r="AM273" i="7"/>
  <c r="AS273" i="7"/>
  <c r="AZ273" i="7"/>
  <c r="BH273" i="7"/>
  <c r="BO273" i="7"/>
  <c r="C274" i="7"/>
  <c r="K274" i="7"/>
  <c r="R274" i="7"/>
  <c r="Y274" i="7"/>
  <c r="AG274" i="7"/>
  <c r="AM274" i="7"/>
  <c r="AT274" i="7"/>
  <c r="BB274" i="7"/>
  <c r="BI274" i="7"/>
  <c r="BO274" i="7"/>
  <c r="E275" i="7"/>
  <c r="L275" i="7"/>
  <c r="S275" i="7"/>
  <c r="AA275" i="7"/>
  <c r="AG275" i="7"/>
  <c r="AN275" i="7"/>
  <c r="AV275" i="7"/>
  <c r="Y226" i="7"/>
  <c r="AI232" i="7"/>
  <c r="AF236" i="7"/>
  <c r="BS238" i="7"/>
  <c r="N240" i="7"/>
  <c r="T241" i="7"/>
  <c r="N242" i="7"/>
  <c r="H243" i="7"/>
  <c r="O244" i="7"/>
  <c r="E245" i="7"/>
  <c r="BQ245" i="7"/>
  <c r="E247" i="7"/>
  <c r="BQ247" i="7"/>
  <c r="AT248" i="7"/>
  <c r="AF249" i="7"/>
  <c r="BP249" i="7"/>
  <c r="AD250" i="7"/>
  <c r="BO250" i="7"/>
  <c r="AD251" i="7"/>
  <c r="BI251" i="7"/>
  <c r="AB252" i="7"/>
  <c r="BH252" i="7"/>
  <c r="V253" i="7"/>
  <c r="BI253" i="7"/>
  <c r="V254" i="7"/>
  <c r="AU254" i="7"/>
  <c r="F255" i="7"/>
  <c r="AD255" i="7"/>
  <c r="BB255" i="7"/>
  <c r="L256" i="7"/>
  <c r="AI256" i="7"/>
  <c r="BH256" i="7"/>
  <c r="M257" i="7"/>
  <c r="AA257" i="7"/>
  <c r="AQ257" i="7"/>
  <c r="BK257" i="7"/>
  <c r="E258" i="7"/>
  <c r="P258" i="7"/>
  <c r="AE258" i="7"/>
  <c r="AQ258" i="7"/>
  <c r="BC258" i="7"/>
  <c r="BQ258" i="7"/>
  <c r="J259" i="7"/>
  <c r="V259" i="7"/>
  <c r="AK259" i="7"/>
  <c r="AW259" i="7"/>
  <c r="BG259" i="7"/>
  <c r="D260" i="7"/>
  <c r="P260" i="7"/>
  <c r="AC260" i="7"/>
  <c r="AQ260" i="7"/>
  <c r="BA260" i="7"/>
  <c r="BO260" i="7"/>
  <c r="J261" i="7"/>
  <c r="W261" i="7"/>
  <c r="AH261" i="7"/>
  <c r="AU261" i="7"/>
  <c r="BG261" i="7"/>
  <c r="BP261" i="7"/>
  <c r="I262" i="7"/>
  <c r="Q262" i="7"/>
  <c r="Z262" i="7"/>
  <c r="AK262" i="7"/>
  <c r="AT262" i="7"/>
  <c r="BB262" i="7"/>
  <c r="BM262" i="7"/>
  <c r="D263" i="7"/>
  <c r="M263" i="7"/>
  <c r="X263" i="7"/>
  <c r="AF263" i="7"/>
  <c r="AO263" i="7"/>
  <c r="AZ263" i="7"/>
  <c r="BI263" i="7"/>
  <c r="BQ263" i="7"/>
  <c r="J264" i="7"/>
  <c r="S264" i="7"/>
  <c r="AC264" i="7"/>
  <c r="AM264" i="7"/>
  <c r="AU264" i="7"/>
  <c r="BE264" i="7"/>
  <c r="BO264" i="7"/>
  <c r="G265" i="7"/>
  <c r="O265" i="7"/>
  <c r="Y265" i="7"/>
  <c r="AI265" i="7"/>
  <c r="AR265" i="7"/>
  <c r="BC265" i="7"/>
  <c r="BK265" i="7"/>
  <c r="B266" i="7"/>
  <c r="M266" i="7"/>
  <c r="V266" i="7"/>
  <c r="AD266" i="7"/>
  <c r="AO266" i="7"/>
  <c r="AX266" i="7"/>
  <c r="BG266" i="7"/>
  <c r="BR266" i="7"/>
  <c r="H267" i="7"/>
  <c r="Q267" i="7"/>
  <c r="AB267" i="7"/>
  <c r="AK267" i="7"/>
  <c r="AS267" i="7"/>
  <c r="BD267" i="7"/>
  <c r="BM267" i="7"/>
  <c r="E268" i="7"/>
  <c r="O268" i="7"/>
  <c r="W268" i="7"/>
  <c r="AG268" i="7"/>
  <c r="AQ268" i="7"/>
  <c r="BA268" i="7"/>
  <c r="BI268" i="7"/>
  <c r="BS268" i="7"/>
  <c r="K269" i="7"/>
  <c r="T269" i="7"/>
  <c r="AE269" i="7"/>
  <c r="AM269" i="7"/>
  <c r="AV269" i="7"/>
  <c r="BG269" i="7"/>
  <c r="BP269" i="7"/>
  <c r="F270" i="7"/>
  <c r="Q270" i="7"/>
  <c r="Z270" i="7"/>
  <c r="AI270" i="7"/>
  <c r="AT270" i="7"/>
  <c r="BB270" i="7"/>
  <c r="BK270" i="7"/>
  <c r="D271" i="7"/>
  <c r="M271" i="7"/>
  <c r="U271" i="7"/>
  <c r="AE271" i="7"/>
  <c r="AK271" i="7"/>
  <c r="AS271" i="7"/>
  <c r="AZ271" i="7"/>
  <c r="BG271" i="7"/>
  <c r="BO271" i="7"/>
  <c r="C272" i="7"/>
  <c r="J272" i="7"/>
  <c r="R272" i="7"/>
  <c r="Y272" i="7"/>
  <c r="AE272" i="7"/>
  <c r="AM272" i="7"/>
  <c r="AT272" i="7"/>
  <c r="BA272" i="7"/>
  <c r="BI272" i="7"/>
  <c r="BO272" i="7"/>
  <c r="D273" i="7"/>
  <c r="L273" i="7"/>
  <c r="S273" i="7"/>
  <c r="Y273" i="7"/>
  <c r="AG273" i="7"/>
  <c r="AN273" i="7"/>
  <c r="AU273" i="7"/>
  <c r="BC273" i="7"/>
  <c r="BI273" i="7"/>
  <c r="BP273" i="7"/>
  <c r="F274" i="7"/>
  <c r="M274" i="7"/>
  <c r="S274" i="7"/>
  <c r="AA274" i="7"/>
  <c r="AH274" i="7"/>
  <c r="AO274" i="7"/>
  <c r="AW274" i="7"/>
  <c r="BC274" i="7"/>
  <c r="BJ274" i="7"/>
  <c r="BR274" i="7"/>
  <c r="G275" i="7"/>
  <c r="M275" i="7"/>
  <c r="U275" i="7"/>
  <c r="AB275" i="7"/>
  <c r="AI275" i="7"/>
  <c r="AQ275" i="7"/>
  <c r="AW275" i="7"/>
  <c r="BD275" i="7"/>
  <c r="BL275" i="7"/>
  <c r="BS275" i="7"/>
  <c r="G276" i="7"/>
  <c r="O276" i="7"/>
  <c r="V276" i="7"/>
  <c r="AC276" i="7"/>
  <c r="AK276" i="7"/>
  <c r="AQ276" i="7"/>
  <c r="AX276" i="7"/>
  <c r="BF276" i="7"/>
  <c r="BM276" i="7"/>
  <c r="BS276" i="7"/>
  <c r="I277" i="7"/>
  <c r="P277" i="7"/>
  <c r="W277" i="7"/>
  <c r="AE277" i="7"/>
  <c r="AK277" i="7"/>
  <c r="AR277" i="7"/>
  <c r="AZ277" i="7"/>
  <c r="BG277" i="7"/>
  <c r="BM277" i="7"/>
  <c r="C278" i="7"/>
  <c r="J278" i="7"/>
  <c r="Q278" i="7"/>
  <c r="Y278" i="7"/>
  <c r="AE278" i="7"/>
  <c r="AL278" i="7"/>
  <c r="AT278" i="7"/>
  <c r="BA278" i="7"/>
  <c r="BG278" i="7"/>
  <c r="BO278" i="7"/>
  <c r="D279" i="7"/>
  <c r="K279" i="7"/>
  <c r="S279" i="7"/>
  <c r="Y279" i="7"/>
  <c r="AF279" i="7"/>
  <c r="AN279" i="7"/>
  <c r="AU279" i="7"/>
  <c r="BA279" i="7"/>
  <c r="BI279" i="7"/>
  <c r="BP279" i="7"/>
  <c r="E280" i="7"/>
  <c r="M280" i="7"/>
  <c r="BR236" i="7"/>
  <c r="AA242" i="7"/>
  <c r="Z246" i="7"/>
  <c r="AP249" i="7"/>
  <c r="AH251" i="7"/>
  <c r="AH253" i="7"/>
  <c r="K255" i="7"/>
  <c r="AN256" i="7"/>
  <c r="AX257" i="7"/>
  <c r="AG258" i="7"/>
  <c r="N259" i="7"/>
  <c r="BM259" i="7"/>
  <c r="AS260" i="7"/>
  <c r="Y261" i="7"/>
  <c r="BS261" i="7"/>
  <c r="AL262" i="7"/>
  <c r="E263" i="7"/>
  <c r="AS263" i="7"/>
  <c r="M264" i="7"/>
  <c r="AX264" i="7"/>
  <c r="S265" i="7"/>
  <c r="BD265" i="7"/>
  <c r="W266" i="7"/>
  <c r="BJ266" i="7"/>
  <c r="AC267" i="7"/>
  <c r="BO267" i="7"/>
  <c r="AK268" i="7"/>
  <c r="D269" i="7"/>
  <c r="AO269" i="7"/>
  <c r="J270" i="7"/>
  <c r="AU270" i="7"/>
  <c r="O271" i="7"/>
  <c r="AU271" i="7"/>
  <c r="E272" i="7"/>
  <c r="AH272" i="7"/>
  <c r="BJ272" i="7"/>
  <c r="T273" i="7"/>
  <c r="AW273" i="7"/>
  <c r="G274" i="7"/>
  <c r="AI274" i="7"/>
  <c r="BM274" i="7"/>
  <c r="W275" i="7"/>
  <c r="AY275" i="7"/>
  <c r="BM275" i="7"/>
  <c r="J276" i="7"/>
  <c r="W276" i="7"/>
  <c r="AL276" i="7"/>
  <c r="BA276" i="7"/>
  <c r="BN276" i="7"/>
  <c r="K277" i="7"/>
  <c r="Y277" i="7"/>
  <c r="AM277" i="7"/>
  <c r="BA277" i="7"/>
  <c r="BP277" i="7"/>
  <c r="K278" i="7"/>
  <c r="Z278" i="7"/>
  <c r="AO278" i="7"/>
  <c r="BB278" i="7"/>
  <c r="BK278" i="7"/>
  <c r="C279" i="7"/>
  <c r="M279" i="7"/>
  <c r="U279" i="7"/>
  <c r="AE279" i="7"/>
  <c r="AO279" i="7"/>
  <c r="AY279" i="7"/>
  <c r="BG279" i="7"/>
  <c r="BQ279" i="7"/>
  <c r="I280" i="7"/>
  <c r="R280" i="7"/>
  <c r="Y280" i="7"/>
  <c r="AE280" i="7"/>
  <c r="AM280" i="7"/>
  <c r="AT280" i="7"/>
  <c r="BA280" i="7"/>
  <c r="BI280" i="7"/>
  <c r="BO280" i="7"/>
  <c r="D281" i="7"/>
  <c r="L281" i="7"/>
  <c r="S281" i="7"/>
  <c r="Y281" i="7"/>
  <c r="AG281" i="7"/>
  <c r="AN281" i="7"/>
  <c r="AU281" i="7"/>
  <c r="BC281" i="7"/>
  <c r="BI281" i="7"/>
  <c r="BP281" i="7"/>
  <c r="F282" i="7"/>
  <c r="M282" i="7"/>
  <c r="S282" i="7"/>
  <c r="AA282" i="7"/>
  <c r="AH282" i="7"/>
  <c r="AO282" i="7"/>
  <c r="AW282" i="7"/>
  <c r="BC282" i="7"/>
  <c r="BJ282" i="7"/>
  <c r="BR282" i="7"/>
  <c r="G283" i="7"/>
  <c r="M283" i="7"/>
  <c r="U283" i="7"/>
  <c r="AB283" i="7"/>
  <c r="AI283" i="7"/>
  <c r="AQ283" i="7"/>
  <c r="AW283" i="7"/>
  <c r="BD283" i="7"/>
  <c r="BL283" i="7"/>
  <c r="BS283" i="7"/>
  <c r="G284" i="7"/>
  <c r="O284" i="7"/>
  <c r="V284" i="7"/>
  <c r="AC284" i="7"/>
  <c r="AK284" i="7"/>
  <c r="AQ284" i="7"/>
  <c r="AX284" i="7"/>
  <c r="BF284" i="7"/>
  <c r="BM284" i="7"/>
  <c r="BS284" i="7"/>
  <c r="I285" i="7"/>
  <c r="P285" i="7"/>
  <c r="W285" i="7"/>
  <c r="AE285" i="7"/>
  <c r="AK285" i="7"/>
  <c r="AR285" i="7"/>
  <c r="AZ285" i="7"/>
  <c r="BG285" i="7"/>
  <c r="BM285" i="7"/>
  <c r="C286" i="7"/>
  <c r="J286" i="7"/>
  <c r="P286" i="7"/>
  <c r="V286" i="7"/>
  <c r="AA286" i="7"/>
  <c r="AF286" i="7"/>
  <c r="AL286" i="7"/>
  <c r="AQ286" i="7"/>
  <c r="AV286" i="7"/>
  <c r="BB286" i="7"/>
  <c r="BG286" i="7"/>
  <c r="BL286" i="7"/>
  <c r="BR286" i="7"/>
  <c r="E287" i="7"/>
  <c r="J287" i="7"/>
  <c r="P287" i="7"/>
  <c r="U287" i="7"/>
  <c r="Z287" i="7"/>
  <c r="AF287" i="7"/>
  <c r="AK287" i="7"/>
  <c r="AP287" i="7"/>
  <c r="AV287" i="7"/>
  <c r="BA287" i="7"/>
  <c r="BF287" i="7"/>
  <c r="BL287" i="7"/>
  <c r="BQ287" i="7"/>
  <c r="D288" i="7"/>
  <c r="J288" i="7"/>
  <c r="O288" i="7"/>
  <c r="T288" i="7"/>
  <c r="Z288" i="7"/>
  <c r="AE288" i="7"/>
  <c r="AJ288" i="7"/>
  <c r="AP288" i="7"/>
  <c r="AU288" i="7"/>
  <c r="AZ288" i="7"/>
  <c r="BF288" i="7"/>
  <c r="BK288" i="7"/>
  <c r="BP288" i="7"/>
  <c r="D289" i="7"/>
  <c r="I289" i="7"/>
  <c r="N289" i="7"/>
  <c r="T289" i="7"/>
  <c r="Y289" i="7"/>
  <c r="AD289" i="7"/>
  <c r="AJ289" i="7"/>
  <c r="AO289" i="7"/>
  <c r="AT289" i="7"/>
  <c r="AZ289" i="7"/>
  <c r="BE289" i="7"/>
  <c r="BJ289" i="7"/>
  <c r="BP289" i="7"/>
  <c r="C290" i="7"/>
  <c r="H290" i="7"/>
  <c r="N290" i="7"/>
  <c r="S290" i="7"/>
  <c r="X290" i="7"/>
  <c r="AD290" i="7"/>
  <c r="AI290" i="7"/>
  <c r="AN290" i="7"/>
  <c r="AT290" i="7"/>
  <c r="AY290" i="7"/>
  <c r="BD290" i="7"/>
  <c r="BJ290" i="7"/>
  <c r="BO290" i="7"/>
  <c r="B291" i="7"/>
  <c r="H291" i="7"/>
  <c r="M291" i="7"/>
  <c r="R291" i="7"/>
  <c r="X291" i="7"/>
  <c r="AC291" i="7"/>
  <c r="AH291" i="7"/>
  <c r="AN291" i="7"/>
  <c r="AS291" i="7"/>
  <c r="AX291" i="7"/>
  <c r="BD291" i="7"/>
  <c r="BI291" i="7"/>
  <c r="BN291" i="7"/>
  <c r="B292" i="7"/>
  <c r="G292" i="7"/>
  <c r="L292" i="7"/>
  <c r="R292" i="7"/>
  <c r="W292" i="7"/>
  <c r="AB292" i="7"/>
  <c r="AH292" i="7"/>
  <c r="AM292" i="7"/>
  <c r="AR292" i="7"/>
  <c r="AX292" i="7"/>
  <c r="BC292" i="7"/>
  <c r="BH292" i="7"/>
  <c r="BN292" i="7"/>
  <c r="BS292" i="7"/>
  <c r="F293" i="7"/>
  <c r="L293" i="7"/>
  <c r="Q293" i="7"/>
  <c r="V293" i="7"/>
  <c r="AB293" i="7"/>
  <c r="AG293" i="7"/>
  <c r="AL293" i="7"/>
  <c r="AR293" i="7"/>
  <c r="AW293" i="7"/>
  <c r="BB293" i="7"/>
  <c r="BH293" i="7"/>
  <c r="BM293" i="7"/>
  <c r="BR293" i="7"/>
  <c r="F294" i="7"/>
  <c r="K294" i="7"/>
  <c r="P294" i="7"/>
  <c r="V294" i="7"/>
  <c r="AA294" i="7"/>
  <c r="AF294" i="7"/>
  <c r="AL294" i="7"/>
  <c r="AQ294" i="7"/>
  <c r="AV294" i="7"/>
  <c r="BB294" i="7"/>
  <c r="BG294" i="7"/>
  <c r="BL294" i="7"/>
  <c r="BR294" i="7"/>
  <c r="R239" i="7"/>
  <c r="AF243" i="7"/>
  <c r="R247" i="7"/>
  <c r="D250" i="7"/>
  <c r="C252" i="7"/>
  <c r="BM253" i="7"/>
  <c r="AH255" i="7"/>
  <c r="BQ256" i="7"/>
  <c r="BM257" i="7"/>
  <c r="AR258" i="7"/>
  <c r="AA259" i="7"/>
  <c r="H260" i="7"/>
  <c r="BE260" i="7"/>
  <c r="AM261" i="7"/>
  <c r="J262" i="7"/>
  <c r="AU262" i="7"/>
  <c r="P263" i="7"/>
  <c r="BA263" i="7"/>
  <c r="U264" i="7"/>
  <c r="BI264" i="7"/>
  <c r="AB265" i="7"/>
  <c r="BM265" i="7"/>
  <c r="AH266" i="7"/>
  <c r="BS266" i="7"/>
  <c r="AM267" i="7"/>
  <c r="G268" i="7"/>
  <c r="AS268" i="7"/>
  <c r="L269" i="7"/>
  <c r="AZ269" i="7"/>
  <c r="S270" i="7"/>
  <c r="BE270" i="7"/>
  <c r="Y271" i="7"/>
  <c r="BA271" i="7"/>
  <c r="M272" i="7"/>
  <c r="AO272" i="7"/>
  <c r="BQ272" i="7"/>
  <c r="AB273" i="7"/>
  <c r="BD273" i="7"/>
  <c r="N274" i="7"/>
  <c r="AQ274" i="7"/>
  <c r="BS274" i="7"/>
  <c r="AC275" i="7"/>
  <c r="BC275" i="7"/>
  <c r="BQ275" i="7"/>
  <c r="M276" i="7"/>
  <c r="AA276" i="7"/>
  <c r="AP276" i="7"/>
  <c r="BC276" i="7"/>
  <c r="BR276" i="7"/>
  <c r="O277" i="7"/>
  <c r="AB277" i="7"/>
  <c r="AQ277" i="7"/>
  <c r="BE277" i="7"/>
  <c r="BS277" i="7"/>
  <c r="O278" i="7"/>
  <c r="AD278" i="7"/>
  <c r="AQ278" i="7"/>
  <c r="BE278" i="7"/>
  <c r="BM278" i="7"/>
  <c r="E279" i="7"/>
  <c r="O279" i="7"/>
  <c r="X279" i="7"/>
  <c r="AI279" i="7"/>
  <c r="AQ279" i="7"/>
  <c r="AZ279" i="7"/>
  <c r="BK279" i="7"/>
  <c r="B280" i="7"/>
  <c r="J280" i="7"/>
  <c r="S280" i="7"/>
  <c r="Z280" i="7"/>
  <c r="AH280" i="7"/>
  <c r="AO280" i="7"/>
  <c r="AU280" i="7"/>
  <c r="BC280" i="7"/>
  <c r="BJ280" i="7"/>
  <c r="BQ280" i="7"/>
  <c r="G281" i="7"/>
  <c r="M281" i="7"/>
  <c r="T281" i="7"/>
  <c r="AB281" i="7"/>
  <c r="AI281" i="7"/>
  <c r="AO281" i="7"/>
  <c r="AW281" i="7"/>
  <c r="BD281" i="7"/>
  <c r="BK281" i="7"/>
  <c r="BS281" i="7"/>
  <c r="G282" i="7"/>
  <c r="N282" i="7"/>
  <c r="V282" i="7"/>
  <c r="AC282" i="7"/>
  <c r="AI282" i="7"/>
  <c r="AQ282" i="7"/>
  <c r="AX282" i="7"/>
  <c r="BE282" i="7"/>
  <c r="BM282" i="7"/>
  <c r="BS282" i="7"/>
  <c r="H283" i="7"/>
  <c r="P283" i="7"/>
  <c r="W283" i="7"/>
  <c r="AC283" i="7"/>
  <c r="AK283" i="7"/>
  <c r="AR283" i="7"/>
  <c r="AY283" i="7"/>
  <c r="BG283" i="7"/>
  <c r="BM283" i="7"/>
  <c r="B284" i="7"/>
  <c r="J284" i="7"/>
  <c r="Q284" i="7"/>
  <c r="W284" i="7"/>
  <c r="AE284" i="7"/>
  <c r="AL284" i="7"/>
  <c r="AS284" i="7"/>
  <c r="BA284" i="7"/>
  <c r="BG284" i="7"/>
  <c r="BN284" i="7"/>
  <c r="D285" i="7"/>
  <c r="K285" i="7"/>
  <c r="Q285" i="7"/>
  <c r="Y285" i="7"/>
  <c r="AF285" i="7"/>
  <c r="AM285" i="7"/>
  <c r="AU285" i="7"/>
  <c r="BA285" i="7"/>
  <c r="BH285" i="7"/>
  <c r="BP285" i="7"/>
  <c r="E286" i="7"/>
  <c r="K286" i="7"/>
  <c r="R286" i="7"/>
  <c r="W286" i="7"/>
  <c r="AB286" i="7"/>
  <c r="AH286" i="7"/>
  <c r="AM286" i="7"/>
  <c r="AR286" i="7"/>
  <c r="AX286" i="7"/>
  <c r="BC286" i="7"/>
  <c r="BH286" i="7"/>
  <c r="BN286" i="7"/>
  <c r="BS286" i="7"/>
  <c r="F287" i="7"/>
  <c r="L287" i="7"/>
  <c r="Q287" i="7"/>
  <c r="V287" i="7"/>
  <c r="AB287" i="7"/>
  <c r="AG287" i="7"/>
  <c r="AL287" i="7"/>
  <c r="AR287" i="7"/>
  <c r="AW287" i="7"/>
  <c r="BB287" i="7"/>
  <c r="BH287" i="7"/>
  <c r="BM287" i="7"/>
  <c r="BR287" i="7"/>
  <c r="F288" i="7"/>
  <c r="K288" i="7"/>
  <c r="P288" i="7"/>
  <c r="V288" i="7"/>
  <c r="AA288" i="7"/>
  <c r="AF288" i="7"/>
  <c r="AL288" i="7"/>
  <c r="AQ288" i="7"/>
  <c r="AV288" i="7"/>
  <c r="BB288" i="7"/>
  <c r="BG288" i="7"/>
  <c r="BL288" i="7"/>
  <c r="BR288" i="7"/>
  <c r="E289" i="7"/>
  <c r="J289" i="7"/>
  <c r="P289" i="7"/>
  <c r="U289" i="7"/>
  <c r="Z289" i="7"/>
  <c r="AF289" i="7"/>
  <c r="AK289" i="7"/>
  <c r="AP289" i="7"/>
  <c r="AV289" i="7"/>
  <c r="BA289" i="7"/>
  <c r="BF289" i="7"/>
  <c r="BL289" i="7"/>
  <c r="BQ289" i="7"/>
  <c r="D290" i="7"/>
  <c r="J290" i="7"/>
  <c r="O290" i="7"/>
  <c r="T290" i="7"/>
  <c r="Z290" i="7"/>
  <c r="AE290" i="7"/>
  <c r="AJ290" i="7"/>
  <c r="AP290" i="7"/>
  <c r="AU290" i="7"/>
  <c r="AZ290" i="7"/>
  <c r="BF290" i="7"/>
  <c r="BK290" i="7"/>
  <c r="BP290" i="7"/>
  <c r="D291" i="7"/>
  <c r="I291" i="7"/>
  <c r="N291" i="7"/>
  <c r="T291" i="7"/>
  <c r="Y291" i="7"/>
  <c r="AD291" i="7"/>
  <c r="AJ291" i="7"/>
  <c r="AO291" i="7"/>
  <c r="AT291" i="7"/>
  <c r="AZ291" i="7"/>
  <c r="BE291" i="7"/>
  <c r="BJ291" i="7"/>
  <c r="BP291" i="7"/>
  <c r="C292" i="7"/>
  <c r="H292" i="7"/>
  <c r="N292" i="7"/>
  <c r="S292" i="7"/>
  <c r="X292" i="7"/>
  <c r="AD292" i="7"/>
  <c r="AI292" i="7"/>
  <c r="AN292" i="7"/>
  <c r="AT292" i="7"/>
  <c r="AY292" i="7"/>
  <c r="BD292" i="7"/>
  <c r="BJ292" i="7"/>
  <c r="BO292" i="7"/>
  <c r="B293" i="7"/>
  <c r="H293" i="7"/>
  <c r="M293" i="7"/>
  <c r="R293" i="7"/>
  <c r="X293" i="7"/>
  <c r="AC293" i="7"/>
  <c r="AH293" i="7"/>
  <c r="AN293" i="7"/>
  <c r="AS293" i="7"/>
  <c r="AX293" i="7"/>
  <c r="BD293" i="7"/>
  <c r="BI293" i="7"/>
  <c r="BN293" i="7"/>
  <c r="B294" i="7"/>
  <c r="G294" i="7"/>
  <c r="L294" i="7"/>
  <c r="R294" i="7"/>
  <c r="W294" i="7"/>
  <c r="AB294" i="7"/>
  <c r="AH294" i="7"/>
  <c r="AM294" i="7"/>
  <c r="AR294" i="7"/>
  <c r="AX294" i="7"/>
  <c r="BC294" i="7"/>
  <c r="BH294" i="7"/>
  <c r="BN294" i="7"/>
  <c r="BS294" i="7"/>
  <c r="AQ229" i="7"/>
  <c r="AN240" i="7"/>
  <c r="Z244" i="7"/>
  <c r="H248" i="7"/>
  <c r="AR250" i="7"/>
  <c r="AI252" i="7"/>
  <c r="AB254" i="7"/>
  <c r="BJ255" i="7"/>
  <c r="O257" i="7"/>
  <c r="G258" i="7"/>
  <c r="BG258" i="7"/>
  <c r="AL259" i="7"/>
  <c r="S260" i="7"/>
  <c r="B261" i="7"/>
  <c r="AY261" i="7"/>
  <c r="S262" i="7"/>
  <c r="BF262" i="7"/>
  <c r="Y263" i="7"/>
  <c r="BK263" i="7"/>
  <c r="AE264" i="7"/>
  <c r="BQ264" i="7"/>
  <c r="AJ265" i="7"/>
  <c r="F266" i="7"/>
  <c r="AQ266" i="7"/>
  <c r="K267" i="7"/>
  <c r="AW267" i="7"/>
  <c r="Q268" i="7"/>
  <c r="BB268" i="7"/>
  <c r="W269" i="7"/>
  <c r="BH269" i="7"/>
  <c r="AA270" i="7"/>
  <c r="BO270" i="7"/>
  <c r="AF271" i="7"/>
  <c r="BI271" i="7"/>
  <c r="S272" i="7"/>
  <c r="AU272" i="7"/>
  <c r="G273" i="7"/>
  <c r="AI273" i="7"/>
  <c r="BK273" i="7"/>
  <c r="V274" i="7"/>
  <c r="AX274" i="7"/>
  <c r="H275" i="7"/>
  <c r="AK275" i="7"/>
  <c r="BG275" i="7"/>
  <c r="B276" i="7"/>
  <c r="Q276" i="7"/>
  <c r="AE276" i="7"/>
  <c r="AS276" i="7"/>
  <c r="BG276" i="7"/>
  <c r="D277" i="7"/>
  <c r="Q277" i="7"/>
  <c r="AF277" i="7"/>
  <c r="AU277" i="7"/>
  <c r="BH277" i="7"/>
  <c r="E278" i="7"/>
  <c r="S278" i="7"/>
  <c r="AG278" i="7"/>
  <c r="AU278" i="7"/>
  <c r="BF278" i="7"/>
  <c r="BQ278" i="7"/>
  <c r="H279" i="7"/>
  <c r="P279" i="7"/>
  <c r="AA279" i="7"/>
  <c r="AJ279" i="7"/>
  <c r="AS279" i="7"/>
  <c r="BD279" i="7"/>
  <c r="BL279" i="7"/>
  <c r="C280" i="7"/>
  <c r="N280" i="7"/>
  <c r="U280" i="7"/>
  <c r="AC280" i="7"/>
  <c r="AI280" i="7"/>
  <c r="AP280" i="7"/>
  <c r="AX280" i="7"/>
  <c r="BE280" i="7"/>
  <c r="BK280" i="7"/>
  <c r="BS280" i="7"/>
  <c r="H281" i="7"/>
  <c r="O281" i="7"/>
  <c r="W281" i="7"/>
  <c r="AC281" i="7"/>
  <c r="AJ281" i="7"/>
  <c r="AR281" i="7"/>
  <c r="AY281" i="7"/>
  <c r="BE281" i="7"/>
  <c r="BM281" i="7"/>
  <c r="B282" i="7"/>
  <c r="I282" i="7"/>
  <c r="Q282" i="7"/>
  <c r="W282" i="7"/>
  <c r="AD282" i="7"/>
  <c r="AL282" i="7"/>
  <c r="AS282" i="7"/>
  <c r="AY282" i="7"/>
  <c r="BG282" i="7"/>
  <c r="BN282" i="7"/>
  <c r="C283" i="7"/>
  <c r="K283" i="7"/>
  <c r="Q283" i="7"/>
  <c r="X283" i="7"/>
  <c r="AF283" i="7"/>
  <c r="AM283" i="7"/>
  <c r="AS283" i="7"/>
  <c r="BA283" i="7"/>
  <c r="BH283" i="7"/>
  <c r="BO283" i="7"/>
  <c r="E284" i="7"/>
  <c r="K284" i="7"/>
  <c r="R284" i="7"/>
  <c r="Z284" i="7"/>
  <c r="AG284" i="7"/>
  <c r="AM284" i="7"/>
  <c r="AU284" i="7"/>
  <c r="BB284" i="7"/>
  <c r="BI284" i="7"/>
  <c r="BQ284" i="7"/>
  <c r="E285" i="7"/>
  <c r="L285" i="7"/>
  <c r="T285" i="7"/>
  <c r="AA285" i="7"/>
  <c r="AG285" i="7"/>
  <c r="AO285" i="7"/>
  <c r="AV285" i="7"/>
  <c r="BC285" i="7"/>
  <c r="BK285" i="7"/>
  <c r="BQ285" i="7"/>
  <c r="F286" i="7"/>
  <c r="N286" i="7"/>
  <c r="S286" i="7"/>
  <c r="X286" i="7"/>
  <c r="AD286" i="7"/>
  <c r="AI286" i="7"/>
  <c r="AN286" i="7"/>
  <c r="AT286" i="7"/>
  <c r="AY286" i="7"/>
  <c r="BD286" i="7"/>
  <c r="BJ286" i="7"/>
  <c r="BO286" i="7"/>
  <c r="B287" i="7"/>
  <c r="H287" i="7"/>
  <c r="M287" i="7"/>
  <c r="R287" i="7"/>
  <c r="X287" i="7"/>
  <c r="AC287" i="7"/>
  <c r="AH287" i="7"/>
  <c r="AN287" i="7"/>
  <c r="AS287" i="7"/>
  <c r="AX287" i="7"/>
  <c r="BD287" i="7"/>
  <c r="BI287" i="7"/>
  <c r="BN287" i="7"/>
  <c r="B288" i="7"/>
  <c r="G288" i="7"/>
  <c r="L288" i="7"/>
  <c r="R288" i="7"/>
  <c r="W288" i="7"/>
  <c r="AB288" i="7"/>
  <c r="AH288" i="7"/>
  <c r="AM288" i="7"/>
  <c r="AR288" i="7"/>
  <c r="AX288" i="7"/>
  <c r="BC288" i="7"/>
  <c r="BH288" i="7"/>
  <c r="BN288" i="7"/>
  <c r="BS288" i="7"/>
  <c r="F289" i="7"/>
  <c r="L289" i="7"/>
  <c r="Q289" i="7"/>
  <c r="V289" i="7"/>
  <c r="AB289" i="7"/>
  <c r="AG289" i="7"/>
  <c r="AL289" i="7"/>
  <c r="AR289" i="7"/>
  <c r="AW289" i="7"/>
  <c r="BB289" i="7"/>
  <c r="BH289" i="7"/>
  <c r="BM289" i="7"/>
  <c r="BR289" i="7"/>
  <c r="F290" i="7"/>
  <c r="K290" i="7"/>
  <c r="P290" i="7"/>
  <c r="V290" i="7"/>
  <c r="AA290" i="7"/>
  <c r="AF290" i="7"/>
  <c r="AL290" i="7"/>
  <c r="AQ290" i="7"/>
  <c r="AV290" i="7"/>
  <c r="BB290" i="7"/>
  <c r="BG290" i="7"/>
  <c r="BL290" i="7"/>
  <c r="BR290" i="7"/>
  <c r="E291" i="7"/>
  <c r="J291" i="7"/>
  <c r="P291" i="7"/>
  <c r="U291" i="7"/>
  <c r="Z291" i="7"/>
  <c r="AF291" i="7"/>
  <c r="AK291" i="7"/>
  <c r="AP291" i="7"/>
  <c r="AV291" i="7"/>
  <c r="BA291" i="7"/>
  <c r="BF291" i="7"/>
  <c r="BL291" i="7"/>
  <c r="BQ291" i="7"/>
  <c r="D292" i="7"/>
  <c r="J292" i="7"/>
  <c r="O292" i="7"/>
  <c r="T292" i="7"/>
  <c r="Z292" i="7"/>
  <c r="AE292" i="7"/>
  <c r="AJ292" i="7"/>
  <c r="AP292" i="7"/>
  <c r="AU292" i="7"/>
  <c r="AZ292" i="7"/>
  <c r="BF292" i="7"/>
  <c r="BK292" i="7"/>
  <c r="BP292" i="7"/>
  <c r="D293" i="7"/>
  <c r="I293" i="7"/>
  <c r="N293" i="7"/>
  <c r="T293" i="7"/>
  <c r="Y293" i="7"/>
  <c r="AD293" i="7"/>
  <c r="AJ293" i="7"/>
  <c r="AO293" i="7"/>
  <c r="AT293" i="7"/>
  <c r="AZ293" i="7"/>
  <c r="BE293" i="7"/>
  <c r="BJ293" i="7"/>
  <c r="BP293" i="7"/>
  <c r="C294" i="7"/>
  <c r="H294" i="7"/>
  <c r="N294" i="7"/>
  <c r="S294" i="7"/>
  <c r="X294" i="7"/>
  <c r="AD294" i="7"/>
  <c r="AI294" i="7"/>
  <c r="AN294" i="7"/>
  <c r="AT294" i="7"/>
  <c r="AY294" i="7"/>
  <c r="BD294" i="7"/>
  <c r="BJ294" i="7"/>
  <c r="BO294" i="7"/>
  <c r="BI233" i="7"/>
  <c r="AH241" i="7"/>
  <c r="T245" i="7"/>
  <c r="BL248" i="7"/>
  <c r="D251" i="7"/>
  <c r="BO252" i="7"/>
  <c r="BE254" i="7"/>
  <c r="Q256" i="7"/>
  <c r="AG257" i="7"/>
  <c r="U258" i="7"/>
  <c r="BS258" i="7"/>
  <c r="AY259" i="7"/>
  <c r="AF260" i="7"/>
  <c r="M261" i="7"/>
  <c r="BH261" i="7"/>
  <c r="AD262" i="7"/>
  <c r="BO262" i="7"/>
  <c r="AI263" i="7"/>
  <c r="C264" i="7"/>
  <c r="AO264" i="7"/>
  <c r="H265" i="7"/>
  <c r="AU265" i="7"/>
  <c r="N266" i="7"/>
  <c r="AY266" i="7"/>
  <c r="U267" i="7"/>
  <c r="BG267" i="7"/>
  <c r="Z268" i="7"/>
  <c r="BM268" i="7"/>
  <c r="AF269" i="7"/>
  <c r="BQ269" i="7"/>
  <c r="AL270" i="7"/>
  <c r="E271" i="7"/>
  <c r="AN271" i="7"/>
  <c r="BP271" i="7"/>
  <c r="Z272" i="7"/>
  <c r="BC272" i="7"/>
  <c r="M273" i="7"/>
  <c r="AO273" i="7"/>
  <c r="BS273" i="7"/>
  <c r="AC274" i="7"/>
  <c r="BE274" i="7"/>
  <c r="P275" i="7"/>
  <c r="AR275" i="7"/>
  <c r="BI275" i="7"/>
  <c r="F276" i="7"/>
  <c r="U276" i="7"/>
  <c r="AH276" i="7"/>
  <c r="AW276" i="7"/>
  <c r="BK276" i="7"/>
  <c r="G277" i="7"/>
  <c r="U277" i="7"/>
  <c r="AJ277" i="7"/>
  <c r="AW277" i="7"/>
  <c r="BL277" i="7"/>
  <c r="I278" i="7"/>
  <c r="V278" i="7"/>
  <c r="AK278" i="7"/>
  <c r="AY278" i="7"/>
  <c r="BJ278" i="7"/>
  <c r="BR278" i="7"/>
  <c r="I279" i="7"/>
  <c r="T279" i="7"/>
  <c r="AC279" i="7"/>
  <c r="AK279" i="7"/>
  <c r="AV279" i="7"/>
  <c r="BE279" i="7"/>
  <c r="BO279" i="7"/>
  <c r="G280" i="7"/>
  <c r="O280" i="7"/>
  <c r="W280" i="7"/>
  <c r="AD280" i="7"/>
  <c r="AK280" i="7"/>
  <c r="AS280" i="7"/>
  <c r="AY280" i="7"/>
  <c r="BF280" i="7"/>
  <c r="BN280" i="7"/>
  <c r="C281" i="7"/>
  <c r="I281" i="7"/>
  <c r="Q281" i="7"/>
  <c r="X281" i="7"/>
  <c r="AE281" i="7"/>
  <c r="AM281" i="7"/>
  <c r="AS281" i="7"/>
  <c r="AZ281" i="7"/>
  <c r="BH281" i="7"/>
  <c r="K282" i="7"/>
  <c r="AM282" i="7"/>
  <c r="BO282" i="7"/>
  <c r="AA283" i="7"/>
  <c r="BC283" i="7"/>
  <c r="M284" i="7"/>
  <c r="AP284" i="7"/>
  <c r="BR284" i="7"/>
  <c r="AB285" i="7"/>
  <c r="BE285" i="7"/>
  <c r="O286" i="7"/>
  <c r="AJ286" i="7"/>
  <c r="BF286" i="7"/>
  <c r="I287" i="7"/>
  <c r="AD287" i="7"/>
  <c r="AZ287" i="7"/>
  <c r="C288" i="7"/>
  <c r="X288" i="7"/>
  <c r="AT288" i="7"/>
  <c r="BO288" i="7"/>
  <c r="R289" i="7"/>
  <c r="AN289" i="7"/>
  <c r="BI289" i="7"/>
  <c r="L290" i="7"/>
  <c r="AH290" i="7"/>
  <c r="BC290" i="7"/>
  <c r="F291" i="7"/>
  <c r="AB291" i="7"/>
  <c r="AW291" i="7"/>
  <c r="BR291" i="7"/>
  <c r="V292" i="7"/>
  <c r="AQ292" i="7"/>
  <c r="BL292" i="7"/>
  <c r="P293" i="7"/>
  <c r="AK293" i="7"/>
  <c r="BF293" i="7"/>
  <c r="J294" i="7"/>
  <c r="AE294" i="7"/>
  <c r="AZ294" i="7"/>
  <c r="R282" i="7"/>
  <c r="AT282" i="7"/>
  <c r="E283" i="7"/>
  <c r="AG283" i="7"/>
  <c r="BI283" i="7"/>
  <c r="U284" i="7"/>
  <c r="AW284" i="7"/>
  <c r="G285" i="7"/>
  <c r="AJ285" i="7"/>
  <c r="BL285" i="7"/>
  <c r="T286" i="7"/>
  <c r="AP286" i="7"/>
  <c r="BK286" i="7"/>
  <c r="N287" i="7"/>
  <c r="AJ287" i="7"/>
  <c r="BE287" i="7"/>
  <c r="H288" i="7"/>
  <c r="AD288" i="7"/>
  <c r="AY288" i="7"/>
  <c r="B289" i="7"/>
  <c r="X289" i="7"/>
  <c r="AS289" i="7"/>
  <c r="BN289" i="7"/>
  <c r="R290" i="7"/>
  <c r="AM290" i="7"/>
  <c r="BH290" i="7"/>
  <c r="L291" i="7"/>
  <c r="AG291" i="7"/>
  <c r="BB291" i="7"/>
  <c r="F292" i="7"/>
  <c r="AA292" i="7"/>
  <c r="AV292" i="7"/>
  <c r="BR292" i="7"/>
  <c r="U293" i="7"/>
  <c r="AP293" i="7"/>
  <c r="BL293" i="7"/>
  <c r="O294" i="7"/>
  <c r="AJ294" i="7"/>
  <c r="BF294" i="7"/>
  <c r="BO281" i="7"/>
  <c r="Y282" i="7"/>
  <c r="BB282" i="7"/>
  <c r="L283" i="7"/>
  <c r="AN283" i="7"/>
  <c r="BQ283" i="7"/>
  <c r="AA284" i="7"/>
  <c r="BC284" i="7"/>
  <c r="O285" i="7"/>
  <c r="AQ285" i="7"/>
  <c r="BS285" i="7"/>
  <c r="Z286" i="7"/>
  <c r="AU286" i="7"/>
  <c r="BP286" i="7"/>
  <c r="T287" i="7"/>
  <c r="AO287" i="7"/>
  <c r="BJ287" i="7"/>
  <c r="N288" i="7"/>
  <c r="AI288" i="7"/>
  <c r="BD288" i="7"/>
  <c r="H289" i="7"/>
  <c r="AC289" i="7"/>
  <c r="AX289" i="7"/>
  <c r="B290" i="7"/>
  <c r="W290" i="7"/>
  <c r="AR290" i="7"/>
  <c r="BN290" i="7"/>
  <c r="Q291" i="7"/>
  <c r="AL291" i="7"/>
  <c r="BH291" i="7"/>
  <c r="K292" i="7"/>
  <c r="AF292" i="7"/>
  <c r="BB292" i="7"/>
  <c r="E293" i="7"/>
  <c r="Z293" i="7"/>
  <c r="AV293" i="7"/>
  <c r="BQ293" i="7"/>
  <c r="T294" i="7"/>
  <c r="AP294" i="7"/>
  <c r="BK294" i="7"/>
  <c r="C282" i="7"/>
  <c r="AG282" i="7"/>
  <c r="BI282" i="7"/>
  <c r="S283" i="7"/>
  <c r="AV283" i="7"/>
  <c r="F284" i="7"/>
  <c r="AH284" i="7"/>
  <c r="BK284" i="7"/>
  <c r="U285" i="7"/>
  <c r="AW285" i="7"/>
  <c r="I286" i="7"/>
  <c r="AE286" i="7"/>
  <c r="AZ286" i="7"/>
  <c r="D287" i="7"/>
  <c r="Y287" i="7"/>
  <c r="AT287" i="7"/>
  <c r="BP287" i="7"/>
  <c r="S288" i="7"/>
  <c r="AN288" i="7"/>
  <c r="BJ288" i="7"/>
  <c r="M289" i="7"/>
  <c r="AH289" i="7"/>
  <c r="BD289" i="7"/>
  <c r="G290" i="7"/>
  <c r="AB290" i="7"/>
  <c r="AX290" i="7"/>
  <c r="BS290" i="7"/>
  <c r="V291" i="7"/>
  <c r="AR291" i="7"/>
  <c r="BM291" i="7"/>
  <c r="P292" i="7"/>
  <c r="AL292" i="7"/>
  <c r="BG292" i="7"/>
  <c r="J293" i="7"/>
  <c r="AF293" i="7"/>
  <c r="BA293" i="7"/>
  <c r="D294" i="7"/>
  <c r="Z294" i="7"/>
  <c r="AU294" i="7"/>
  <c r="BP294" i="7"/>
  <c r="G225" i="7"/>
  <c r="AX229" i="7"/>
  <c r="AH229" i="7"/>
  <c r="R229" i="7"/>
  <c r="B229" i="7"/>
  <c r="BD228" i="7"/>
  <c r="AN228" i="7"/>
  <c r="X228" i="7"/>
  <c r="H228" i="7"/>
  <c r="BJ227" i="7"/>
  <c r="AT227" i="7"/>
  <c r="AD227" i="7"/>
  <c r="N227" i="7"/>
  <c r="BP226" i="7"/>
  <c r="AZ226" i="7"/>
  <c r="AJ226" i="7"/>
  <c r="T226" i="7"/>
  <c r="D226" i="7"/>
  <c r="BF225" i="7"/>
  <c r="AP225" i="7"/>
  <c r="Z225" i="7"/>
  <c r="J225" i="7"/>
  <c r="J226" i="7"/>
  <c r="BC227" i="7"/>
  <c r="M229" i="7"/>
  <c r="K230" i="7"/>
  <c r="BQ230" i="7"/>
  <c r="AR231" i="7"/>
  <c r="P232" i="7"/>
  <c r="BG232" i="7"/>
  <c r="AF233" i="7"/>
  <c r="D234" i="7"/>
  <c r="AU234" i="7"/>
  <c r="T235" i="7"/>
  <c r="BJ235" i="7"/>
  <c r="AI236" i="7"/>
  <c r="H237" i="7"/>
  <c r="AO237" i="7"/>
  <c r="C238" i="7"/>
  <c r="AI238" i="7"/>
  <c r="BL238" i="7"/>
  <c r="O239" i="7"/>
  <c r="AK239" i="7"/>
  <c r="BF239" i="7"/>
  <c r="I240" i="7"/>
  <c r="Y240" i="7"/>
  <c r="AO240" i="7"/>
  <c r="BE240" i="7"/>
  <c r="C241" i="7"/>
  <c r="S241" i="7"/>
  <c r="AI241" i="7"/>
  <c r="AY241" i="7"/>
  <c r="BO241" i="7"/>
  <c r="M242" i="7"/>
  <c r="AC242" i="7"/>
  <c r="AS242" i="7"/>
  <c r="BI242" i="7"/>
  <c r="G243" i="7"/>
  <c r="W243" i="7"/>
  <c r="AM243" i="7"/>
  <c r="BC243" i="7"/>
  <c r="BS243" i="7"/>
  <c r="Q244" i="7"/>
  <c r="AG244" i="7"/>
  <c r="AW244" i="7"/>
  <c r="BM244" i="7"/>
  <c r="K245" i="7"/>
  <c r="AA245" i="7"/>
  <c r="AQ245" i="7"/>
  <c r="BG245" i="7"/>
  <c r="E246" i="7"/>
  <c r="U246" i="7"/>
  <c r="AK246" i="7"/>
  <c r="BA246" i="7"/>
  <c r="BQ246" i="7"/>
  <c r="O247" i="7"/>
  <c r="AE247" i="7"/>
  <c r="AU247" i="7"/>
  <c r="BK247" i="7"/>
  <c r="I248" i="7"/>
  <c r="Y248" i="7"/>
  <c r="AO248" i="7"/>
  <c r="BE248" i="7"/>
  <c r="C249" i="7"/>
  <c r="S249" i="7"/>
  <c r="AI249" i="7"/>
  <c r="AY249" i="7"/>
  <c r="BO249" i="7"/>
  <c r="M250" i="7"/>
  <c r="AC250" i="7"/>
  <c r="AS250" i="7"/>
  <c r="BI250" i="7"/>
  <c r="G251" i="7"/>
  <c r="W251" i="7"/>
  <c r="AM251" i="7"/>
  <c r="BC251" i="7"/>
  <c r="BS251" i="7"/>
  <c r="Q252" i="7"/>
  <c r="AG252" i="7"/>
  <c r="AW252" i="7"/>
  <c r="BM252" i="7"/>
  <c r="K253" i="7"/>
  <c r="AA253" i="7"/>
  <c r="AQ253" i="7"/>
  <c r="BG253" i="7"/>
  <c r="E254" i="7"/>
  <c r="U254" i="7"/>
  <c r="CZ83" i="7"/>
  <c r="CZ84" i="7" s="1"/>
  <c r="CN83" i="7"/>
  <c r="CN84" i="7" s="1"/>
  <c r="EE83" i="7"/>
  <c r="EE84" i="7" s="1"/>
  <c r="CX84" i="7"/>
  <c r="CX155" i="7"/>
  <c r="CH84" i="7"/>
  <c r="CH155" i="7"/>
  <c r="CD154" i="7"/>
  <c r="CD83" i="7"/>
  <c r="CL154" i="7"/>
  <c r="CL83" i="7"/>
  <c r="CT154" i="7"/>
  <c r="CT83" i="7"/>
  <c r="DB83" i="7"/>
  <c r="DB154" i="7"/>
  <c r="CP84" i="7"/>
  <c r="CP155" i="7"/>
  <c r="EM84" i="7"/>
  <c r="EM155" i="7"/>
  <c r="EH154" i="7"/>
  <c r="EH83" i="7"/>
  <c r="EN83" i="7"/>
  <c r="EN154" i="7"/>
  <c r="DH83" i="7"/>
  <c r="DH154" i="7"/>
  <c r="ED154" i="7"/>
  <c r="ED83" i="7"/>
  <c r="DT83" i="7"/>
  <c r="DT154" i="7"/>
  <c r="DK84" i="7"/>
  <c r="DK155" i="7"/>
  <c r="DJ154" i="7"/>
  <c r="DJ83" i="7"/>
  <c r="EF83" i="7"/>
  <c r="EF154" i="7"/>
  <c r="DW84" i="7"/>
  <c r="DW155" i="7"/>
  <c r="DV154" i="7"/>
  <c r="DV83" i="7"/>
  <c r="DL83" i="7"/>
  <c r="DL154" i="7"/>
  <c r="EG84" i="7"/>
  <c r="EG155" i="7"/>
  <c r="EC84" i="7"/>
  <c r="EC155" i="7"/>
  <c r="DU84" i="7"/>
  <c r="DU155" i="7"/>
  <c r="DM84" i="7"/>
  <c r="DM155" i="7"/>
  <c r="DS84" i="7"/>
  <c r="DS155" i="7"/>
  <c r="DR154" i="7"/>
  <c r="DR83" i="7"/>
  <c r="DX83" i="7"/>
  <c r="DX154" i="7"/>
  <c r="DG84" i="7"/>
  <c r="DG155" i="7"/>
  <c r="DO84" i="7"/>
  <c r="DO155" i="7"/>
  <c r="DN154" i="7"/>
  <c r="DN83" i="7"/>
  <c r="EJ83" i="7"/>
  <c r="EJ154" i="7"/>
  <c r="DZ154" i="7"/>
  <c r="DZ83" i="7"/>
  <c r="DP83" i="7"/>
  <c r="DP154" i="7"/>
  <c r="EL154" i="7"/>
  <c r="EL83" i="7"/>
  <c r="DF154" i="7"/>
  <c r="DF83" i="7"/>
  <c r="EB83" i="7"/>
  <c r="EB154" i="7"/>
  <c r="EI84" i="7"/>
  <c r="EI155" i="7"/>
  <c r="DI85" i="7"/>
  <c r="DI156" i="7"/>
  <c r="EK84" i="7"/>
  <c r="EK155" i="7"/>
  <c r="DY84" i="7"/>
  <c r="DY155" i="7"/>
  <c r="DQ84" i="7"/>
  <c r="DQ155" i="7"/>
  <c r="DD84" i="7"/>
  <c r="DD155" i="7"/>
  <c r="DA83" i="7"/>
  <c r="DA154" i="7"/>
  <c r="BW84" i="7"/>
  <c r="BW155" i="7"/>
  <c r="CC83" i="7"/>
  <c r="CC154" i="7"/>
  <c r="DC154" i="7"/>
  <c r="DC83" i="7"/>
  <c r="CM154" i="7"/>
  <c r="CM83" i="7"/>
  <c r="CG83" i="7"/>
  <c r="CG154" i="7"/>
  <c r="CY154" i="7"/>
  <c r="CY83" i="7"/>
  <c r="CI154" i="7"/>
  <c r="CI83" i="7"/>
  <c r="DE83" i="7"/>
  <c r="DE154" i="7"/>
  <c r="BY83" i="7"/>
  <c r="BY154" i="7"/>
  <c r="BZ156" i="7"/>
  <c r="BZ85" i="7"/>
  <c r="CB84" i="7"/>
  <c r="CB155" i="7"/>
  <c r="CV84" i="7"/>
  <c r="CV155" i="7"/>
  <c r="CJ84" i="7"/>
  <c r="CJ155" i="7"/>
  <c r="CK83" i="7"/>
  <c r="CK154" i="7"/>
  <c r="CU154" i="7"/>
  <c r="CU83" i="7"/>
  <c r="CE154" i="7"/>
  <c r="CE83" i="7"/>
  <c r="CW83" i="7"/>
  <c r="CW154" i="7"/>
  <c r="CQ154" i="7"/>
  <c r="CQ83" i="7"/>
  <c r="CA154" i="7"/>
  <c r="CA83" i="7"/>
  <c r="CO83" i="7"/>
  <c r="CO154" i="7"/>
  <c r="CS83" i="7"/>
  <c r="CS154" i="7"/>
  <c r="EP153" i="7"/>
  <c r="ES153" i="7" s="1"/>
  <c r="CR84" i="7"/>
  <c r="CR155" i="7"/>
  <c r="CF84" i="7"/>
  <c r="CF155" i="7"/>
  <c r="BX155" i="7"/>
  <c r="BX84" i="7"/>
  <c r="CN155" i="7"/>
  <c r="CZ155" i="7" l="1"/>
  <c r="EE155" i="7"/>
  <c r="EA155" i="7"/>
  <c r="CD84" i="7"/>
  <c r="CD155" i="7"/>
  <c r="EP154" i="7"/>
  <c r="CL84" i="7"/>
  <c r="CL155" i="7"/>
  <c r="DB155" i="7"/>
  <c r="DB84" i="7"/>
  <c r="CH85" i="7"/>
  <c r="CH156" i="7"/>
  <c r="CT84" i="7"/>
  <c r="CT155" i="7"/>
  <c r="CP156" i="7"/>
  <c r="CP85" i="7"/>
  <c r="CX156" i="7"/>
  <c r="CX85" i="7"/>
  <c r="DQ85" i="7"/>
  <c r="DQ156" i="7"/>
  <c r="EI85" i="7"/>
  <c r="EI156" i="7"/>
  <c r="EA85" i="7"/>
  <c r="EA156" i="7"/>
  <c r="DM85" i="7"/>
  <c r="DM156" i="7"/>
  <c r="DL84" i="7"/>
  <c r="DL155" i="7"/>
  <c r="EL84" i="7"/>
  <c r="EL155" i="7"/>
  <c r="DZ84" i="7"/>
  <c r="DZ155" i="7"/>
  <c r="DV84" i="7"/>
  <c r="DV155" i="7"/>
  <c r="ED84" i="7"/>
  <c r="ED155" i="7"/>
  <c r="EH84" i="7"/>
  <c r="EH155" i="7"/>
  <c r="DY85" i="7"/>
  <c r="DY156" i="7"/>
  <c r="DI86" i="7"/>
  <c r="DI157" i="7"/>
  <c r="EB84" i="7"/>
  <c r="EB155" i="7"/>
  <c r="EJ84" i="7"/>
  <c r="EJ155" i="7"/>
  <c r="DO156" i="7"/>
  <c r="DO85" i="7"/>
  <c r="DX84" i="7"/>
  <c r="DX155" i="7"/>
  <c r="DS85" i="7"/>
  <c r="DS156" i="7"/>
  <c r="DU85" i="7"/>
  <c r="DU156" i="7"/>
  <c r="EG85" i="7"/>
  <c r="EG156" i="7"/>
  <c r="EF84" i="7"/>
  <c r="EF155" i="7"/>
  <c r="DK85" i="7"/>
  <c r="DK156" i="7"/>
  <c r="DH84" i="7"/>
  <c r="DH155" i="7"/>
  <c r="DF84" i="7"/>
  <c r="DF155" i="7"/>
  <c r="DN84" i="7"/>
  <c r="DN155" i="7"/>
  <c r="DR84" i="7"/>
  <c r="DR155" i="7"/>
  <c r="DJ84" i="7"/>
  <c r="DJ155" i="7"/>
  <c r="EK85" i="7"/>
  <c r="EK156" i="7"/>
  <c r="DP84" i="7"/>
  <c r="DP155" i="7"/>
  <c r="DG156" i="7"/>
  <c r="DG85" i="7"/>
  <c r="EC85" i="7"/>
  <c r="EC156" i="7"/>
  <c r="DW156" i="7"/>
  <c r="DW85" i="7"/>
  <c r="DT84" i="7"/>
  <c r="DT155" i="7"/>
  <c r="EE156" i="7"/>
  <c r="EE85" i="7"/>
  <c r="EN84" i="7"/>
  <c r="EN155" i="7"/>
  <c r="EM156" i="7"/>
  <c r="EM85" i="7"/>
  <c r="CK84" i="7"/>
  <c r="CK155" i="7"/>
  <c r="CJ85" i="7"/>
  <c r="CJ156" i="7"/>
  <c r="BY155" i="7"/>
  <c r="BY84" i="7"/>
  <c r="BW85" i="7"/>
  <c r="BW156" i="7"/>
  <c r="CA84" i="7"/>
  <c r="CA155" i="7"/>
  <c r="CU84" i="7"/>
  <c r="CU155" i="7"/>
  <c r="BZ86" i="7"/>
  <c r="BZ157" i="7"/>
  <c r="CY84" i="7"/>
  <c r="CY155" i="7"/>
  <c r="CM84" i="7"/>
  <c r="CM155" i="7"/>
  <c r="CZ85" i="7"/>
  <c r="CZ156" i="7"/>
  <c r="CR85" i="7"/>
  <c r="CR156" i="7"/>
  <c r="CQ84" i="7"/>
  <c r="CQ155" i="7"/>
  <c r="CE84" i="7"/>
  <c r="CE155" i="7"/>
  <c r="CI84" i="7"/>
  <c r="CI155" i="7"/>
  <c r="DC84" i="7"/>
  <c r="DC155" i="7"/>
  <c r="BX85" i="7"/>
  <c r="BX156" i="7"/>
  <c r="CO84" i="7"/>
  <c r="CO155" i="7"/>
  <c r="CB85" i="7"/>
  <c r="CB156" i="7"/>
  <c r="CG84" i="7"/>
  <c r="CG155" i="7"/>
  <c r="CN85" i="7"/>
  <c r="CN156" i="7"/>
  <c r="CF85" i="7"/>
  <c r="CF156" i="7"/>
  <c r="CS84" i="7"/>
  <c r="CS155" i="7"/>
  <c r="CW84" i="7"/>
  <c r="CW155" i="7"/>
  <c r="CV85" i="7"/>
  <c r="CV156" i="7"/>
  <c r="DE84" i="7"/>
  <c r="DE155" i="7"/>
  <c r="CC84" i="7"/>
  <c r="CC155" i="7"/>
  <c r="DA84" i="7"/>
  <c r="DA155" i="7"/>
  <c r="DD85" i="7"/>
  <c r="DD156" i="7"/>
  <c r="CX86" i="7" l="1"/>
  <c r="CX157" i="7"/>
  <c r="DB156" i="7"/>
  <c r="DB85" i="7"/>
  <c r="CT156" i="7"/>
  <c r="CT85" i="7"/>
  <c r="CH86" i="7"/>
  <c r="CH157" i="7"/>
  <c r="CL156" i="7"/>
  <c r="CL85" i="7"/>
  <c r="EP155" i="7"/>
  <c r="CP86" i="7"/>
  <c r="CP157" i="7"/>
  <c r="CD85" i="7"/>
  <c r="CD156" i="7"/>
  <c r="EN85" i="7"/>
  <c r="EN156" i="7"/>
  <c r="DP85" i="7"/>
  <c r="DP156" i="7"/>
  <c r="DH85" i="7"/>
  <c r="DH156" i="7"/>
  <c r="DU86" i="7"/>
  <c r="DU157" i="7"/>
  <c r="EJ85" i="7"/>
  <c r="EJ156" i="7"/>
  <c r="EH85" i="7"/>
  <c r="EH156" i="7"/>
  <c r="EL156" i="7"/>
  <c r="EL85" i="7"/>
  <c r="EI86" i="7"/>
  <c r="EI157" i="7"/>
  <c r="EE86" i="7"/>
  <c r="EE157" i="7"/>
  <c r="DG86" i="7"/>
  <c r="DG157" i="7"/>
  <c r="EC86" i="7"/>
  <c r="EC157" i="7"/>
  <c r="DJ85" i="7"/>
  <c r="DJ156" i="7"/>
  <c r="EF85" i="7"/>
  <c r="EF156" i="7"/>
  <c r="DX85" i="7"/>
  <c r="DX156" i="7"/>
  <c r="DI87" i="7"/>
  <c r="DI158" i="7"/>
  <c r="DM86" i="7"/>
  <c r="DM157" i="7"/>
  <c r="DW86" i="7"/>
  <c r="DW157" i="7"/>
  <c r="DO86" i="7"/>
  <c r="DO157" i="7"/>
  <c r="DT85" i="7"/>
  <c r="DT156" i="7"/>
  <c r="DN156" i="7"/>
  <c r="DN85" i="7"/>
  <c r="DV156" i="7"/>
  <c r="DV85" i="7"/>
  <c r="EM86" i="7"/>
  <c r="EM157" i="7"/>
  <c r="EK86" i="7"/>
  <c r="EK157" i="7"/>
  <c r="DR85" i="7"/>
  <c r="DR156" i="7"/>
  <c r="DF156" i="7"/>
  <c r="DF85" i="7"/>
  <c r="DK86" i="7"/>
  <c r="DK157" i="7"/>
  <c r="EG86" i="7"/>
  <c r="EG157" i="7"/>
  <c r="DS86" i="7"/>
  <c r="DS157" i="7"/>
  <c r="EB85" i="7"/>
  <c r="EB156" i="7"/>
  <c r="DY86" i="7"/>
  <c r="DY157" i="7"/>
  <c r="ED156" i="7"/>
  <c r="ED85" i="7"/>
  <c r="DZ85" i="7"/>
  <c r="DZ156" i="7"/>
  <c r="DL85" i="7"/>
  <c r="DL156" i="7"/>
  <c r="EA86" i="7"/>
  <c r="EA157" i="7"/>
  <c r="DQ86" i="7"/>
  <c r="DQ157" i="7"/>
  <c r="CI156" i="7"/>
  <c r="CI85" i="7"/>
  <c r="CW85" i="7"/>
  <c r="CW156" i="7"/>
  <c r="CO85" i="7"/>
  <c r="CO156" i="7"/>
  <c r="CQ156" i="7"/>
  <c r="CQ85" i="7"/>
  <c r="CR86" i="7"/>
  <c r="CR157" i="7"/>
  <c r="CZ86" i="7"/>
  <c r="CZ157" i="7"/>
  <c r="CY156" i="7"/>
  <c r="CY85" i="7"/>
  <c r="CU85" i="7"/>
  <c r="CU156" i="7"/>
  <c r="CK85" i="7"/>
  <c r="CK156" i="7"/>
  <c r="DA85" i="7"/>
  <c r="DA156" i="7"/>
  <c r="DE85" i="7"/>
  <c r="DE156" i="7"/>
  <c r="CF86" i="7"/>
  <c r="CF157" i="7"/>
  <c r="CB86" i="7"/>
  <c r="CB157" i="7"/>
  <c r="DC85" i="7"/>
  <c r="DC156" i="7"/>
  <c r="CE85" i="7"/>
  <c r="CE156" i="7"/>
  <c r="CM85" i="7"/>
  <c r="CM156" i="7"/>
  <c r="BZ87" i="7"/>
  <c r="BZ158" i="7"/>
  <c r="CA156" i="7"/>
  <c r="CA85" i="7"/>
  <c r="BW86" i="7"/>
  <c r="BW157" i="7"/>
  <c r="CJ86" i="7"/>
  <c r="CJ157" i="7"/>
  <c r="DD86" i="7"/>
  <c r="DD157" i="7"/>
  <c r="CC85" i="7"/>
  <c r="CC156" i="7"/>
  <c r="CV86" i="7"/>
  <c r="CV157" i="7"/>
  <c r="CS85" i="7"/>
  <c r="CS156" i="7"/>
  <c r="CN86" i="7"/>
  <c r="CN157" i="7"/>
  <c r="CG85" i="7"/>
  <c r="CG156" i="7"/>
  <c r="BX86" i="7"/>
  <c r="BX157" i="7"/>
  <c r="BY85" i="7"/>
  <c r="BY156" i="7"/>
  <c r="CP158" i="7" l="1"/>
  <c r="CP87" i="7"/>
  <c r="DB157" i="7"/>
  <c r="DB86" i="7"/>
  <c r="CH87" i="7"/>
  <c r="CH158" i="7"/>
  <c r="CD86" i="7"/>
  <c r="CD157" i="7"/>
  <c r="CL157" i="7"/>
  <c r="CL86" i="7"/>
  <c r="CT86" i="7"/>
  <c r="CT157" i="7"/>
  <c r="CX158" i="7"/>
  <c r="CX87" i="7"/>
  <c r="DV86" i="7"/>
  <c r="DV157" i="7"/>
  <c r="EL86" i="7"/>
  <c r="EL157" i="7"/>
  <c r="DL86" i="7"/>
  <c r="DL157" i="7"/>
  <c r="EB86" i="7"/>
  <c r="EB157" i="7"/>
  <c r="EG87" i="7"/>
  <c r="EG158" i="7"/>
  <c r="EK87" i="7"/>
  <c r="EK158" i="7"/>
  <c r="DT86" i="7"/>
  <c r="DT157" i="7"/>
  <c r="DW158" i="7"/>
  <c r="DW87" i="7"/>
  <c r="DI88" i="7"/>
  <c r="DI159" i="7"/>
  <c r="EC87" i="7"/>
  <c r="EC158" i="7"/>
  <c r="EE87" i="7"/>
  <c r="EE158" i="7"/>
  <c r="EJ86" i="7"/>
  <c r="EJ157" i="7"/>
  <c r="DH86" i="7"/>
  <c r="DH157" i="7"/>
  <c r="EP156" i="7"/>
  <c r="ES156" i="7" s="1"/>
  <c r="DN86" i="7"/>
  <c r="DN157" i="7"/>
  <c r="DZ86" i="7"/>
  <c r="DZ157" i="7"/>
  <c r="DY87" i="7"/>
  <c r="DY158" i="7"/>
  <c r="DS87" i="7"/>
  <c r="DS158" i="7"/>
  <c r="DK87" i="7"/>
  <c r="DK158" i="7"/>
  <c r="DR86" i="7"/>
  <c r="DR157" i="7"/>
  <c r="EM87" i="7"/>
  <c r="EM158" i="7"/>
  <c r="DO87" i="7"/>
  <c r="DO158" i="7"/>
  <c r="DM87" i="7"/>
  <c r="DM158" i="7"/>
  <c r="DX86" i="7"/>
  <c r="DX157" i="7"/>
  <c r="DJ86" i="7"/>
  <c r="DJ157" i="7"/>
  <c r="DG158" i="7"/>
  <c r="DG87" i="7"/>
  <c r="EI87" i="7"/>
  <c r="EI158" i="7"/>
  <c r="EH86" i="7"/>
  <c r="EH157" i="7"/>
  <c r="DU87" i="7"/>
  <c r="DU158" i="7"/>
  <c r="DP86" i="7"/>
  <c r="DP157" i="7"/>
  <c r="DF86" i="7"/>
  <c r="DF157" i="7"/>
  <c r="EA87" i="7"/>
  <c r="EA158" i="7"/>
  <c r="ED86" i="7"/>
  <c r="ED157" i="7"/>
  <c r="DQ87" i="7"/>
  <c r="DQ158" i="7"/>
  <c r="EF86" i="7"/>
  <c r="EF157" i="7"/>
  <c r="EN157" i="7"/>
  <c r="EN86" i="7"/>
  <c r="CO86" i="7"/>
  <c r="CO157" i="7"/>
  <c r="BX87" i="7"/>
  <c r="BX158" i="7"/>
  <c r="CV87" i="7"/>
  <c r="CV158" i="7"/>
  <c r="DD87" i="7"/>
  <c r="DD158" i="7"/>
  <c r="BW158" i="7"/>
  <c r="BW87" i="7"/>
  <c r="BZ159" i="7"/>
  <c r="BZ88" i="7"/>
  <c r="CE86" i="7"/>
  <c r="CE157" i="7"/>
  <c r="CB87" i="7"/>
  <c r="CB158" i="7"/>
  <c r="DA86" i="7"/>
  <c r="DA157" i="7"/>
  <c r="CR87" i="7"/>
  <c r="CR158" i="7"/>
  <c r="CY86" i="7"/>
  <c r="CY157" i="7"/>
  <c r="CG86" i="7"/>
  <c r="CG157" i="7"/>
  <c r="CS86" i="7"/>
  <c r="CS157" i="7"/>
  <c r="CA86" i="7"/>
  <c r="CA157" i="7"/>
  <c r="CQ86" i="7"/>
  <c r="CQ157" i="7"/>
  <c r="CW86" i="7"/>
  <c r="CW157" i="7"/>
  <c r="BY86" i="7"/>
  <c r="BY157" i="7"/>
  <c r="CN87" i="7"/>
  <c r="CN158" i="7"/>
  <c r="CC86" i="7"/>
  <c r="CC157" i="7"/>
  <c r="CJ87" i="7"/>
  <c r="CJ158" i="7"/>
  <c r="CM86" i="7"/>
  <c r="CM157" i="7"/>
  <c r="DC86" i="7"/>
  <c r="DC157" i="7"/>
  <c r="CF87" i="7"/>
  <c r="CF158" i="7"/>
  <c r="DE86" i="7"/>
  <c r="DE157" i="7"/>
  <c r="CK86" i="7"/>
  <c r="CK157" i="7"/>
  <c r="CU86" i="7"/>
  <c r="CU157" i="7"/>
  <c r="CZ87" i="7"/>
  <c r="CZ158" i="7"/>
  <c r="CI86" i="7"/>
  <c r="CI157" i="7"/>
  <c r="AK70" i="6" l="1"/>
  <c r="T5" i="6"/>
  <c r="T6" i="6" s="1"/>
  <c r="T7" i="6" s="1"/>
  <c r="T8" i="6" s="1"/>
  <c r="T9" i="6" s="1"/>
  <c r="T10" i="6" s="1"/>
  <c r="T14" i="6" s="1"/>
  <c r="AK73" i="6"/>
  <c r="DB158" i="7"/>
  <c r="DB87" i="7"/>
  <c r="CT158" i="7"/>
  <c r="CT87" i="7"/>
  <c r="CD158" i="7"/>
  <c r="CD87" i="7"/>
  <c r="CX159" i="7"/>
  <c r="CX88" i="7"/>
  <c r="CL87" i="7"/>
  <c r="CL158" i="7"/>
  <c r="CP88" i="7"/>
  <c r="CP159" i="7"/>
  <c r="EP157" i="7"/>
  <c r="CH159" i="7"/>
  <c r="CH88" i="7"/>
  <c r="EF87" i="7"/>
  <c r="EF158" i="7"/>
  <c r="ED87" i="7"/>
  <c r="ED158" i="7"/>
  <c r="DF158" i="7"/>
  <c r="DF87" i="7"/>
  <c r="DU88" i="7"/>
  <c r="DU159" i="7"/>
  <c r="EI88" i="7"/>
  <c r="EI159" i="7"/>
  <c r="DJ87" i="7"/>
  <c r="DJ158" i="7"/>
  <c r="DM88" i="7"/>
  <c r="DM159" i="7"/>
  <c r="EM159" i="7"/>
  <c r="EM88" i="7"/>
  <c r="DK88" i="7"/>
  <c r="DK159" i="7"/>
  <c r="DY88" i="7"/>
  <c r="DY159" i="7"/>
  <c r="DN87" i="7"/>
  <c r="DN158" i="7"/>
  <c r="DW159" i="7"/>
  <c r="DW88" i="7"/>
  <c r="EJ87" i="7"/>
  <c r="EJ158" i="7"/>
  <c r="EC88" i="7"/>
  <c r="EC159" i="7"/>
  <c r="EK88" i="7"/>
  <c r="EK159" i="7"/>
  <c r="EB87" i="7"/>
  <c r="EB158" i="7"/>
  <c r="EL87" i="7"/>
  <c r="EL158" i="7"/>
  <c r="EN87" i="7"/>
  <c r="EN158" i="7"/>
  <c r="DQ88" i="7"/>
  <c r="DQ159" i="7"/>
  <c r="EA88" i="7"/>
  <c r="EA159" i="7"/>
  <c r="DP87" i="7"/>
  <c r="DP158" i="7"/>
  <c r="EH87" i="7"/>
  <c r="EH158" i="7"/>
  <c r="DX87" i="7"/>
  <c r="DX158" i="7"/>
  <c r="DO88" i="7"/>
  <c r="DO159" i="7"/>
  <c r="DR87" i="7"/>
  <c r="DR158" i="7"/>
  <c r="DS88" i="7"/>
  <c r="DS159" i="7"/>
  <c r="DZ87" i="7"/>
  <c r="DZ158" i="7"/>
  <c r="DG88" i="7"/>
  <c r="DG159" i="7"/>
  <c r="DH87" i="7"/>
  <c r="DH158" i="7"/>
  <c r="EE88" i="7"/>
  <c r="EE159" i="7"/>
  <c r="DI89" i="7"/>
  <c r="DI160" i="7"/>
  <c r="DT87" i="7"/>
  <c r="DT158" i="7"/>
  <c r="EG88" i="7"/>
  <c r="EG159" i="7"/>
  <c r="DL87" i="7"/>
  <c r="DL158" i="7"/>
  <c r="DV158" i="7"/>
  <c r="DV87" i="7"/>
  <c r="CZ88" i="7"/>
  <c r="CZ159" i="7"/>
  <c r="CK87" i="7"/>
  <c r="CK158" i="7"/>
  <c r="CF88" i="7"/>
  <c r="CF159" i="7"/>
  <c r="CJ88" i="7"/>
  <c r="CJ159" i="7"/>
  <c r="CN88" i="7"/>
  <c r="CN159" i="7"/>
  <c r="CW87" i="7"/>
  <c r="CW158" i="7"/>
  <c r="CA87" i="7"/>
  <c r="CA158" i="7"/>
  <c r="CG87" i="7"/>
  <c r="CG158" i="7"/>
  <c r="CY87" i="7"/>
  <c r="CY158" i="7"/>
  <c r="CE87" i="7"/>
  <c r="CE158" i="7"/>
  <c r="DD88" i="7"/>
  <c r="DD159" i="7"/>
  <c r="BX88" i="7"/>
  <c r="BX159" i="7"/>
  <c r="BZ89" i="7"/>
  <c r="BZ160" i="7"/>
  <c r="BW88" i="7"/>
  <c r="BW159" i="7"/>
  <c r="CI87" i="7"/>
  <c r="CI158" i="7"/>
  <c r="CU87" i="7"/>
  <c r="CU158" i="7"/>
  <c r="DE87" i="7"/>
  <c r="DE158" i="7"/>
  <c r="DC87" i="7"/>
  <c r="DC158" i="7"/>
  <c r="CM87" i="7"/>
  <c r="CM158" i="7"/>
  <c r="CC87" i="7"/>
  <c r="CC158" i="7"/>
  <c r="BY87" i="7"/>
  <c r="BY158" i="7"/>
  <c r="CQ158" i="7"/>
  <c r="CQ87" i="7"/>
  <c r="CS87" i="7"/>
  <c r="CS158" i="7"/>
  <c r="CR88" i="7"/>
  <c r="CR159" i="7"/>
  <c r="DA87" i="7"/>
  <c r="DA158" i="7"/>
  <c r="CB88" i="7"/>
  <c r="CB159" i="7"/>
  <c r="CV88" i="7"/>
  <c r="CV159" i="7"/>
  <c r="CO87" i="7"/>
  <c r="CO158" i="7"/>
  <c r="Q5" i="6"/>
  <c r="Q6" i="6" s="1"/>
  <c r="AK75" i="6"/>
  <c r="AK72" i="6" l="1"/>
  <c r="AK74" i="6"/>
  <c r="AK71" i="6"/>
  <c r="S5" i="6"/>
  <c r="S6" i="6" s="1"/>
  <c r="S7" i="6" s="1"/>
  <c r="R5" i="6"/>
  <c r="R6" i="6" s="1"/>
  <c r="R7" i="6" s="1"/>
  <c r="CH89" i="7"/>
  <c r="CH160" i="7"/>
  <c r="CX160" i="7"/>
  <c r="CX89" i="7"/>
  <c r="CT88" i="7"/>
  <c r="CT159" i="7"/>
  <c r="CP89" i="7"/>
  <c r="CP160" i="7"/>
  <c r="CD159" i="7"/>
  <c r="CD88" i="7"/>
  <c r="DB159" i="7"/>
  <c r="DB88" i="7"/>
  <c r="CL159" i="7"/>
  <c r="CL88" i="7"/>
  <c r="DL88" i="7"/>
  <c r="DL159" i="7"/>
  <c r="EE89" i="7"/>
  <c r="EE160" i="7"/>
  <c r="DG89" i="7"/>
  <c r="DG160" i="7"/>
  <c r="EA89" i="7"/>
  <c r="EA160" i="7"/>
  <c r="EB88" i="7"/>
  <c r="EB159" i="7"/>
  <c r="ED88" i="7"/>
  <c r="ED159" i="7"/>
  <c r="DV159" i="7"/>
  <c r="DV88" i="7"/>
  <c r="EG89" i="7"/>
  <c r="EG160" i="7"/>
  <c r="EP158" i="7"/>
  <c r="DW89" i="7"/>
  <c r="DW160" i="7"/>
  <c r="EM89" i="7"/>
  <c r="EM160" i="7"/>
  <c r="EH88" i="7"/>
  <c r="EH159" i="7"/>
  <c r="DS89" i="7"/>
  <c r="DS160" i="7"/>
  <c r="DJ88" i="7"/>
  <c r="DJ159" i="7"/>
  <c r="DF88" i="7"/>
  <c r="DF159" i="7"/>
  <c r="DT88" i="7"/>
  <c r="DT159" i="7"/>
  <c r="DO89" i="7"/>
  <c r="DO160" i="7"/>
  <c r="EN88" i="7"/>
  <c r="EN159" i="7"/>
  <c r="EC89" i="7"/>
  <c r="EC160" i="7"/>
  <c r="DY160" i="7"/>
  <c r="DY89" i="7"/>
  <c r="DU89" i="7"/>
  <c r="DU160" i="7"/>
  <c r="DI90" i="7"/>
  <c r="DI161" i="7"/>
  <c r="DH88" i="7"/>
  <c r="DH159" i="7"/>
  <c r="DZ88" i="7"/>
  <c r="DZ159" i="7"/>
  <c r="DR88" i="7"/>
  <c r="DR159" i="7"/>
  <c r="DX88" i="7"/>
  <c r="DX159" i="7"/>
  <c r="DP88" i="7"/>
  <c r="DP159" i="7"/>
  <c r="DQ89" i="7"/>
  <c r="DQ160" i="7"/>
  <c r="EL159" i="7"/>
  <c r="EL88" i="7"/>
  <c r="EK89" i="7"/>
  <c r="EK160" i="7"/>
  <c r="EJ88" i="7"/>
  <c r="EJ159" i="7"/>
  <c r="DN88" i="7"/>
  <c r="DN159" i="7"/>
  <c r="DK89" i="7"/>
  <c r="DK160" i="7"/>
  <c r="DM89" i="7"/>
  <c r="DM160" i="7"/>
  <c r="EI89" i="7"/>
  <c r="EI160" i="7"/>
  <c r="EF88" i="7"/>
  <c r="EF159" i="7"/>
  <c r="CM88" i="7"/>
  <c r="CM159" i="7"/>
  <c r="DE88" i="7"/>
  <c r="DE159" i="7"/>
  <c r="CI159" i="7"/>
  <c r="CI88" i="7"/>
  <c r="DD89" i="7"/>
  <c r="DD160" i="7"/>
  <c r="CW88" i="7"/>
  <c r="CW159" i="7"/>
  <c r="CJ89" i="7"/>
  <c r="CJ160" i="7"/>
  <c r="CZ89" i="7"/>
  <c r="CZ160" i="7"/>
  <c r="CV89" i="7"/>
  <c r="CV160" i="7"/>
  <c r="CQ159" i="7"/>
  <c r="CQ88" i="7"/>
  <c r="CB89" i="7"/>
  <c r="CB160" i="7"/>
  <c r="CR89" i="7"/>
  <c r="CR160" i="7"/>
  <c r="CS88" i="7"/>
  <c r="CS159" i="7"/>
  <c r="CC88" i="7"/>
  <c r="CC159" i="7"/>
  <c r="DC88" i="7"/>
  <c r="DC159" i="7"/>
  <c r="CU88" i="7"/>
  <c r="CU159" i="7"/>
  <c r="BW89" i="7"/>
  <c r="BW160" i="7"/>
  <c r="BX89" i="7"/>
  <c r="BX160" i="7"/>
  <c r="CE88" i="7"/>
  <c r="CE159" i="7"/>
  <c r="CG88" i="7"/>
  <c r="CG159" i="7"/>
  <c r="CA159" i="7"/>
  <c r="CA88" i="7"/>
  <c r="CN89" i="7"/>
  <c r="CN160" i="7"/>
  <c r="CK88" i="7"/>
  <c r="CK159" i="7"/>
  <c r="CO88" i="7"/>
  <c r="CO159" i="7"/>
  <c r="DA88" i="7"/>
  <c r="DA159" i="7"/>
  <c r="BY88" i="7"/>
  <c r="BY159" i="7"/>
  <c r="BZ90" i="7"/>
  <c r="BZ161" i="7"/>
  <c r="CY159" i="7"/>
  <c r="CY88" i="7"/>
  <c r="CF89" i="7"/>
  <c r="CF160" i="7"/>
  <c r="Q7" i="6"/>
  <c r="V5" i="6"/>
  <c r="V6" i="6" s="1"/>
  <c r="V7" i="6" s="1"/>
  <c r="V8" i="6" s="1"/>
  <c r="V9" i="6" s="1"/>
  <c r="V10" i="6" s="1"/>
  <c r="V14" i="6" s="1"/>
  <c r="U5" i="6"/>
  <c r="U6" i="6" s="1"/>
  <c r="U7" i="6" s="1"/>
  <c r="U8" i="6" s="1"/>
  <c r="U9" i="6" s="1"/>
  <c r="U10" i="6" s="1"/>
  <c r="U14" i="6" s="1"/>
  <c r="AG57" i="4"/>
  <c r="AF57" i="4"/>
  <c r="AI55" i="4"/>
  <c r="AH55" i="4"/>
  <c r="AF68" i="4" s="1"/>
  <c r="AJ55" i="4"/>
  <c r="AF55" i="4"/>
  <c r="S8" i="6" l="1"/>
  <c r="R8" i="6"/>
  <c r="DB160" i="7"/>
  <c r="DB89" i="7"/>
  <c r="CX161" i="7"/>
  <c r="CX90" i="7"/>
  <c r="CP161" i="7"/>
  <c r="CP90" i="7"/>
  <c r="CL160" i="7"/>
  <c r="CL89" i="7"/>
  <c r="CD89" i="7"/>
  <c r="CD160" i="7"/>
  <c r="EP159" i="7"/>
  <c r="CT89" i="7"/>
  <c r="CT160" i="7"/>
  <c r="CH161" i="7"/>
  <c r="CH90" i="7"/>
  <c r="DM90" i="7"/>
  <c r="DM161" i="7"/>
  <c r="EK90" i="7"/>
  <c r="EK161" i="7"/>
  <c r="DX160" i="7"/>
  <c r="DX89" i="7"/>
  <c r="DZ89" i="7"/>
  <c r="DZ160" i="7"/>
  <c r="DT89" i="7"/>
  <c r="DT160" i="7"/>
  <c r="EH89" i="7"/>
  <c r="EH160" i="7"/>
  <c r="DV89" i="7"/>
  <c r="DV160" i="7"/>
  <c r="EL89" i="7"/>
  <c r="EL160" i="7"/>
  <c r="EB89" i="7"/>
  <c r="EB160" i="7"/>
  <c r="DL89" i="7"/>
  <c r="DL160" i="7"/>
  <c r="EI90" i="7"/>
  <c r="EI161" i="7"/>
  <c r="DK90" i="7"/>
  <c r="DK161" i="7"/>
  <c r="EJ89" i="7"/>
  <c r="EJ160" i="7"/>
  <c r="DP89" i="7"/>
  <c r="DP160" i="7"/>
  <c r="DR89" i="7"/>
  <c r="DR160" i="7"/>
  <c r="DH89" i="7"/>
  <c r="DH160" i="7"/>
  <c r="DU90" i="7"/>
  <c r="DU161" i="7"/>
  <c r="EC161" i="7"/>
  <c r="EC90" i="7"/>
  <c r="DO90" i="7"/>
  <c r="DO161" i="7"/>
  <c r="DF89" i="7"/>
  <c r="DF160" i="7"/>
  <c r="DS90" i="7"/>
  <c r="DS161" i="7"/>
  <c r="EM161" i="7"/>
  <c r="EM90" i="7"/>
  <c r="DY90" i="7"/>
  <c r="DY161" i="7"/>
  <c r="EG90" i="7"/>
  <c r="EG161" i="7"/>
  <c r="ED89" i="7"/>
  <c r="ED160" i="7"/>
  <c r="EA90" i="7"/>
  <c r="EA161" i="7"/>
  <c r="EE90" i="7"/>
  <c r="EE161" i="7"/>
  <c r="EF89" i="7"/>
  <c r="EF160" i="7"/>
  <c r="DN89" i="7"/>
  <c r="DN160" i="7"/>
  <c r="DQ90" i="7"/>
  <c r="DQ161" i="7"/>
  <c r="DI91" i="7"/>
  <c r="DI162" i="7"/>
  <c r="EN89" i="7"/>
  <c r="EN160" i="7"/>
  <c r="DJ89" i="7"/>
  <c r="DJ160" i="7"/>
  <c r="DW161" i="7"/>
  <c r="DW90" i="7"/>
  <c r="DG90" i="7"/>
  <c r="DG161" i="7"/>
  <c r="CY89" i="7"/>
  <c r="CY160" i="7"/>
  <c r="CZ90" i="7"/>
  <c r="CZ161" i="7"/>
  <c r="BY89" i="7"/>
  <c r="BY160" i="7"/>
  <c r="CO89" i="7"/>
  <c r="CO160" i="7"/>
  <c r="BX90" i="7"/>
  <c r="BX161" i="7"/>
  <c r="CU89" i="7"/>
  <c r="CU160" i="7"/>
  <c r="CC89" i="7"/>
  <c r="CC160" i="7"/>
  <c r="CR90" i="7"/>
  <c r="CR161" i="7"/>
  <c r="CV90" i="7"/>
  <c r="CV161" i="7"/>
  <c r="CJ90" i="7"/>
  <c r="CJ161" i="7"/>
  <c r="DD90" i="7"/>
  <c r="DD161" i="7"/>
  <c r="DE89" i="7"/>
  <c r="DE160" i="7"/>
  <c r="CF90" i="7"/>
  <c r="CF161" i="7"/>
  <c r="BZ91" i="7"/>
  <c r="BZ162" i="7"/>
  <c r="DA89" i="7"/>
  <c r="DA160" i="7"/>
  <c r="CK89" i="7"/>
  <c r="CK160" i="7"/>
  <c r="CN90" i="7"/>
  <c r="CN161" i="7"/>
  <c r="CG89" i="7"/>
  <c r="CG160" i="7"/>
  <c r="CE89" i="7"/>
  <c r="CE160" i="7"/>
  <c r="BW90" i="7"/>
  <c r="BW161" i="7"/>
  <c r="DC89" i="7"/>
  <c r="DC160" i="7"/>
  <c r="CS89" i="7"/>
  <c r="CS160" i="7"/>
  <c r="CB90" i="7"/>
  <c r="CB161" i="7"/>
  <c r="CQ89" i="7"/>
  <c r="CQ160" i="7"/>
  <c r="CI89" i="7"/>
  <c r="CI160" i="7"/>
  <c r="CA89" i="7"/>
  <c r="CA160" i="7"/>
  <c r="CW89" i="7"/>
  <c r="CW160" i="7"/>
  <c r="CM89" i="7"/>
  <c r="CM160" i="7"/>
  <c r="Q8" i="6"/>
  <c r="AP39" i="4"/>
  <c r="AP40" i="4"/>
  <c r="AP41" i="4"/>
  <c r="AP42" i="4"/>
  <c r="AP43" i="4"/>
  <c r="AP44" i="4"/>
  <c r="AP45" i="4"/>
  <c r="AP38" i="4"/>
  <c r="AK59" i="4"/>
  <c r="AK60" i="4"/>
  <c r="AJ60" i="4"/>
  <c r="AK57" i="4"/>
  <c r="AK58" i="4"/>
  <c r="AJ58" i="4"/>
  <c r="AK55" i="4"/>
  <c r="AG68" i="4" s="1"/>
  <c r="AK56" i="4"/>
  <c r="AI59" i="4"/>
  <c r="AI60" i="4"/>
  <c r="AH60" i="4"/>
  <c r="AH59" i="4"/>
  <c r="AI57" i="4"/>
  <c r="AI58" i="4"/>
  <c r="AH58" i="4"/>
  <c r="AH57" i="4"/>
  <c r="AI56" i="4"/>
  <c r="AH56" i="4"/>
  <c r="AG59" i="4"/>
  <c r="AE70" i="4" s="1"/>
  <c r="AG60" i="4"/>
  <c r="AF60" i="4"/>
  <c r="AF59" i="4"/>
  <c r="AD70" i="4" s="1"/>
  <c r="AG58" i="4"/>
  <c r="AF58" i="4"/>
  <c r="AD71" i="4" s="1"/>
  <c r="AG55" i="4"/>
  <c r="AE68" i="4" s="1"/>
  <c r="AG56" i="4"/>
  <c r="AE69" i="4" s="1"/>
  <c r="S9" i="6" l="1"/>
  <c r="R9" i="6"/>
  <c r="CT161" i="7"/>
  <c r="CT90" i="7"/>
  <c r="CL161" i="7"/>
  <c r="CL90" i="7"/>
  <c r="CX162" i="7"/>
  <c r="CX91" i="7"/>
  <c r="CP91" i="7"/>
  <c r="CP162" i="7"/>
  <c r="DB161" i="7"/>
  <c r="DB90" i="7"/>
  <c r="CH162" i="7"/>
  <c r="CH91" i="7"/>
  <c r="EP160" i="7"/>
  <c r="CD161" i="7"/>
  <c r="CD90" i="7"/>
  <c r="DN90" i="7"/>
  <c r="DN161" i="7"/>
  <c r="DW162" i="7"/>
  <c r="DW91" i="7"/>
  <c r="EM91" i="7"/>
  <c r="EM162" i="7"/>
  <c r="EC91" i="7"/>
  <c r="EC162" i="7"/>
  <c r="EN90" i="7"/>
  <c r="EN161" i="7"/>
  <c r="DQ91" i="7"/>
  <c r="DQ162" i="7"/>
  <c r="EF90" i="7"/>
  <c r="EF161" i="7"/>
  <c r="EA91" i="7"/>
  <c r="EA162" i="7"/>
  <c r="EG91" i="7"/>
  <c r="EG162" i="7"/>
  <c r="DF90" i="7"/>
  <c r="DF161" i="7"/>
  <c r="DH90" i="7"/>
  <c r="DH161" i="7"/>
  <c r="DP90" i="7"/>
  <c r="DP161" i="7"/>
  <c r="DK91" i="7"/>
  <c r="DK162" i="7"/>
  <c r="DL90" i="7"/>
  <c r="DL161" i="7"/>
  <c r="EL161" i="7"/>
  <c r="EL90" i="7"/>
  <c r="EH90" i="7"/>
  <c r="EH161" i="7"/>
  <c r="DZ90" i="7"/>
  <c r="DZ161" i="7"/>
  <c r="EK91" i="7"/>
  <c r="EK162" i="7"/>
  <c r="DX90" i="7"/>
  <c r="DX161" i="7"/>
  <c r="DG91" i="7"/>
  <c r="DG162" i="7"/>
  <c r="DJ90" i="7"/>
  <c r="DJ161" i="7"/>
  <c r="DI92" i="7"/>
  <c r="DI163" i="7"/>
  <c r="EE91" i="7"/>
  <c r="EE162" i="7"/>
  <c r="ED90" i="7"/>
  <c r="ED161" i="7"/>
  <c r="DY91" i="7"/>
  <c r="DY162" i="7"/>
  <c r="DS91" i="7"/>
  <c r="DS162" i="7"/>
  <c r="DO91" i="7"/>
  <c r="DO162" i="7"/>
  <c r="DU162" i="7"/>
  <c r="DU91" i="7"/>
  <c r="DR161" i="7"/>
  <c r="DR90" i="7"/>
  <c r="EJ90" i="7"/>
  <c r="EJ161" i="7"/>
  <c r="EI91" i="7"/>
  <c r="EI162" i="7"/>
  <c r="EB90" i="7"/>
  <c r="EB161" i="7"/>
  <c r="DV161" i="7"/>
  <c r="DV90" i="7"/>
  <c r="DT90" i="7"/>
  <c r="DT161" i="7"/>
  <c r="DM91" i="7"/>
  <c r="DM162" i="7"/>
  <c r="CQ90" i="7"/>
  <c r="CQ161" i="7"/>
  <c r="CG90" i="7"/>
  <c r="CG161" i="7"/>
  <c r="BZ163" i="7"/>
  <c r="BZ92" i="7"/>
  <c r="DD91" i="7"/>
  <c r="DD162" i="7"/>
  <c r="CC90" i="7"/>
  <c r="CC161" i="7"/>
  <c r="BX91" i="7"/>
  <c r="BX162" i="7"/>
  <c r="BY90" i="7"/>
  <c r="BY161" i="7"/>
  <c r="CZ91" i="7"/>
  <c r="CZ162" i="7"/>
  <c r="CM90" i="7"/>
  <c r="CM161" i="7"/>
  <c r="CA90" i="7"/>
  <c r="CA161" i="7"/>
  <c r="BW91" i="7"/>
  <c r="BW162" i="7"/>
  <c r="CK90" i="7"/>
  <c r="CK161" i="7"/>
  <c r="CJ91" i="7"/>
  <c r="CJ162" i="7"/>
  <c r="CW90" i="7"/>
  <c r="CW161" i="7"/>
  <c r="CI90" i="7"/>
  <c r="CI161" i="7"/>
  <c r="CB91" i="7"/>
  <c r="CB162" i="7"/>
  <c r="DC90" i="7"/>
  <c r="DC161" i="7"/>
  <c r="CE90" i="7"/>
  <c r="CE161" i="7"/>
  <c r="CN91" i="7"/>
  <c r="CN162" i="7"/>
  <c r="DA90" i="7"/>
  <c r="DA161" i="7"/>
  <c r="CF91" i="7"/>
  <c r="CF162" i="7"/>
  <c r="DE90" i="7"/>
  <c r="DE161" i="7"/>
  <c r="CV91" i="7"/>
  <c r="CV162" i="7"/>
  <c r="CS90" i="7"/>
  <c r="CS161" i="7"/>
  <c r="CR91" i="7"/>
  <c r="CR162" i="7"/>
  <c r="CU90" i="7"/>
  <c r="CU161" i="7"/>
  <c r="CO90" i="7"/>
  <c r="CO161" i="7"/>
  <c r="CY90" i="7"/>
  <c r="CY161" i="7"/>
  <c r="Q9" i="6"/>
  <c r="AE71" i="4"/>
  <c r="AG69" i="4"/>
  <c r="AG70" i="4"/>
  <c r="AG71" i="4"/>
  <c r="AD68" i="4"/>
  <c r="AC70" i="4"/>
  <c r="AC71" i="4"/>
  <c r="AB71" i="4"/>
  <c r="AB70" i="4"/>
  <c r="AQ73" i="4"/>
  <c r="AP73" i="4"/>
  <c r="AQ69" i="4"/>
  <c r="AP69" i="4"/>
  <c r="AQ68" i="4"/>
  <c r="AP68" i="4"/>
  <c r="S10" i="6" l="1"/>
  <c r="R10" i="6"/>
  <c r="CH163" i="7"/>
  <c r="CH92" i="7"/>
  <c r="CL162" i="7"/>
  <c r="CL91" i="7"/>
  <c r="CD162" i="7"/>
  <c r="CD91" i="7"/>
  <c r="CP92" i="7"/>
  <c r="CP163" i="7"/>
  <c r="DB91" i="7"/>
  <c r="DB162" i="7"/>
  <c r="CX163" i="7"/>
  <c r="CX92" i="7"/>
  <c r="CT162" i="7"/>
  <c r="CT91" i="7"/>
  <c r="EE92" i="7"/>
  <c r="EE163" i="7"/>
  <c r="EP161" i="7"/>
  <c r="ES154" i="7" s="1"/>
  <c r="DU92" i="7"/>
  <c r="DU163" i="7"/>
  <c r="DW92" i="7"/>
  <c r="DW163" i="7"/>
  <c r="DT91" i="7"/>
  <c r="DT162" i="7"/>
  <c r="EB91" i="7"/>
  <c r="EB162" i="7"/>
  <c r="EJ91" i="7"/>
  <c r="EJ162" i="7"/>
  <c r="DS92" i="7"/>
  <c r="DS163" i="7"/>
  <c r="ED91" i="7"/>
  <c r="ED162" i="7"/>
  <c r="DI93" i="7"/>
  <c r="DI164" i="7"/>
  <c r="DG92" i="7"/>
  <c r="DG163" i="7"/>
  <c r="EK92" i="7"/>
  <c r="EK163" i="7"/>
  <c r="EH91" i="7"/>
  <c r="EH162" i="7"/>
  <c r="DL162" i="7"/>
  <c r="DL91" i="7"/>
  <c r="DP91" i="7"/>
  <c r="DP162" i="7"/>
  <c r="DF91" i="7"/>
  <c r="DF162" i="7"/>
  <c r="EA92" i="7"/>
  <c r="EA163" i="7"/>
  <c r="DQ92" i="7"/>
  <c r="DQ163" i="7"/>
  <c r="EC92" i="7"/>
  <c r="EC163" i="7"/>
  <c r="DV91" i="7"/>
  <c r="DV162" i="7"/>
  <c r="DR91" i="7"/>
  <c r="DR162" i="7"/>
  <c r="EL91" i="7"/>
  <c r="EL162" i="7"/>
  <c r="DM92" i="7"/>
  <c r="DM163" i="7"/>
  <c r="EI92" i="7"/>
  <c r="EI163" i="7"/>
  <c r="DO92" i="7"/>
  <c r="DO163" i="7"/>
  <c r="DY92" i="7"/>
  <c r="DY163" i="7"/>
  <c r="DJ91" i="7"/>
  <c r="DJ162" i="7"/>
  <c r="DX91" i="7"/>
  <c r="DX162" i="7"/>
  <c r="DZ91" i="7"/>
  <c r="DZ162" i="7"/>
  <c r="DK92" i="7"/>
  <c r="DK163" i="7"/>
  <c r="DH91" i="7"/>
  <c r="DH162" i="7"/>
  <c r="EG92" i="7"/>
  <c r="EG163" i="7"/>
  <c r="EF91" i="7"/>
  <c r="EF162" i="7"/>
  <c r="EN91" i="7"/>
  <c r="EN162" i="7"/>
  <c r="EM92" i="7"/>
  <c r="EM163" i="7"/>
  <c r="DN91" i="7"/>
  <c r="DN162" i="7"/>
  <c r="CR92" i="7"/>
  <c r="CR163" i="7"/>
  <c r="CV92" i="7"/>
  <c r="CV163" i="7"/>
  <c r="DE91" i="7"/>
  <c r="DE162" i="7"/>
  <c r="DA91" i="7"/>
  <c r="DA162" i="7"/>
  <c r="CE162" i="7"/>
  <c r="CE91" i="7"/>
  <c r="CB92" i="7"/>
  <c r="CB163" i="7"/>
  <c r="CW91" i="7"/>
  <c r="CW162" i="7"/>
  <c r="BW92" i="7"/>
  <c r="BW163" i="7"/>
  <c r="CM91" i="7"/>
  <c r="CM162" i="7"/>
  <c r="BY91" i="7"/>
  <c r="BY162" i="7"/>
  <c r="BX92" i="7"/>
  <c r="BX163" i="7"/>
  <c r="DD92" i="7"/>
  <c r="DD163" i="7"/>
  <c r="CG91" i="7"/>
  <c r="CG162" i="7"/>
  <c r="CY91" i="7"/>
  <c r="CY162" i="7"/>
  <c r="CO91" i="7"/>
  <c r="CO162" i="7"/>
  <c r="CU91" i="7"/>
  <c r="CU162" i="7"/>
  <c r="BZ93" i="7"/>
  <c r="BZ164" i="7"/>
  <c r="CS91" i="7"/>
  <c r="CS162" i="7"/>
  <c r="CF92" i="7"/>
  <c r="CF163" i="7"/>
  <c r="CN92" i="7"/>
  <c r="CN163" i="7"/>
  <c r="DC91" i="7"/>
  <c r="DC162" i="7"/>
  <c r="CI91" i="7"/>
  <c r="CI162" i="7"/>
  <c r="CJ92" i="7"/>
  <c r="CJ163" i="7"/>
  <c r="CK91" i="7"/>
  <c r="CK162" i="7"/>
  <c r="CA162" i="7"/>
  <c r="CA91" i="7"/>
  <c r="CZ92" i="7"/>
  <c r="CZ163" i="7"/>
  <c r="CC91" i="7"/>
  <c r="CC162" i="7"/>
  <c r="CQ162" i="7"/>
  <c r="CQ91" i="7"/>
  <c r="Q10" i="6"/>
  <c r="AP72" i="4"/>
  <c r="AQ72" i="4"/>
  <c r="V10" i="4"/>
  <c r="V11" i="4"/>
  <c r="V12" i="4"/>
  <c r="V13" i="4"/>
  <c r="V14" i="4"/>
  <c r="V15" i="4"/>
  <c r="V16" i="4"/>
  <c r="V17" i="4"/>
  <c r="O27" i="4"/>
  <c r="O28" i="4"/>
  <c r="O29" i="4"/>
  <c r="O24" i="4"/>
  <c r="O25" i="4"/>
  <c r="O26" i="4"/>
  <c r="L27" i="4"/>
  <c r="L28" i="4"/>
  <c r="L29" i="4"/>
  <c r="L24" i="4"/>
  <c r="L25" i="4"/>
  <c r="L26" i="4"/>
  <c r="V9" i="4"/>
  <c r="J29" i="4"/>
  <c r="J28" i="4"/>
  <c r="J27" i="4"/>
  <c r="N25" i="4"/>
  <c r="N24" i="4"/>
  <c r="M26" i="4"/>
  <c r="M25" i="4"/>
  <c r="M24" i="4"/>
  <c r="J24" i="4"/>
  <c r="J26" i="4"/>
  <c r="D24" i="4"/>
  <c r="N27" i="4"/>
  <c r="N28" i="4"/>
  <c r="N29" i="4"/>
  <c r="K27" i="4"/>
  <c r="K28" i="4"/>
  <c r="K29" i="4"/>
  <c r="N26" i="4"/>
  <c r="K24" i="4"/>
  <c r="K25" i="4"/>
  <c r="K26" i="4"/>
  <c r="I19" i="4"/>
  <c r="S14" i="6" l="1"/>
  <c r="R14" i="6"/>
  <c r="CP164" i="7"/>
  <c r="CP93" i="7"/>
  <c r="CX164" i="7"/>
  <c r="CX93" i="7"/>
  <c r="CL92" i="7"/>
  <c r="CL163" i="7"/>
  <c r="CT163" i="7"/>
  <c r="CT92" i="7"/>
  <c r="CD163" i="7"/>
  <c r="CD92" i="7"/>
  <c r="CH164" i="7"/>
  <c r="CH93" i="7"/>
  <c r="DB92" i="7"/>
  <c r="DB163" i="7"/>
  <c r="EP162" i="7"/>
  <c r="EM164" i="7"/>
  <c r="EM93" i="7"/>
  <c r="EF92" i="7"/>
  <c r="EF163" i="7"/>
  <c r="DH92" i="7"/>
  <c r="DH163" i="7"/>
  <c r="DZ92" i="7"/>
  <c r="DZ163" i="7"/>
  <c r="DJ92" i="7"/>
  <c r="DJ163" i="7"/>
  <c r="DO93" i="7"/>
  <c r="DO164" i="7"/>
  <c r="DM93" i="7"/>
  <c r="DM164" i="7"/>
  <c r="DR92" i="7"/>
  <c r="DR163" i="7"/>
  <c r="EC93" i="7"/>
  <c r="EC164" i="7"/>
  <c r="EA93" i="7"/>
  <c r="EA164" i="7"/>
  <c r="DP92" i="7"/>
  <c r="DP163" i="7"/>
  <c r="EH92" i="7"/>
  <c r="EH163" i="7"/>
  <c r="DG93" i="7"/>
  <c r="DG164" i="7"/>
  <c r="ED92" i="7"/>
  <c r="ED163" i="7"/>
  <c r="EJ92" i="7"/>
  <c r="EJ163" i="7"/>
  <c r="DT92" i="7"/>
  <c r="DT163" i="7"/>
  <c r="DU93" i="7"/>
  <c r="DU164" i="7"/>
  <c r="DL92" i="7"/>
  <c r="DL163" i="7"/>
  <c r="DN92" i="7"/>
  <c r="DN163" i="7"/>
  <c r="EN92" i="7"/>
  <c r="EN163" i="7"/>
  <c r="EG93" i="7"/>
  <c r="EG164" i="7"/>
  <c r="DK93" i="7"/>
  <c r="DK164" i="7"/>
  <c r="DX92" i="7"/>
  <c r="DX163" i="7"/>
  <c r="DY93" i="7"/>
  <c r="DY164" i="7"/>
  <c r="EI93" i="7"/>
  <c r="EI164" i="7"/>
  <c r="EL163" i="7"/>
  <c r="EL92" i="7"/>
  <c r="DV163" i="7"/>
  <c r="DV92" i="7"/>
  <c r="DQ93" i="7"/>
  <c r="DQ164" i="7"/>
  <c r="DF163" i="7"/>
  <c r="DF92" i="7"/>
  <c r="EK93" i="7"/>
  <c r="EK164" i="7"/>
  <c r="DI165" i="7"/>
  <c r="DI94" i="7"/>
  <c r="DS93" i="7"/>
  <c r="DS164" i="7"/>
  <c r="EB92" i="7"/>
  <c r="EB163" i="7"/>
  <c r="DW93" i="7"/>
  <c r="DW164" i="7"/>
  <c r="EE93" i="7"/>
  <c r="EE164" i="7"/>
  <c r="DC92" i="7"/>
  <c r="DC163" i="7"/>
  <c r="DA92" i="7"/>
  <c r="DA163" i="7"/>
  <c r="CE92" i="7"/>
  <c r="CE163" i="7"/>
  <c r="CR93" i="7"/>
  <c r="CR164" i="7"/>
  <c r="CJ93" i="7"/>
  <c r="CJ164" i="7"/>
  <c r="CF93" i="7"/>
  <c r="CF164" i="7"/>
  <c r="CS92" i="7"/>
  <c r="CS163" i="7"/>
  <c r="CU92" i="7"/>
  <c r="CU163" i="7"/>
  <c r="CY92" i="7"/>
  <c r="CY163" i="7"/>
  <c r="DD93" i="7"/>
  <c r="DD164" i="7"/>
  <c r="BX93" i="7"/>
  <c r="BX164" i="7"/>
  <c r="CM92" i="7"/>
  <c r="CM163" i="7"/>
  <c r="CB93" i="7"/>
  <c r="CB164" i="7"/>
  <c r="CV93" i="7"/>
  <c r="CV164" i="7"/>
  <c r="CQ92" i="7"/>
  <c r="CQ163" i="7"/>
  <c r="CC92" i="7"/>
  <c r="CC163" i="7"/>
  <c r="CZ93" i="7"/>
  <c r="CZ164" i="7"/>
  <c r="CK92" i="7"/>
  <c r="CK163" i="7"/>
  <c r="CI92" i="7"/>
  <c r="CI163" i="7"/>
  <c r="CN93" i="7"/>
  <c r="CN164" i="7"/>
  <c r="BZ94" i="7"/>
  <c r="BZ165" i="7"/>
  <c r="CO92" i="7"/>
  <c r="CO163" i="7"/>
  <c r="CG92" i="7"/>
  <c r="CG163" i="7"/>
  <c r="BY92" i="7"/>
  <c r="BY163" i="7"/>
  <c r="BW93" i="7"/>
  <c r="BW164" i="7"/>
  <c r="CW92" i="7"/>
  <c r="CW163" i="7"/>
  <c r="DE92" i="7"/>
  <c r="DE163" i="7"/>
  <c r="CA92" i="7"/>
  <c r="CA163" i="7"/>
  <c r="Q14" i="6"/>
  <c r="AE79" i="4"/>
  <c r="AE78" i="4"/>
  <c r="ES155" i="7" l="1"/>
  <c r="CH165" i="7"/>
  <c r="CH94" i="7"/>
  <c r="CT164" i="7"/>
  <c r="CT93" i="7"/>
  <c r="CX94" i="7"/>
  <c r="CX165" i="7"/>
  <c r="CD164" i="7"/>
  <c r="CD93" i="7"/>
  <c r="CP94" i="7"/>
  <c r="CP165" i="7"/>
  <c r="EP163" i="7"/>
  <c r="DB164" i="7"/>
  <c r="DB93" i="7"/>
  <c r="CL164" i="7"/>
  <c r="CL93" i="7"/>
  <c r="DF93" i="7"/>
  <c r="DF164" i="7"/>
  <c r="DW94" i="7"/>
  <c r="DW165" i="7"/>
  <c r="DS94" i="7"/>
  <c r="DS165" i="7"/>
  <c r="EK94" i="7"/>
  <c r="EK165" i="7"/>
  <c r="DQ94" i="7"/>
  <c r="DQ165" i="7"/>
  <c r="DY94" i="7"/>
  <c r="DY165" i="7"/>
  <c r="DK94" i="7"/>
  <c r="DK165" i="7"/>
  <c r="EN93" i="7"/>
  <c r="EN164" i="7"/>
  <c r="DL93" i="7"/>
  <c r="DL164" i="7"/>
  <c r="DT164" i="7"/>
  <c r="DT93" i="7"/>
  <c r="ED93" i="7"/>
  <c r="ED164" i="7"/>
  <c r="EH93" i="7"/>
  <c r="EH164" i="7"/>
  <c r="EA94" i="7"/>
  <c r="EA165" i="7"/>
  <c r="DR93" i="7"/>
  <c r="DR164" i="7"/>
  <c r="DO94" i="7"/>
  <c r="DO165" i="7"/>
  <c r="DZ93" i="7"/>
  <c r="DZ164" i="7"/>
  <c r="EF93" i="7"/>
  <c r="EF164" i="7"/>
  <c r="DI95" i="7"/>
  <c r="DI166" i="7"/>
  <c r="DV93" i="7"/>
  <c r="DV164" i="7"/>
  <c r="EM94" i="7"/>
  <c r="EM165" i="7"/>
  <c r="EE94" i="7"/>
  <c r="EE165" i="7"/>
  <c r="EB93" i="7"/>
  <c r="EB164" i="7"/>
  <c r="EI94" i="7"/>
  <c r="EI165" i="7"/>
  <c r="DX93" i="7"/>
  <c r="DX164" i="7"/>
  <c r="EG94" i="7"/>
  <c r="EG165" i="7"/>
  <c r="DN93" i="7"/>
  <c r="DN164" i="7"/>
  <c r="DU94" i="7"/>
  <c r="DU165" i="7"/>
  <c r="EJ93" i="7"/>
  <c r="EJ164" i="7"/>
  <c r="DG94" i="7"/>
  <c r="DG165" i="7"/>
  <c r="DP93" i="7"/>
  <c r="DP164" i="7"/>
  <c r="EC94" i="7"/>
  <c r="EC165" i="7"/>
  <c r="DM94" i="7"/>
  <c r="DM165" i="7"/>
  <c r="DJ93" i="7"/>
  <c r="DJ164" i="7"/>
  <c r="DH93" i="7"/>
  <c r="DH164" i="7"/>
  <c r="EL93" i="7"/>
  <c r="EL164" i="7"/>
  <c r="CA93" i="7"/>
  <c r="CA164" i="7"/>
  <c r="CG93" i="7"/>
  <c r="CG164" i="7"/>
  <c r="CN94" i="7"/>
  <c r="CN165" i="7"/>
  <c r="CV94" i="7"/>
  <c r="CV165" i="7"/>
  <c r="CY93" i="7"/>
  <c r="CY164" i="7"/>
  <c r="DA93" i="7"/>
  <c r="DA164" i="7"/>
  <c r="BY93" i="7"/>
  <c r="BY164" i="7"/>
  <c r="CK93" i="7"/>
  <c r="CK164" i="7"/>
  <c r="CS93" i="7"/>
  <c r="CS164" i="7"/>
  <c r="CJ94" i="7"/>
  <c r="CJ165" i="7"/>
  <c r="BW94" i="7"/>
  <c r="BW165" i="7"/>
  <c r="CO93" i="7"/>
  <c r="CO164" i="7"/>
  <c r="CI93" i="7"/>
  <c r="CI164" i="7"/>
  <c r="CZ94" i="7"/>
  <c r="CZ165" i="7"/>
  <c r="CQ93" i="7"/>
  <c r="CQ164" i="7"/>
  <c r="CB94" i="7"/>
  <c r="CB165" i="7"/>
  <c r="CM93" i="7"/>
  <c r="CM164" i="7"/>
  <c r="DD94" i="7"/>
  <c r="DD165" i="7"/>
  <c r="CU93" i="7"/>
  <c r="CU164" i="7"/>
  <c r="CF94" i="7"/>
  <c r="CF165" i="7"/>
  <c r="CR94" i="7"/>
  <c r="CR165" i="7"/>
  <c r="CE93" i="7"/>
  <c r="CE164" i="7"/>
  <c r="CW93" i="7"/>
  <c r="CW164" i="7"/>
  <c r="BZ95" i="7"/>
  <c r="BZ166" i="7"/>
  <c r="CC93" i="7"/>
  <c r="CC164" i="7"/>
  <c r="BX94" i="7"/>
  <c r="BX165" i="7"/>
  <c r="DE93" i="7"/>
  <c r="DE164" i="7"/>
  <c r="DC93" i="7"/>
  <c r="DC164" i="7"/>
  <c r="AE80" i="4"/>
  <c r="AE81" i="4"/>
  <c r="AF56" i="4"/>
  <c r="AD69" i="4" s="1"/>
  <c r="ES160" i="7" l="1"/>
  <c r="CD165" i="7"/>
  <c r="CD94" i="7"/>
  <c r="CT165" i="7"/>
  <c r="CT94" i="7"/>
  <c r="CL165" i="7"/>
  <c r="CL94" i="7"/>
  <c r="CH166" i="7"/>
  <c r="CH95" i="7"/>
  <c r="DB165" i="7"/>
  <c r="DB94" i="7"/>
  <c r="CP95" i="7"/>
  <c r="CP166" i="7"/>
  <c r="CX166" i="7"/>
  <c r="CX95" i="7"/>
  <c r="DH94" i="7"/>
  <c r="DH165" i="7"/>
  <c r="DP94" i="7"/>
  <c r="DP165" i="7"/>
  <c r="DN94" i="7"/>
  <c r="DN165" i="7"/>
  <c r="EB94" i="7"/>
  <c r="EB165" i="7"/>
  <c r="DI96" i="7"/>
  <c r="DI167" i="7"/>
  <c r="DR94" i="7"/>
  <c r="DR165" i="7"/>
  <c r="EN94" i="7"/>
  <c r="EN165" i="7"/>
  <c r="DW95" i="7"/>
  <c r="DW166" i="7"/>
  <c r="DJ94" i="7"/>
  <c r="DJ165" i="7"/>
  <c r="DG95" i="7"/>
  <c r="DG166" i="7"/>
  <c r="EG95" i="7"/>
  <c r="EG166" i="7"/>
  <c r="DV165" i="7"/>
  <c r="DV94" i="7"/>
  <c r="DL94" i="7"/>
  <c r="DL165" i="7"/>
  <c r="EP164" i="7"/>
  <c r="ES164" i="7" s="1"/>
  <c r="DT94" i="7"/>
  <c r="DT165" i="7"/>
  <c r="EJ94" i="7"/>
  <c r="EJ165" i="7"/>
  <c r="DZ94" i="7"/>
  <c r="DZ165" i="7"/>
  <c r="DY95" i="7"/>
  <c r="DY166" i="7"/>
  <c r="DM95" i="7"/>
  <c r="DM166" i="7"/>
  <c r="DX94" i="7"/>
  <c r="DX165" i="7"/>
  <c r="EM95" i="7"/>
  <c r="EM166" i="7"/>
  <c r="EH165" i="7"/>
  <c r="EH94" i="7"/>
  <c r="EK95" i="7"/>
  <c r="EK166" i="7"/>
  <c r="EL94" i="7"/>
  <c r="EL165" i="7"/>
  <c r="EC95" i="7"/>
  <c r="EC166" i="7"/>
  <c r="DU95" i="7"/>
  <c r="DU166" i="7"/>
  <c r="EI95" i="7"/>
  <c r="EI166" i="7"/>
  <c r="EE95" i="7"/>
  <c r="EE166" i="7"/>
  <c r="EF94" i="7"/>
  <c r="EF165" i="7"/>
  <c r="DO95" i="7"/>
  <c r="DO166" i="7"/>
  <c r="EA95" i="7"/>
  <c r="EA166" i="7"/>
  <c r="ED94" i="7"/>
  <c r="ED165" i="7"/>
  <c r="DK95" i="7"/>
  <c r="DK166" i="7"/>
  <c r="DQ95" i="7"/>
  <c r="DQ166" i="7"/>
  <c r="DS95" i="7"/>
  <c r="DS166" i="7"/>
  <c r="DF94" i="7"/>
  <c r="DF165" i="7"/>
  <c r="DC94" i="7"/>
  <c r="DC165" i="7"/>
  <c r="BX95" i="7"/>
  <c r="BX166" i="7"/>
  <c r="BZ167" i="7"/>
  <c r="BZ96" i="7"/>
  <c r="CE94" i="7"/>
  <c r="CE165" i="7"/>
  <c r="CF95" i="7"/>
  <c r="CF166" i="7"/>
  <c r="DD95" i="7"/>
  <c r="DD166" i="7"/>
  <c r="CB95" i="7"/>
  <c r="CB166" i="7"/>
  <c r="CZ95" i="7"/>
  <c r="CZ166" i="7"/>
  <c r="BW95" i="7"/>
  <c r="BW166" i="7"/>
  <c r="CS94" i="7"/>
  <c r="CS165" i="7"/>
  <c r="CK94" i="7"/>
  <c r="CK165" i="7"/>
  <c r="CV166" i="7"/>
  <c r="CV95" i="7"/>
  <c r="DE94" i="7"/>
  <c r="DE165" i="7"/>
  <c r="CC94" i="7"/>
  <c r="CC165" i="7"/>
  <c r="CW94" i="7"/>
  <c r="CW165" i="7"/>
  <c r="CR95" i="7"/>
  <c r="CR166" i="7"/>
  <c r="CU94" i="7"/>
  <c r="CU165" i="7"/>
  <c r="CM94" i="7"/>
  <c r="CM165" i="7"/>
  <c r="CQ94" i="7"/>
  <c r="CQ165" i="7"/>
  <c r="CI94" i="7"/>
  <c r="CI165" i="7"/>
  <c r="CO94" i="7"/>
  <c r="CO165" i="7"/>
  <c r="CG94" i="7"/>
  <c r="CG165" i="7"/>
  <c r="CJ95" i="7"/>
  <c r="CJ166" i="7"/>
  <c r="BY94" i="7"/>
  <c r="BY165" i="7"/>
  <c r="DA94" i="7"/>
  <c r="DA165" i="7"/>
  <c r="CY94" i="7"/>
  <c r="CY165" i="7"/>
  <c r="CN95" i="7"/>
  <c r="CN166" i="7"/>
  <c r="CA94" i="7"/>
  <c r="CA165" i="7"/>
  <c r="AA80" i="4"/>
  <c r="AF79" i="4"/>
  <c r="AF78" i="4"/>
  <c r="AD78" i="4"/>
  <c r="AD79" i="4"/>
  <c r="AC79" i="4"/>
  <c r="AC78" i="4"/>
  <c r="AB80" i="4"/>
  <c r="AB81" i="4"/>
  <c r="AA81" i="4"/>
  <c r="AB78" i="4"/>
  <c r="AB79" i="4"/>
  <c r="AA79" i="4"/>
  <c r="CH167" i="7" l="1"/>
  <c r="CH96" i="7"/>
  <c r="CT166" i="7"/>
  <c r="CT95" i="7"/>
  <c r="CX167" i="7"/>
  <c r="CX96" i="7"/>
  <c r="DB166" i="7"/>
  <c r="DB95" i="7"/>
  <c r="CL166" i="7"/>
  <c r="CL95" i="7"/>
  <c r="CD166" i="7"/>
  <c r="CD95" i="7"/>
  <c r="CP167" i="7"/>
  <c r="CP96" i="7"/>
  <c r="DF95" i="7"/>
  <c r="DF166" i="7"/>
  <c r="DQ96" i="7"/>
  <c r="DQ167" i="7"/>
  <c r="ED95" i="7"/>
  <c r="ED166" i="7"/>
  <c r="EE96" i="7"/>
  <c r="EE167" i="7"/>
  <c r="DU96" i="7"/>
  <c r="DU167" i="7"/>
  <c r="EL95" i="7"/>
  <c r="EL166" i="7"/>
  <c r="DX95" i="7"/>
  <c r="DX166" i="7"/>
  <c r="DY96" i="7"/>
  <c r="DY167" i="7"/>
  <c r="EJ95" i="7"/>
  <c r="EJ166" i="7"/>
  <c r="EP165" i="7"/>
  <c r="DL95" i="7"/>
  <c r="DL166" i="7"/>
  <c r="EG96" i="7"/>
  <c r="EG167" i="7"/>
  <c r="DJ95" i="7"/>
  <c r="DJ166" i="7"/>
  <c r="EN95" i="7"/>
  <c r="EN166" i="7"/>
  <c r="DI97" i="7"/>
  <c r="DI168" i="7"/>
  <c r="DN95" i="7"/>
  <c r="DN166" i="7"/>
  <c r="DH95" i="7"/>
  <c r="DH166" i="7"/>
  <c r="DS96" i="7"/>
  <c r="DS167" i="7"/>
  <c r="DK96" i="7"/>
  <c r="DK167" i="7"/>
  <c r="EA96" i="7"/>
  <c r="EA167" i="7"/>
  <c r="EF95" i="7"/>
  <c r="EF166" i="7"/>
  <c r="EI96" i="7"/>
  <c r="EI167" i="7"/>
  <c r="EC96" i="7"/>
  <c r="EC167" i="7"/>
  <c r="EK96" i="7"/>
  <c r="EK167" i="7"/>
  <c r="EM96" i="7"/>
  <c r="EM167" i="7"/>
  <c r="DM96" i="7"/>
  <c r="DM167" i="7"/>
  <c r="DZ95" i="7"/>
  <c r="DZ166" i="7"/>
  <c r="DT95" i="7"/>
  <c r="DT166" i="7"/>
  <c r="DV95" i="7"/>
  <c r="DV166" i="7"/>
  <c r="DG96" i="7"/>
  <c r="DG167" i="7"/>
  <c r="DW96" i="7"/>
  <c r="DW167" i="7"/>
  <c r="DR95" i="7"/>
  <c r="DR166" i="7"/>
  <c r="EB166" i="7"/>
  <c r="EB95" i="7"/>
  <c r="DP95" i="7"/>
  <c r="DP166" i="7"/>
  <c r="DO96" i="7"/>
  <c r="DO167" i="7"/>
  <c r="EH95" i="7"/>
  <c r="EH166" i="7"/>
  <c r="CU95" i="7"/>
  <c r="CU166" i="7"/>
  <c r="CN96" i="7"/>
  <c r="CN167" i="7"/>
  <c r="DA95" i="7"/>
  <c r="DA166" i="7"/>
  <c r="BZ97" i="7"/>
  <c r="BZ168" i="7"/>
  <c r="CG95" i="7"/>
  <c r="CG166" i="7"/>
  <c r="CQ95" i="7"/>
  <c r="CQ166" i="7"/>
  <c r="DE95" i="7"/>
  <c r="DE166" i="7"/>
  <c r="CK95" i="7"/>
  <c r="CK166" i="7"/>
  <c r="CF96" i="7"/>
  <c r="CF167" i="7"/>
  <c r="DC95" i="7"/>
  <c r="DC166" i="7"/>
  <c r="CY95" i="7"/>
  <c r="CY166" i="7"/>
  <c r="CJ96" i="7"/>
  <c r="CJ167" i="7"/>
  <c r="CV96" i="7"/>
  <c r="CV167" i="7"/>
  <c r="CO95" i="7"/>
  <c r="CO166" i="7"/>
  <c r="CW95" i="7"/>
  <c r="CW166" i="7"/>
  <c r="CB96" i="7"/>
  <c r="CB167" i="7"/>
  <c r="CA95" i="7"/>
  <c r="CA166" i="7"/>
  <c r="BY95" i="7"/>
  <c r="BY166" i="7"/>
  <c r="CI95" i="7"/>
  <c r="CI166" i="7"/>
  <c r="CM95" i="7"/>
  <c r="CM166" i="7"/>
  <c r="CR96" i="7"/>
  <c r="CR167" i="7"/>
  <c r="CC95" i="7"/>
  <c r="CC166" i="7"/>
  <c r="CS95" i="7"/>
  <c r="CS166" i="7"/>
  <c r="BW96" i="7"/>
  <c r="BW167" i="7"/>
  <c r="CZ96" i="7"/>
  <c r="CZ167" i="7"/>
  <c r="DD96" i="7"/>
  <c r="DD167" i="7"/>
  <c r="CE95" i="7"/>
  <c r="CE166" i="7"/>
  <c r="BX96" i="7"/>
  <c r="BX167" i="7"/>
  <c r="AB56" i="4"/>
  <c r="AJ59" i="4"/>
  <c r="AJ57" i="4"/>
  <c r="AJ56" i="4"/>
  <c r="AF69" i="4" s="1"/>
  <c r="AF71" i="4"/>
  <c r="AA59" i="4"/>
  <c r="AA60" i="4"/>
  <c r="Z60" i="4"/>
  <c r="Z59" i="4"/>
  <c r="AA57" i="4"/>
  <c r="AA58" i="4"/>
  <c r="AA71" i="4" s="1"/>
  <c r="Z58" i="4"/>
  <c r="Z57" i="4"/>
  <c r="AA70" i="4" l="1"/>
  <c r="CD167" i="7"/>
  <c r="CD96" i="7"/>
  <c r="DB167" i="7"/>
  <c r="DB96" i="7"/>
  <c r="CT167" i="7"/>
  <c r="CT96" i="7"/>
  <c r="CP97" i="7"/>
  <c r="CP168" i="7"/>
  <c r="CL96" i="7"/>
  <c r="CL167" i="7"/>
  <c r="CX168" i="7"/>
  <c r="CX97" i="7"/>
  <c r="CH168" i="7"/>
  <c r="CH97" i="7"/>
  <c r="EP166" i="7"/>
  <c r="DO97" i="7"/>
  <c r="DO168" i="7"/>
  <c r="DW168" i="7"/>
  <c r="DW97" i="7"/>
  <c r="DV167" i="7"/>
  <c r="DV96" i="7"/>
  <c r="DZ96" i="7"/>
  <c r="DZ167" i="7"/>
  <c r="EM168" i="7"/>
  <c r="EM97" i="7"/>
  <c r="EC97" i="7"/>
  <c r="EC168" i="7"/>
  <c r="EF96" i="7"/>
  <c r="EF167" i="7"/>
  <c r="DK97" i="7"/>
  <c r="DK168" i="7"/>
  <c r="DH96" i="7"/>
  <c r="DH167" i="7"/>
  <c r="DI98" i="7"/>
  <c r="DI169" i="7"/>
  <c r="DJ96" i="7"/>
  <c r="DJ167" i="7"/>
  <c r="DL96" i="7"/>
  <c r="DL167" i="7"/>
  <c r="DY97" i="7"/>
  <c r="DY168" i="7"/>
  <c r="EL96" i="7"/>
  <c r="EL167" i="7"/>
  <c r="EE97" i="7"/>
  <c r="EE168" i="7"/>
  <c r="DQ97" i="7"/>
  <c r="DQ168" i="7"/>
  <c r="EH96" i="7"/>
  <c r="EH167" i="7"/>
  <c r="DP96" i="7"/>
  <c r="DP167" i="7"/>
  <c r="DR96" i="7"/>
  <c r="DR167" i="7"/>
  <c r="DG97" i="7"/>
  <c r="DG168" i="7"/>
  <c r="DT96" i="7"/>
  <c r="DT167" i="7"/>
  <c r="DM97" i="7"/>
  <c r="DM168" i="7"/>
  <c r="EK97" i="7"/>
  <c r="EK168" i="7"/>
  <c r="EI97" i="7"/>
  <c r="EI168" i="7"/>
  <c r="EA97" i="7"/>
  <c r="EA168" i="7"/>
  <c r="DS97" i="7"/>
  <c r="DS168" i="7"/>
  <c r="DN96" i="7"/>
  <c r="DN167" i="7"/>
  <c r="EN96" i="7"/>
  <c r="EN167" i="7"/>
  <c r="EG97" i="7"/>
  <c r="EG168" i="7"/>
  <c r="EB96" i="7"/>
  <c r="EB167" i="7"/>
  <c r="EJ96" i="7"/>
  <c r="EJ167" i="7"/>
  <c r="DX96" i="7"/>
  <c r="DX167" i="7"/>
  <c r="DU97" i="7"/>
  <c r="DU168" i="7"/>
  <c r="ED96" i="7"/>
  <c r="ED167" i="7"/>
  <c r="DF96" i="7"/>
  <c r="DF167" i="7"/>
  <c r="BX97" i="7"/>
  <c r="BX168" i="7"/>
  <c r="BY96" i="7"/>
  <c r="BY167" i="7"/>
  <c r="CO96" i="7"/>
  <c r="CO167" i="7"/>
  <c r="CJ168" i="7"/>
  <c r="CJ97" i="7"/>
  <c r="DC96" i="7"/>
  <c r="DC167" i="7"/>
  <c r="DE96" i="7"/>
  <c r="DE167" i="7"/>
  <c r="CG96" i="7"/>
  <c r="CG167" i="7"/>
  <c r="CN97" i="7"/>
  <c r="CN168" i="7"/>
  <c r="DD97" i="7"/>
  <c r="DD168" i="7"/>
  <c r="CR97" i="7"/>
  <c r="CR168" i="7"/>
  <c r="CB97" i="7"/>
  <c r="CB168" i="7"/>
  <c r="CE96" i="7"/>
  <c r="CE167" i="7"/>
  <c r="CZ97" i="7"/>
  <c r="CZ168" i="7"/>
  <c r="CS96" i="7"/>
  <c r="CS167" i="7"/>
  <c r="CC96" i="7"/>
  <c r="CC167" i="7"/>
  <c r="CM96" i="7"/>
  <c r="CM167" i="7"/>
  <c r="CA96" i="7"/>
  <c r="CA167" i="7"/>
  <c r="CW96" i="7"/>
  <c r="CW167" i="7"/>
  <c r="BW97" i="7"/>
  <c r="BW168" i="7"/>
  <c r="CI96" i="7"/>
  <c r="CI167" i="7"/>
  <c r="CV97" i="7"/>
  <c r="CV168" i="7"/>
  <c r="CY96" i="7"/>
  <c r="CY167" i="7"/>
  <c r="CF97" i="7"/>
  <c r="CF168" i="7"/>
  <c r="CK96" i="7"/>
  <c r="CK167" i="7"/>
  <c r="CQ96" i="7"/>
  <c r="CQ167" i="7"/>
  <c r="BZ98" i="7"/>
  <c r="BZ169" i="7"/>
  <c r="DA96" i="7"/>
  <c r="DA167" i="7"/>
  <c r="CU96" i="7"/>
  <c r="CU167" i="7"/>
  <c r="AF70" i="4"/>
  <c r="AL59" i="4"/>
  <c r="AD62" i="4" s="1"/>
  <c r="Z71" i="4"/>
  <c r="AH71" i="4" s="1"/>
  <c r="AL58" i="4"/>
  <c r="AL60" i="4"/>
  <c r="AE62" i="4" s="1"/>
  <c r="Z70" i="4"/>
  <c r="AL57" i="4"/>
  <c r="AC56" i="4"/>
  <c r="AD56" i="4"/>
  <c r="AB69" i="4" s="1"/>
  <c r="AE56" i="4"/>
  <c r="AD55" i="4"/>
  <c r="AE55" i="4"/>
  <c r="AC55" i="4"/>
  <c r="AB55" i="4"/>
  <c r="AA55" i="4"/>
  <c r="AA56" i="4"/>
  <c r="Z56" i="4"/>
  <c r="AL56" i="4" s="1"/>
  <c r="Z55" i="4"/>
  <c r="AH70" i="4" l="1"/>
  <c r="AL55" i="4"/>
  <c r="AB68" i="4"/>
  <c r="DB97" i="7"/>
  <c r="DB168" i="7"/>
  <c r="CP98" i="7"/>
  <c r="CP169" i="7"/>
  <c r="CH169" i="7"/>
  <c r="CH98" i="7"/>
  <c r="CT97" i="7"/>
  <c r="CT168" i="7"/>
  <c r="CD168" i="7"/>
  <c r="CD97" i="7"/>
  <c r="CX169" i="7"/>
  <c r="CX98" i="7"/>
  <c r="CL97" i="7"/>
  <c r="CL168" i="7"/>
  <c r="EP167" i="7"/>
  <c r="ED97" i="7"/>
  <c r="ED168" i="7"/>
  <c r="DX97" i="7"/>
  <c r="DX168" i="7"/>
  <c r="EB97" i="7"/>
  <c r="EB168" i="7"/>
  <c r="EN97" i="7"/>
  <c r="EN168" i="7"/>
  <c r="DS98" i="7"/>
  <c r="DS169" i="7"/>
  <c r="EI98" i="7"/>
  <c r="EI169" i="7"/>
  <c r="DM98" i="7"/>
  <c r="DM169" i="7"/>
  <c r="DG98" i="7"/>
  <c r="DG169" i="7"/>
  <c r="DP168" i="7"/>
  <c r="DP97" i="7"/>
  <c r="DQ98" i="7"/>
  <c r="DQ169" i="7"/>
  <c r="EL97" i="7"/>
  <c r="EL168" i="7"/>
  <c r="DL97" i="7"/>
  <c r="DL168" i="7"/>
  <c r="DI99" i="7"/>
  <c r="DI170" i="7"/>
  <c r="DK98" i="7"/>
  <c r="DK169" i="7"/>
  <c r="EC98" i="7"/>
  <c r="EC169" i="7"/>
  <c r="DZ97" i="7"/>
  <c r="DZ168" i="7"/>
  <c r="EM98" i="7"/>
  <c r="EM169" i="7"/>
  <c r="DV97" i="7"/>
  <c r="DV168" i="7"/>
  <c r="DF97" i="7"/>
  <c r="DF168" i="7"/>
  <c r="DU169" i="7"/>
  <c r="DU98" i="7"/>
  <c r="EJ97" i="7"/>
  <c r="EJ168" i="7"/>
  <c r="EG98" i="7"/>
  <c r="EG169" i="7"/>
  <c r="DN97" i="7"/>
  <c r="DN168" i="7"/>
  <c r="EA98" i="7"/>
  <c r="EA169" i="7"/>
  <c r="EK98" i="7"/>
  <c r="EK169" i="7"/>
  <c r="DT97" i="7"/>
  <c r="DT168" i="7"/>
  <c r="DR97" i="7"/>
  <c r="DR168" i="7"/>
  <c r="EH97" i="7"/>
  <c r="EH168" i="7"/>
  <c r="EE98" i="7"/>
  <c r="EE169" i="7"/>
  <c r="DY98" i="7"/>
  <c r="DY169" i="7"/>
  <c r="DJ97" i="7"/>
  <c r="DJ168" i="7"/>
  <c r="DH97" i="7"/>
  <c r="DH168" i="7"/>
  <c r="EF97" i="7"/>
  <c r="EF168" i="7"/>
  <c r="DO98" i="7"/>
  <c r="DO169" i="7"/>
  <c r="DW98" i="7"/>
  <c r="DW169" i="7"/>
  <c r="DA97" i="7"/>
  <c r="DA168" i="7"/>
  <c r="CQ168" i="7"/>
  <c r="CQ97" i="7"/>
  <c r="CF98" i="7"/>
  <c r="CF169" i="7"/>
  <c r="CV98" i="7"/>
  <c r="CV169" i="7"/>
  <c r="CC97" i="7"/>
  <c r="CC168" i="7"/>
  <c r="CB98" i="7"/>
  <c r="CB169" i="7"/>
  <c r="DC97" i="7"/>
  <c r="DC168" i="7"/>
  <c r="CO97" i="7"/>
  <c r="CO168" i="7"/>
  <c r="BZ99" i="7"/>
  <c r="BZ170" i="7"/>
  <c r="CY97" i="7"/>
  <c r="CY168" i="7"/>
  <c r="CJ98" i="7"/>
  <c r="CJ169" i="7"/>
  <c r="BW98" i="7"/>
  <c r="BW169" i="7"/>
  <c r="CZ98" i="7"/>
  <c r="CZ169" i="7"/>
  <c r="DD98" i="7"/>
  <c r="DD169" i="7"/>
  <c r="DE97" i="7"/>
  <c r="DE168" i="7"/>
  <c r="CU97" i="7"/>
  <c r="CU168" i="7"/>
  <c r="CK97" i="7"/>
  <c r="CK168" i="7"/>
  <c r="CI97" i="7"/>
  <c r="CI168" i="7"/>
  <c r="CW97" i="7"/>
  <c r="CW168" i="7"/>
  <c r="CA168" i="7"/>
  <c r="CA97" i="7"/>
  <c r="CM97" i="7"/>
  <c r="CM168" i="7"/>
  <c r="CS97" i="7"/>
  <c r="CS168" i="7"/>
  <c r="CE97" i="7"/>
  <c r="CE168" i="7"/>
  <c r="CR98" i="7"/>
  <c r="CR169" i="7"/>
  <c r="CN98" i="7"/>
  <c r="CN169" i="7"/>
  <c r="CG97" i="7"/>
  <c r="CG168" i="7"/>
  <c r="BY97" i="7"/>
  <c r="BY168" i="7"/>
  <c r="BX98" i="7"/>
  <c r="BX169" i="7"/>
  <c r="AL61" i="4"/>
  <c r="AC68" i="4"/>
  <c r="AH68" i="4" s="1"/>
  <c r="AE61" i="4"/>
  <c r="AC69" i="4"/>
  <c r="AH69" i="4" s="1"/>
  <c r="AD61" i="4"/>
  <c r="AC62" i="4"/>
  <c r="AC61" i="4" s="1"/>
  <c r="AB62" i="4"/>
  <c r="AB61" i="4" s="1"/>
  <c r="D27" i="4"/>
  <c r="M28" i="4"/>
  <c r="M29" i="4"/>
  <c r="M27" i="4"/>
  <c r="J25" i="4"/>
  <c r="E27" i="4"/>
  <c r="F27" i="4"/>
  <c r="E28" i="4"/>
  <c r="F28" i="4"/>
  <c r="E29" i="4"/>
  <c r="F29" i="4"/>
  <c r="D28" i="4"/>
  <c r="D29" i="4"/>
  <c r="G26" i="4"/>
  <c r="H24" i="4"/>
  <c r="I24" i="4"/>
  <c r="H25" i="4"/>
  <c r="I25" i="4"/>
  <c r="H26" i="4"/>
  <c r="I26" i="4"/>
  <c r="G25" i="4"/>
  <c r="F26" i="4"/>
  <c r="CX99" i="7" l="1"/>
  <c r="CX170" i="7"/>
  <c r="CT169" i="7"/>
  <c r="CT98" i="7"/>
  <c r="CP170" i="7"/>
  <c r="CP99" i="7"/>
  <c r="CD98" i="7"/>
  <c r="CD169" i="7"/>
  <c r="CH170" i="7"/>
  <c r="CH99" i="7"/>
  <c r="EP168" i="7"/>
  <c r="ES168" i="7" s="1"/>
  <c r="CL169" i="7"/>
  <c r="CL98" i="7"/>
  <c r="DB169" i="7"/>
  <c r="DB98" i="7"/>
  <c r="DU99" i="7"/>
  <c r="DU170" i="7"/>
  <c r="DO99" i="7"/>
  <c r="DO170" i="7"/>
  <c r="DH98" i="7"/>
  <c r="DH169" i="7"/>
  <c r="DY99" i="7"/>
  <c r="DY170" i="7"/>
  <c r="EH98" i="7"/>
  <c r="EH169" i="7"/>
  <c r="DT98" i="7"/>
  <c r="DT169" i="7"/>
  <c r="EA99" i="7"/>
  <c r="EA170" i="7"/>
  <c r="EG99" i="7"/>
  <c r="EG170" i="7"/>
  <c r="DV98" i="7"/>
  <c r="DV169" i="7"/>
  <c r="DZ98" i="7"/>
  <c r="DZ169" i="7"/>
  <c r="DK99" i="7"/>
  <c r="DK170" i="7"/>
  <c r="DL98" i="7"/>
  <c r="DL169" i="7"/>
  <c r="DQ99" i="7"/>
  <c r="DQ170" i="7"/>
  <c r="DG99" i="7"/>
  <c r="DG170" i="7"/>
  <c r="EI99" i="7"/>
  <c r="EI170" i="7"/>
  <c r="EN98" i="7"/>
  <c r="EN169" i="7"/>
  <c r="DX98" i="7"/>
  <c r="DX169" i="7"/>
  <c r="DP98" i="7"/>
  <c r="DP169" i="7"/>
  <c r="DW99" i="7"/>
  <c r="DW170" i="7"/>
  <c r="EF98" i="7"/>
  <c r="EF169" i="7"/>
  <c r="DJ98" i="7"/>
  <c r="DJ169" i="7"/>
  <c r="EE99" i="7"/>
  <c r="EE170" i="7"/>
  <c r="DR98" i="7"/>
  <c r="DR169" i="7"/>
  <c r="EK99" i="7"/>
  <c r="EK170" i="7"/>
  <c r="DN169" i="7"/>
  <c r="DN98" i="7"/>
  <c r="EJ98" i="7"/>
  <c r="EJ169" i="7"/>
  <c r="DF98" i="7"/>
  <c r="DF169" i="7"/>
  <c r="EM99" i="7"/>
  <c r="EM170" i="7"/>
  <c r="EC99" i="7"/>
  <c r="EC170" i="7"/>
  <c r="DI100" i="7"/>
  <c r="DI171" i="7"/>
  <c r="EL98" i="7"/>
  <c r="EL169" i="7"/>
  <c r="DM99" i="7"/>
  <c r="DM170" i="7"/>
  <c r="DS99" i="7"/>
  <c r="DS170" i="7"/>
  <c r="EB98" i="7"/>
  <c r="EB169" i="7"/>
  <c r="ED98" i="7"/>
  <c r="ED169" i="7"/>
  <c r="CR99" i="7"/>
  <c r="CR170" i="7"/>
  <c r="DE98" i="7"/>
  <c r="DE169" i="7"/>
  <c r="BZ100" i="7"/>
  <c r="BZ171" i="7"/>
  <c r="CB99" i="7"/>
  <c r="CB170" i="7"/>
  <c r="CV99" i="7"/>
  <c r="CV170" i="7"/>
  <c r="BY98" i="7"/>
  <c r="BY169" i="7"/>
  <c r="CI98" i="7"/>
  <c r="CI169" i="7"/>
  <c r="CQ98" i="7"/>
  <c r="CQ169" i="7"/>
  <c r="BX170" i="7"/>
  <c r="BX99" i="7"/>
  <c r="CN99" i="7"/>
  <c r="CN170" i="7"/>
  <c r="CE98" i="7"/>
  <c r="CE169" i="7"/>
  <c r="CM98" i="7"/>
  <c r="CM169" i="7"/>
  <c r="CW98" i="7"/>
  <c r="CW169" i="7"/>
  <c r="CK98" i="7"/>
  <c r="CK169" i="7"/>
  <c r="DD99" i="7"/>
  <c r="DD170" i="7"/>
  <c r="CJ99" i="7"/>
  <c r="CJ170" i="7"/>
  <c r="CY98" i="7"/>
  <c r="CY169" i="7"/>
  <c r="CO98" i="7"/>
  <c r="CO169" i="7"/>
  <c r="CC98" i="7"/>
  <c r="CC169" i="7"/>
  <c r="CG98" i="7"/>
  <c r="CG169" i="7"/>
  <c r="CS98" i="7"/>
  <c r="CS169" i="7"/>
  <c r="CU98" i="7"/>
  <c r="CU169" i="7"/>
  <c r="CZ99" i="7"/>
  <c r="CZ170" i="7"/>
  <c r="BW99" i="7"/>
  <c r="BW170" i="7"/>
  <c r="DC98" i="7"/>
  <c r="DC169" i="7"/>
  <c r="CA98" i="7"/>
  <c r="CA169" i="7"/>
  <c r="CF99" i="7"/>
  <c r="CF170" i="7"/>
  <c r="DA98" i="7"/>
  <c r="DA169" i="7"/>
  <c r="AH72" i="4"/>
  <c r="P29" i="4"/>
  <c r="I31" i="4" s="1"/>
  <c r="I30" i="4" s="1"/>
  <c r="P27" i="4"/>
  <c r="P28" i="4"/>
  <c r="F25" i="4"/>
  <c r="E25" i="4"/>
  <c r="D25" i="4"/>
  <c r="F24" i="4"/>
  <c r="E26" i="4"/>
  <c r="D26" i="4"/>
  <c r="CT99" i="7" l="1"/>
  <c r="CT170" i="7"/>
  <c r="DB99" i="7"/>
  <c r="DB170" i="7"/>
  <c r="CD99" i="7"/>
  <c r="CD170" i="7"/>
  <c r="CH100" i="7"/>
  <c r="CH171" i="7"/>
  <c r="CP100" i="7"/>
  <c r="CP171" i="7"/>
  <c r="EP169" i="7"/>
  <c r="CL170" i="7"/>
  <c r="CL99" i="7"/>
  <c r="CX171" i="7"/>
  <c r="CX100" i="7"/>
  <c r="ED170" i="7"/>
  <c r="ED99" i="7"/>
  <c r="EL99" i="7"/>
  <c r="EL170" i="7"/>
  <c r="EB99" i="7"/>
  <c r="EB170" i="7"/>
  <c r="DM100" i="7"/>
  <c r="DM171" i="7"/>
  <c r="DI101" i="7"/>
  <c r="DI172" i="7"/>
  <c r="EM100" i="7"/>
  <c r="EM171" i="7"/>
  <c r="EJ99" i="7"/>
  <c r="EJ170" i="7"/>
  <c r="EK100" i="7"/>
  <c r="EK171" i="7"/>
  <c r="EE100" i="7"/>
  <c r="EE171" i="7"/>
  <c r="EF99" i="7"/>
  <c r="EF170" i="7"/>
  <c r="DP99" i="7"/>
  <c r="DP170" i="7"/>
  <c r="EN99" i="7"/>
  <c r="EN170" i="7"/>
  <c r="DG100" i="7"/>
  <c r="DG171" i="7"/>
  <c r="DL99" i="7"/>
  <c r="DL170" i="7"/>
  <c r="DZ99" i="7"/>
  <c r="DZ170" i="7"/>
  <c r="EG100" i="7"/>
  <c r="EG171" i="7"/>
  <c r="DT99" i="7"/>
  <c r="DT170" i="7"/>
  <c r="DY100" i="7"/>
  <c r="DY171" i="7"/>
  <c r="DO100" i="7"/>
  <c r="DO171" i="7"/>
  <c r="DN99" i="7"/>
  <c r="DN170" i="7"/>
  <c r="DS100" i="7"/>
  <c r="DS171" i="7"/>
  <c r="EC100" i="7"/>
  <c r="EC171" i="7"/>
  <c r="DF99" i="7"/>
  <c r="DF170" i="7"/>
  <c r="DR99" i="7"/>
  <c r="DR170" i="7"/>
  <c r="DJ99" i="7"/>
  <c r="DJ170" i="7"/>
  <c r="DW100" i="7"/>
  <c r="DW171" i="7"/>
  <c r="DX99" i="7"/>
  <c r="DX170" i="7"/>
  <c r="EI100" i="7"/>
  <c r="EI171" i="7"/>
  <c r="DQ100" i="7"/>
  <c r="DQ171" i="7"/>
  <c r="DK100" i="7"/>
  <c r="DK171" i="7"/>
  <c r="DV170" i="7"/>
  <c r="DV99" i="7"/>
  <c r="EA100" i="7"/>
  <c r="EA171" i="7"/>
  <c r="EH99" i="7"/>
  <c r="EH170" i="7"/>
  <c r="DH99" i="7"/>
  <c r="DH170" i="7"/>
  <c r="DU100" i="7"/>
  <c r="DU171" i="7"/>
  <c r="CG99" i="7"/>
  <c r="CG170" i="7"/>
  <c r="CY99" i="7"/>
  <c r="CY170" i="7"/>
  <c r="CW99" i="7"/>
  <c r="CW170" i="7"/>
  <c r="CE99" i="7"/>
  <c r="CE170" i="7"/>
  <c r="CQ99" i="7"/>
  <c r="CQ170" i="7"/>
  <c r="CI99" i="7"/>
  <c r="CI170" i="7"/>
  <c r="CV100" i="7"/>
  <c r="CV171" i="7"/>
  <c r="CB100" i="7"/>
  <c r="CB171" i="7"/>
  <c r="DE99" i="7"/>
  <c r="DE170" i="7"/>
  <c r="CF100" i="7"/>
  <c r="CF171" i="7"/>
  <c r="CA99" i="7"/>
  <c r="CA170" i="7"/>
  <c r="CU99" i="7"/>
  <c r="CU170" i="7"/>
  <c r="BX100" i="7"/>
  <c r="BX171" i="7"/>
  <c r="BW100" i="7"/>
  <c r="BW171" i="7"/>
  <c r="DA99" i="7"/>
  <c r="DA170" i="7"/>
  <c r="DC99" i="7"/>
  <c r="DC170" i="7"/>
  <c r="CZ100" i="7"/>
  <c r="CZ171" i="7"/>
  <c r="CS99" i="7"/>
  <c r="CS170" i="7"/>
  <c r="CC99" i="7"/>
  <c r="CC170" i="7"/>
  <c r="CO99" i="7"/>
  <c r="CO170" i="7"/>
  <c r="CJ171" i="7"/>
  <c r="CJ100" i="7"/>
  <c r="DD100" i="7"/>
  <c r="DD171" i="7"/>
  <c r="CK99" i="7"/>
  <c r="CK170" i="7"/>
  <c r="CM99" i="7"/>
  <c r="CM170" i="7"/>
  <c r="CN100" i="7"/>
  <c r="CN171" i="7"/>
  <c r="BY99" i="7"/>
  <c r="BY170" i="7"/>
  <c r="BZ101" i="7"/>
  <c r="BZ172" i="7"/>
  <c r="CR100" i="7"/>
  <c r="CR171" i="7"/>
  <c r="P25" i="4"/>
  <c r="P26" i="4"/>
  <c r="F31" i="4" s="1"/>
  <c r="F30" i="4" s="1"/>
  <c r="F19" i="4"/>
  <c r="F18" i="4" s="1"/>
  <c r="I18" i="4"/>
  <c r="CX172" i="7" l="1"/>
  <c r="CX101" i="7"/>
  <c r="DB100" i="7"/>
  <c r="DB171" i="7"/>
  <c r="CH172" i="7"/>
  <c r="CH101" i="7"/>
  <c r="EP170" i="7"/>
  <c r="ES165" i="7" s="1"/>
  <c r="CL171" i="7"/>
  <c r="CL100" i="7"/>
  <c r="CP101" i="7"/>
  <c r="CP172" i="7"/>
  <c r="CD100" i="7"/>
  <c r="CD171" i="7"/>
  <c r="CT171" i="7"/>
  <c r="CT100" i="7"/>
  <c r="EH100" i="7"/>
  <c r="EH171" i="7"/>
  <c r="DF100" i="7"/>
  <c r="DF171" i="7"/>
  <c r="DH100" i="7"/>
  <c r="DH171" i="7"/>
  <c r="EA101" i="7"/>
  <c r="EA172" i="7"/>
  <c r="DK101" i="7"/>
  <c r="DK172" i="7"/>
  <c r="EI101" i="7"/>
  <c r="EI172" i="7"/>
  <c r="DW101" i="7"/>
  <c r="DW172" i="7"/>
  <c r="DR100" i="7"/>
  <c r="DR171" i="7"/>
  <c r="EC101" i="7"/>
  <c r="EC172" i="7"/>
  <c r="DN100" i="7"/>
  <c r="DN171" i="7"/>
  <c r="DY101" i="7"/>
  <c r="DY172" i="7"/>
  <c r="EG101" i="7"/>
  <c r="EG172" i="7"/>
  <c r="DL100" i="7"/>
  <c r="DL171" i="7"/>
  <c r="EN100" i="7"/>
  <c r="EN171" i="7"/>
  <c r="EF100" i="7"/>
  <c r="EF171" i="7"/>
  <c r="EK101" i="7"/>
  <c r="EK172" i="7"/>
  <c r="EM101" i="7"/>
  <c r="EM172" i="7"/>
  <c r="DM101" i="7"/>
  <c r="DM172" i="7"/>
  <c r="EL100" i="7"/>
  <c r="EL171" i="7"/>
  <c r="DV100" i="7"/>
  <c r="DV171" i="7"/>
  <c r="ED100" i="7"/>
  <c r="ED171" i="7"/>
  <c r="DU101" i="7"/>
  <c r="DU172" i="7"/>
  <c r="DQ101" i="7"/>
  <c r="DQ172" i="7"/>
  <c r="DX100" i="7"/>
  <c r="DX171" i="7"/>
  <c r="DJ100" i="7"/>
  <c r="DJ171" i="7"/>
  <c r="DS101" i="7"/>
  <c r="DS172" i="7"/>
  <c r="DO101" i="7"/>
  <c r="DO172" i="7"/>
  <c r="DT100" i="7"/>
  <c r="DT171" i="7"/>
  <c r="DZ100" i="7"/>
  <c r="DZ171" i="7"/>
  <c r="DG101" i="7"/>
  <c r="DG172" i="7"/>
  <c r="DP171" i="7"/>
  <c r="DP100" i="7"/>
  <c r="EE101" i="7"/>
  <c r="EE172" i="7"/>
  <c r="EJ100" i="7"/>
  <c r="EJ171" i="7"/>
  <c r="DI102" i="7"/>
  <c r="DI173" i="7"/>
  <c r="EB100" i="7"/>
  <c r="EB171" i="7"/>
  <c r="BZ102" i="7"/>
  <c r="BZ173" i="7"/>
  <c r="BY100" i="7"/>
  <c r="BY171" i="7"/>
  <c r="CN101" i="7"/>
  <c r="CN172" i="7"/>
  <c r="CK100" i="7"/>
  <c r="CK171" i="7"/>
  <c r="CC100" i="7"/>
  <c r="CC171" i="7"/>
  <c r="CZ101" i="7"/>
  <c r="CZ172" i="7"/>
  <c r="CA100" i="7"/>
  <c r="CA171" i="7"/>
  <c r="CV101" i="7"/>
  <c r="CV172" i="7"/>
  <c r="CE100" i="7"/>
  <c r="CE171" i="7"/>
  <c r="CM100" i="7"/>
  <c r="CM171" i="7"/>
  <c r="DD101" i="7"/>
  <c r="DD172" i="7"/>
  <c r="CO100" i="7"/>
  <c r="CO171" i="7"/>
  <c r="CS100" i="7"/>
  <c r="CS171" i="7"/>
  <c r="DC100" i="7"/>
  <c r="DC171" i="7"/>
  <c r="DA100" i="7"/>
  <c r="DA171" i="7"/>
  <c r="BW101" i="7"/>
  <c r="BW172" i="7"/>
  <c r="BX101" i="7"/>
  <c r="BX172" i="7"/>
  <c r="DE100" i="7"/>
  <c r="DE171" i="7"/>
  <c r="CQ100" i="7"/>
  <c r="CQ171" i="7"/>
  <c r="CY100" i="7"/>
  <c r="CY171" i="7"/>
  <c r="CR101" i="7"/>
  <c r="CR172" i="7"/>
  <c r="CJ101" i="7"/>
  <c r="CJ172" i="7"/>
  <c r="CU100" i="7"/>
  <c r="CU171" i="7"/>
  <c r="CF101" i="7"/>
  <c r="CF172" i="7"/>
  <c r="CB101" i="7"/>
  <c r="CB172" i="7"/>
  <c r="CI100" i="7"/>
  <c r="CI171" i="7"/>
  <c r="CW100" i="7"/>
  <c r="CW171" i="7"/>
  <c r="CG100" i="7"/>
  <c r="CG171" i="7"/>
  <c r="L19" i="4"/>
  <c r="L18" i="4" s="1"/>
  <c r="AA78" i="4"/>
  <c r="AA47" i="4"/>
  <c r="AB47" i="4"/>
  <c r="AC47" i="4"/>
  <c r="AD47" i="4"/>
  <c r="AE47" i="4"/>
  <c r="AF47" i="4"/>
  <c r="AG47" i="4"/>
  <c r="AA46" i="4" l="1"/>
  <c r="AA28" i="4"/>
  <c r="AA30" i="4"/>
  <c r="AA26" i="4"/>
  <c r="AA25" i="4"/>
  <c r="AA27" i="4"/>
  <c r="AA31" i="4"/>
  <c r="AA29" i="4"/>
  <c r="AA24" i="4"/>
  <c r="AG46" i="4"/>
  <c r="AG29" i="4"/>
  <c r="AG26" i="4"/>
  <c r="AG25" i="4"/>
  <c r="AG31" i="4"/>
  <c r="AG27" i="4"/>
  <c r="AG28" i="4"/>
  <c r="AG30" i="4"/>
  <c r="AG24" i="4"/>
  <c r="AF46" i="4"/>
  <c r="AF26" i="4"/>
  <c r="AF28" i="4"/>
  <c r="AF24" i="4"/>
  <c r="AF27" i="4"/>
  <c r="AF30" i="4"/>
  <c r="AF31" i="4"/>
  <c r="AF25" i="4"/>
  <c r="AF29" i="4"/>
  <c r="AE46" i="4"/>
  <c r="AE27" i="4"/>
  <c r="AE28" i="4"/>
  <c r="AE25" i="4"/>
  <c r="AE26" i="4"/>
  <c r="AE29" i="4"/>
  <c r="AE30" i="4"/>
  <c r="AE24" i="4"/>
  <c r="AE31" i="4"/>
  <c r="AD46" i="4"/>
  <c r="AD27" i="4"/>
  <c r="AD28" i="4"/>
  <c r="AD26" i="4"/>
  <c r="AD30" i="4"/>
  <c r="AD24" i="4"/>
  <c r="AD29" i="4"/>
  <c r="AD25" i="4"/>
  <c r="AD31" i="4"/>
  <c r="AC46" i="4"/>
  <c r="AC25" i="4"/>
  <c r="AC28" i="4"/>
  <c r="AC29" i="4"/>
  <c r="AC30" i="4"/>
  <c r="AC26" i="4"/>
  <c r="AC24" i="4"/>
  <c r="AC31" i="4"/>
  <c r="AC27" i="4"/>
  <c r="AB46" i="4"/>
  <c r="AB25" i="4"/>
  <c r="AB28" i="4"/>
  <c r="AB30" i="4"/>
  <c r="AB26" i="4"/>
  <c r="AB29" i="4"/>
  <c r="AB27" i="4"/>
  <c r="AB24" i="4"/>
  <c r="AB31" i="4"/>
  <c r="ES170" i="7"/>
  <c r="ES167" i="7"/>
  <c r="CT101" i="7"/>
  <c r="CT172" i="7"/>
  <c r="DB101" i="7"/>
  <c r="DB172" i="7"/>
  <c r="CD101" i="7"/>
  <c r="CD172" i="7"/>
  <c r="CP173" i="7"/>
  <c r="CP102" i="7"/>
  <c r="CH173" i="7"/>
  <c r="CH102" i="7"/>
  <c r="CX102" i="7"/>
  <c r="CX173" i="7"/>
  <c r="CL172" i="7"/>
  <c r="CL101" i="7"/>
  <c r="EB101" i="7"/>
  <c r="EB172" i="7"/>
  <c r="DZ101" i="7"/>
  <c r="DZ172" i="7"/>
  <c r="DJ101" i="7"/>
  <c r="DJ172" i="7"/>
  <c r="DQ102" i="7"/>
  <c r="DQ173" i="7"/>
  <c r="EL101" i="7"/>
  <c r="EL172" i="7"/>
  <c r="DY102" i="7"/>
  <c r="DY173" i="7"/>
  <c r="EP171" i="7"/>
  <c r="DI103" i="7"/>
  <c r="DI174" i="7"/>
  <c r="EE173" i="7"/>
  <c r="EE102" i="7"/>
  <c r="DG102" i="7"/>
  <c r="DG173" i="7"/>
  <c r="DT101" i="7"/>
  <c r="DT172" i="7"/>
  <c r="DS102" i="7"/>
  <c r="DS173" i="7"/>
  <c r="DX101" i="7"/>
  <c r="DX172" i="7"/>
  <c r="DU102" i="7"/>
  <c r="DU173" i="7"/>
  <c r="DV101" i="7"/>
  <c r="DV172" i="7"/>
  <c r="DM102" i="7"/>
  <c r="DM173" i="7"/>
  <c r="EK102" i="7"/>
  <c r="EK173" i="7"/>
  <c r="EN101" i="7"/>
  <c r="EN172" i="7"/>
  <c r="EG102" i="7"/>
  <c r="EG173" i="7"/>
  <c r="DN101" i="7"/>
  <c r="DN172" i="7"/>
  <c r="DR101" i="7"/>
  <c r="DR172" i="7"/>
  <c r="EI102" i="7"/>
  <c r="EI173" i="7"/>
  <c r="EA102" i="7"/>
  <c r="EA173" i="7"/>
  <c r="DF101" i="7"/>
  <c r="DF172" i="7"/>
  <c r="DP101" i="7"/>
  <c r="DP172" i="7"/>
  <c r="EJ101" i="7"/>
  <c r="EJ172" i="7"/>
  <c r="DO173" i="7"/>
  <c r="DO102" i="7"/>
  <c r="ED101" i="7"/>
  <c r="ED172" i="7"/>
  <c r="EM102" i="7"/>
  <c r="EM173" i="7"/>
  <c r="EF101" i="7"/>
  <c r="EF172" i="7"/>
  <c r="DL101" i="7"/>
  <c r="DL172" i="7"/>
  <c r="EC102" i="7"/>
  <c r="EC173" i="7"/>
  <c r="DW173" i="7"/>
  <c r="DW102" i="7"/>
  <c r="DK102" i="7"/>
  <c r="DK173" i="7"/>
  <c r="DH101" i="7"/>
  <c r="DH172" i="7"/>
  <c r="EH101" i="7"/>
  <c r="EH172" i="7"/>
  <c r="CW101" i="7"/>
  <c r="CW172" i="7"/>
  <c r="CI101" i="7"/>
  <c r="CI172" i="7"/>
  <c r="CF102" i="7"/>
  <c r="CF173" i="7"/>
  <c r="CR102" i="7"/>
  <c r="CR173" i="7"/>
  <c r="CQ101" i="7"/>
  <c r="CQ172" i="7"/>
  <c r="BX173" i="7"/>
  <c r="BX102" i="7"/>
  <c r="BW102" i="7"/>
  <c r="BW173" i="7"/>
  <c r="DC101" i="7"/>
  <c r="DC172" i="7"/>
  <c r="CO101" i="7"/>
  <c r="CO172" i="7"/>
  <c r="CM101" i="7"/>
  <c r="CM172" i="7"/>
  <c r="CE101" i="7"/>
  <c r="CE172" i="7"/>
  <c r="CA101" i="7"/>
  <c r="CA172" i="7"/>
  <c r="CZ102" i="7"/>
  <c r="CZ173" i="7"/>
  <c r="CK101" i="7"/>
  <c r="CK172" i="7"/>
  <c r="CU101" i="7"/>
  <c r="CU172" i="7"/>
  <c r="CJ102" i="7"/>
  <c r="CJ173" i="7"/>
  <c r="CY101" i="7"/>
  <c r="CY172" i="7"/>
  <c r="DE101" i="7"/>
  <c r="DE172" i="7"/>
  <c r="DA101" i="7"/>
  <c r="DA172" i="7"/>
  <c r="CS101" i="7"/>
  <c r="CS172" i="7"/>
  <c r="DD102" i="7"/>
  <c r="DD173" i="7"/>
  <c r="CV102" i="7"/>
  <c r="CV173" i="7"/>
  <c r="BY101" i="7"/>
  <c r="BY172" i="7"/>
  <c r="CG101" i="7"/>
  <c r="CG172" i="7"/>
  <c r="CB102" i="7"/>
  <c r="CB173" i="7"/>
  <c r="CC101" i="7"/>
  <c r="CC172" i="7"/>
  <c r="CN173" i="7"/>
  <c r="CN102" i="7"/>
  <c r="BZ174" i="7"/>
  <c r="BZ103" i="7"/>
  <c r="AG79" i="4"/>
  <c r="AB83" i="4" s="1"/>
  <c r="AG78" i="4"/>
  <c r="AG80" i="4"/>
  <c r="AP46" i="4"/>
  <c r="Z47" i="4"/>
  <c r="E24" i="4"/>
  <c r="G24" i="4"/>
  <c r="Z46" i="4" l="1"/>
  <c r="Z32" i="4" s="1"/>
  <c r="Z26" i="4"/>
  <c r="Z31" i="4"/>
  <c r="Z27" i="4"/>
  <c r="Z24" i="4"/>
  <c r="Z28" i="4"/>
  <c r="Z29" i="4"/>
  <c r="Z30" i="4"/>
  <c r="Z25" i="4"/>
  <c r="EP172" i="7"/>
  <c r="ES172" i="7" s="1"/>
  <c r="CP103" i="7"/>
  <c r="CP174" i="7"/>
  <c r="CX103" i="7"/>
  <c r="CX174" i="7"/>
  <c r="DB173" i="7"/>
  <c r="DB102" i="7"/>
  <c r="CL102" i="7"/>
  <c r="CL173" i="7"/>
  <c r="CH103" i="7"/>
  <c r="CH174" i="7"/>
  <c r="CD173" i="7"/>
  <c r="CD102" i="7"/>
  <c r="CT102" i="7"/>
  <c r="CT173" i="7"/>
  <c r="DO103" i="7"/>
  <c r="DO174" i="7"/>
  <c r="DH102" i="7"/>
  <c r="DH173" i="7"/>
  <c r="DL102" i="7"/>
  <c r="DL173" i="7"/>
  <c r="EM103" i="7"/>
  <c r="EM174" i="7"/>
  <c r="DP102" i="7"/>
  <c r="DP173" i="7"/>
  <c r="EA103" i="7"/>
  <c r="EA174" i="7"/>
  <c r="DR102" i="7"/>
  <c r="DR173" i="7"/>
  <c r="EG103" i="7"/>
  <c r="EG174" i="7"/>
  <c r="EK103" i="7"/>
  <c r="EK174" i="7"/>
  <c r="DV102" i="7"/>
  <c r="DV173" i="7"/>
  <c r="DX102" i="7"/>
  <c r="DX173" i="7"/>
  <c r="DT173" i="7"/>
  <c r="DT102" i="7"/>
  <c r="DY103" i="7"/>
  <c r="DY174" i="7"/>
  <c r="DQ103" i="7"/>
  <c r="DQ174" i="7"/>
  <c r="DZ102" i="7"/>
  <c r="DZ173" i="7"/>
  <c r="EH102" i="7"/>
  <c r="EH173" i="7"/>
  <c r="DK103" i="7"/>
  <c r="DK174" i="7"/>
  <c r="EC103" i="7"/>
  <c r="EC174" i="7"/>
  <c r="EF102" i="7"/>
  <c r="EF173" i="7"/>
  <c r="ED102" i="7"/>
  <c r="ED173" i="7"/>
  <c r="EJ102" i="7"/>
  <c r="EJ173" i="7"/>
  <c r="DF102" i="7"/>
  <c r="DF173" i="7"/>
  <c r="EI103" i="7"/>
  <c r="EI174" i="7"/>
  <c r="DN102" i="7"/>
  <c r="DN173" i="7"/>
  <c r="EN102" i="7"/>
  <c r="EN173" i="7"/>
  <c r="DM103" i="7"/>
  <c r="DM174" i="7"/>
  <c r="DU103" i="7"/>
  <c r="DU174" i="7"/>
  <c r="DS103" i="7"/>
  <c r="DS174" i="7"/>
  <c r="DG103" i="7"/>
  <c r="DG174" i="7"/>
  <c r="DI104" i="7"/>
  <c r="DI175" i="7"/>
  <c r="DW103" i="7"/>
  <c r="DW174" i="7"/>
  <c r="EE103" i="7"/>
  <c r="EE174" i="7"/>
  <c r="EL102" i="7"/>
  <c r="EL173" i="7"/>
  <c r="DJ102" i="7"/>
  <c r="DJ173" i="7"/>
  <c r="EB102" i="7"/>
  <c r="EB173" i="7"/>
  <c r="CS102" i="7"/>
  <c r="CS173" i="7"/>
  <c r="CY102" i="7"/>
  <c r="CY173" i="7"/>
  <c r="CU102" i="7"/>
  <c r="CU173" i="7"/>
  <c r="CK102" i="7"/>
  <c r="CK173" i="7"/>
  <c r="CA102" i="7"/>
  <c r="CA173" i="7"/>
  <c r="CO102" i="7"/>
  <c r="CO173" i="7"/>
  <c r="BW103" i="7"/>
  <c r="BW174" i="7"/>
  <c r="CQ173" i="7"/>
  <c r="CQ102" i="7"/>
  <c r="CI102" i="7"/>
  <c r="CI173" i="7"/>
  <c r="CV103" i="7"/>
  <c r="CV174" i="7"/>
  <c r="BX103" i="7"/>
  <c r="BX174" i="7"/>
  <c r="BZ175" i="7"/>
  <c r="BZ104" i="7"/>
  <c r="CG102" i="7"/>
  <c r="CG173" i="7"/>
  <c r="CC102" i="7"/>
  <c r="CC173" i="7"/>
  <c r="CN103" i="7"/>
  <c r="CN174" i="7"/>
  <c r="CB103" i="7"/>
  <c r="CB174" i="7"/>
  <c r="BY102" i="7"/>
  <c r="BY173" i="7"/>
  <c r="DD103" i="7"/>
  <c r="DD174" i="7"/>
  <c r="DA102" i="7"/>
  <c r="DA173" i="7"/>
  <c r="DE102" i="7"/>
  <c r="DE173" i="7"/>
  <c r="CJ103" i="7"/>
  <c r="CJ174" i="7"/>
  <c r="CZ103" i="7"/>
  <c r="CZ174" i="7"/>
  <c r="CE102" i="7"/>
  <c r="CE173" i="7"/>
  <c r="CM102" i="7"/>
  <c r="CM173" i="7"/>
  <c r="DC102" i="7"/>
  <c r="DC173" i="7"/>
  <c r="CR103" i="7"/>
  <c r="CR174" i="7"/>
  <c r="CF103" i="7"/>
  <c r="CF174" i="7"/>
  <c r="CW102" i="7"/>
  <c r="CW173" i="7"/>
  <c r="P24" i="4"/>
  <c r="P30" i="4" s="1"/>
  <c r="AA83" i="4"/>
  <c r="AA82" i="4" s="1"/>
  <c r="AC83" i="4"/>
  <c r="AC82" i="4" s="1"/>
  <c r="Z62" i="4"/>
  <c r="Z61" i="4" s="1"/>
  <c r="AG81" i="4"/>
  <c r="AG82" i="4" s="1"/>
  <c r="AB82" i="4"/>
  <c r="G31" i="4"/>
  <c r="G30" i="4" s="1"/>
  <c r="H31" i="4"/>
  <c r="H30" i="4" s="1"/>
  <c r="E31" i="4"/>
  <c r="E30" i="4" s="1"/>
  <c r="CL103" i="7" l="1"/>
  <c r="CL174" i="7"/>
  <c r="DB174" i="7"/>
  <c r="DB103" i="7"/>
  <c r="CX104" i="7"/>
  <c r="CX175" i="7"/>
  <c r="CT103" i="7"/>
  <c r="CT174" i="7"/>
  <c r="CH104" i="7"/>
  <c r="CH175" i="7"/>
  <c r="CP175" i="7"/>
  <c r="CP104" i="7"/>
  <c r="CD103" i="7"/>
  <c r="CD174" i="7"/>
  <c r="EE104" i="7"/>
  <c r="EE175" i="7"/>
  <c r="DM104" i="7"/>
  <c r="DM175" i="7"/>
  <c r="DF103" i="7"/>
  <c r="DF174" i="7"/>
  <c r="EC104" i="7"/>
  <c r="EC175" i="7"/>
  <c r="EH103" i="7"/>
  <c r="EH174" i="7"/>
  <c r="DQ104" i="7"/>
  <c r="DQ175" i="7"/>
  <c r="DV103" i="7"/>
  <c r="DV174" i="7"/>
  <c r="EA104" i="7"/>
  <c r="EA175" i="7"/>
  <c r="EM104" i="7"/>
  <c r="EM175" i="7"/>
  <c r="EB103" i="7"/>
  <c r="EB174" i="7"/>
  <c r="EP173" i="7"/>
  <c r="ES173" i="7" s="1"/>
  <c r="DT103" i="7"/>
  <c r="DT174" i="7"/>
  <c r="DI105" i="7"/>
  <c r="DI176" i="7"/>
  <c r="EG104" i="7"/>
  <c r="EG175" i="7"/>
  <c r="DJ103" i="7"/>
  <c r="DJ174" i="7"/>
  <c r="DS104" i="7"/>
  <c r="DS175" i="7"/>
  <c r="DN103" i="7"/>
  <c r="DN174" i="7"/>
  <c r="ED103" i="7"/>
  <c r="ED174" i="7"/>
  <c r="DH103" i="7"/>
  <c r="DH174" i="7"/>
  <c r="EL103" i="7"/>
  <c r="EL174" i="7"/>
  <c r="DW175" i="7"/>
  <c r="DW104" i="7"/>
  <c r="DG104" i="7"/>
  <c r="DG175" i="7"/>
  <c r="DU104" i="7"/>
  <c r="DU175" i="7"/>
  <c r="EN103" i="7"/>
  <c r="EN174" i="7"/>
  <c r="EI104" i="7"/>
  <c r="EI175" i="7"/>
  <c r="EJ103" i="7"/>
  <c r="EJ174" i="7"/>
  <c r="EF103" i="7"/>
  <c r="EF174" i="7"/>
  <c r="DK104" i="7"/>
  <c r="DK175" i="7"/>
  <c r="DZ103" i="7"/>
  <c r="DZ174" i="7"/>
  <c r="DY104" i="7"/>
  <c r="DY175" i="7"/>
  <c r="DX103" i="7"/>
  <c r="DX174" i="7"/>
  <c r="EK104" i="7"/>
  <c r="EK175" i="7"/>
  <c r="DR103" i="7"/>
  <c r="DR174" i="7"/>
  <c r="DP103" i="7"/>
  <c r="DP174" i="7"/>
  <c r="DL103" i="7"/>
  <c r="DL174" i="7"/>
  <c r="DO104" i="7"/>
  <c r="DO175" i="7"/>
  <c r="CF104" i="7"/>
  <c r="CF175" i="7"/>
  <c r="DC103" i="7"/>
  <c r="DC174" i="7"/>
  <c r="CE103" i="7"/>
  <c r="CE174" i="7"/>
  <c r="DE103" i="7"/>
  <c r="DE174" i="7"/>
  <c r="DD104" i="7"/>
  <c r="DD175" i="7"/>
  <c r="BY103" i="7"/>
  <c r="BY174" i="7"/>
  <c r="CN104" i="7"/>
  <c r="CN175" i="7"/>
  <c r="CV104" i="7"/>
  <c r="CV175" i="7"/>
  <c r="BW104" i="7"/>
  <c r="BW175" i="7"/>
  <c r="CK103" i="7"/>
  <c r="CK174" i="7"/>
  <c r="CW103" i="7"/>
  <c r="CW174" i="7"/>
  <c r="CM103" i="7"/>
  <c r="CM174" i="7"/>
  <c r="CJ104" i="7"/>
  <c r="CJ175" i="7"/>
  <c r="DA103" i="7"/>
  <c r="DA174" i="7"/>
  <c r="CB104" i="7"/>
  <c r="CB175" i="7"/>
  <c r="CC103" i="7"/>
  <c r="CC174" i="7"/>
  <c r="CG103" i="7"/>
  <c r="CG174" i="7"/>
  <c r="CQ103" i="7"/>
  <c r="CQ174" i="7"/>
  <c r="CY103" i="7"/>
  <c r="CY174" i="7"/>
  <c r="CR104" i="7"/>
  <c r="CR175" i="7"/>
  <c r="CZ104" i="7"/>
  <c r="CZ175" i="7"/>
  <c r="BZ105" i="7"/>
  <c r="BZ176" i="7"/>
  <c r="BX104" i="7"/>
  <c r="BX175" i="7"/>
  <c r="CI103" i="7"/>
  <c r="CI174" i="7"/>
  <c r="CO103" i="7"/>
  <c r="CO174" i="7"/>
  <c r="CA103" i="7"/>
  <c r="CA174" i="7"/>
  <c r="CU103" i="7"/>
  <c r="CU174" i="7"/>
  <c r="CS103" i="7"/>
  <c r="CS174" i="7"/>
  <c r="AD83" i="4"/>
  <c r="AD82" i="4" s="1"/>
  <c r="H19" i="4"/>
  <c r="H18" i="4" s="1"/>
  <c r="J19" i="4"/>
  <c r="J18" i="4" s="1"/>
  <c r="K19" i="4"/>
  <c r="K18" i="4" s="1"/>
  <c r="CD175" i="7" l="1"/>
  <c r="CD104" i="7"/>
  <c r="CH105" i="7"/>
  <c r="CH176" i="7"/>
  <c r="CX105" i="7"/>
  <c r="CX176" i="7"/>
  <c r="CL104" i="7"/>
  <c r="CL175" i="7"/>
  <c r="CP176" i="7"/>
  <c r="CP105" i="7"/>
  <c r="DB175" i="7"/>
  <c r="DB104" i="7"/>
  <c r="CT175" i="7"/>
  <c r="CT104" i="7"/>
  <c r="DO105" i="7"/>
  <c r="DO176" i="7"/>
  <c r="DP104" i="7"/>
  <c r="DP175" i="7"/>
  <c r="DK105" i="7"/>
  <c r="DK176" i="7"/>
  <c r="EJ104" i="7"/>
  <c r="EJ175" i="7"/>
  <c r="EN104" i="7"/>
  <c r="EN175" i="7"/>
  <c r="EL104" i="7"/>
  <c r="EL175" i="7"/>
  <c r="ED104" i="7"/>
  <c r="ED175" i="7"/>
  <c r="DS105" i="7"/>
  <c r="DS176" i="7"/>
  <c r="EG105" i="7"/>
  <c r="EG176" i="7"/>
  <c r="EP174" i="7"/>
  <c r="DW105" i="7"/>
  <c r="DW176" i="7"/>
  <c r="EM105" i="7"/>
  <c r="EM176" i="7"/>
  <c r="DV104" i="7"/>
  <c r="DV175" i="7"/>
  <c r="EH104" i="7"/>
  <c r="EH175" i="7"/>
  <c r="DF104" i="7"/>
  <c r="DF175" i="7"/>
  <c r="EE105" i="7"/>
  <c r="EE176" i="7"/>
  <c r="DL104" i="7"/>
  <c r="DL175" i="7"/>
  <c r="DR104" i="7"/>
  <c r="DR175" i="7"/>
  <c r="DX104" i="7"/>
  <c r="DX175" i="7"/>
  <c r="DZ104" i="7"/>
  <c r="DZ175" i="7"/>
  <c r="EF104" i="7"/>
  <c r="EF175" i="7"/>
  <c r="EI105" i="7"/>
  <c r="EI176" i="7"/>
  <c r="DU105" i="7"/>
  <c r="DU176" i="7"/>
  <c r="DH104" i="7"/>
  <c r="DH175" i="7"/>
  <c r="DN104" i="7"/>
  <c r="DN175" i="7"/>
  <c r="DJ104" i="7"/>
  <c r="DJ175" i="7"/>
  <c r="DI106" i="7"/>
  <c r="DI177" i="7"/>
  <c r="EB104" i="7"/>
  <c r="EB175" i="7"/>
  <c r="EA105" i="7"/>
  <c r="EA176" i="7"/>
  <c r="DQ105" i="7"/>
  <c r="DQ176" i="7"/>
  <c r="EC105" i="7"/>
  <c r="EC176" i="7"/>
  <c r="DM105" i="7"/>
  <c r="DM176" i="7"/>
  <c r="DY105" i="7"/>
  <c r="DY176" i="7"/>
  <c r="DG105" i="7"/>
  <c r="DG176" i="7"/>
  <c r="DT104" i="7"/>
  <c r="DT175" i="7"/>
  <c r="EK105" i="7"/>
  <c r="EK176" i="7"/>
  <c r="CA104" i="7"/>
  <c r="CA175" i="7"/>
  <c r="CR105" i="7"/>
  <c r="CR176" i="7"/>
  <c r="CC104" i="7"/>
  <c r="CC175" i="7"/>
  <c r="CJ105" i="7"/>
  <c r="CJ176" i="7"/>
  <c r="CK104" i="7"/>
  <c r="CK175" i="7"/>
  <c r="CN105" i="7"/>
  <c r="CN176" i="7"/>
  <c r="DD105" i="7"/>
  <c r="DD176" i="7"/>
  <c r="DC104" i="7"/>
  <c r="DC175" i="7"/>
  <c r="CI104" i="7"/>
  <c r="CI175" i="7"/>
  <c r="CV105" i="7"/>
  <c r="CV176" i="7"/>
  <c r="CO104" i="7"/>
  <c r="CO175" i="7"/>
  <c r="CZ105" i="7"/>
  <c r="CZ176" i="7"/>
  <c r="CY104" i="7"/>
  <c r="CY175" i="7"/>
  <c r="CG104" i="7"/>
  <c r="CG175" i="7"/>
  <c r="CB105" i="7"/>
  <c r="CB176" i="7"/>
  <c r="DA104" i="7"/>
  <c r="DA175" i="7"/>
  <c r="CM104" i="7"/>
  <c r="CM175" i="7"/>
  <c r="BW105" i="7"/>
  <c r="BW176" i="7"/>
  <c r="CS104" i="7"/>
  <c r="CS175" i="7"/>
  <c r="BZ106" i="7"/>
  <c r="BZ177" i="7"/>
  <c r="CQ175" i="7"/>
  <c r="CQ104" i="7"/>
  <c r="CW104" i="7"/>
  <c r="CW175" i="7"/>
  <c r="CU104" i="7"/>
  <c r="CU175" i="7"/>
  <c r="BX105" i="7"/>
  <c r="BX176" i="7"/>
  <c r="BY104" i="7"/>
  <c r="BY175" i="7"/>
  <c r="DE104" i="7"/>
  <c r="DE175" i="7"/>
  <c r="CE104" i="7"/>
  <c r="CE175" i="7"/>
  <c r="CF105" i="7"/>
  <c r="CF176" i="7"/>
  <c r="AA62" i="4"/>
  <c r="AA61" i="4" s="1"/>
  <c r="E19" i="4"/>
  <c r="E18" i="4" s="1"/>
  <c r="DB105" i="7" l="1"/>
  <c r="DB176" i="7"/>
  <c r="CH106" i="7"/>
  <c r="CH177" i="7"/>
  <c r="CT176" i="7"/>
  <c r="CT105" i="7"/>
  <c r="CP106" i="7"/>
  <c r="CP177" i="7"/>
  <c r="CD105" i="7"/>
  <c r="CD176" i="7"/>
  <c r="CL105" i="7"/>
  <c r="CL176" i="7"/>
  <c r="CX106" i="7"/>
  <c r="CX177" i="7"/>
  <c r="EP175" i="7"/>
  <c r="ES169" i="7" s="1"/>
  <c r="DT105" i="7"/>
  <c r="DT176" i="7"/>
  <c r="DY106" i="7"/>
  <c r="DY177" i="7"/>
  <c r="EC106" i="7"/>
  <c r="EC177" i="7"/>
  <c r="EA106" i="7"/>
  <c r="EA177" i="7"/>
  <c r="DI107" i="7"/>
  <c r="DI178" i="7"/>
  <c r="DN105" i="7"/>
  <c r="DN176" i="7"/>
  <c r="DU106" i="7"/>
  <c r="DU177" i="7"/>
  <c r="EF105" i="7"/>
  <c r="EF176" i="7"/>
  <c r="DX105" i="7"/>
  <c r="DX176" i="7"/>
  <c r="DL105" i="7"/>
  <c r="DL176" i="7"/>
  <c r="DF105" i="7"/>
  <c r="DF176" i="7"/>
  <c r="DV105" i="7"/>
  <c r="DV176" i="7"/>
  <c r="DW106" i="7"/>
  <c r="DW177" i="7"/>
  <c r="DS106" i="7"/>
  <c r="DS177" i="7"/>
  <c r="EL105" i="7"/>
  <c r="EL176" i="7"/>
  <c r="EJ105" i="7"/>
  <c r="EJ176" i="7"/>
  <c r="DP105" i="7"/>
  <c r="DP176" i="7"/>
  <c r="EK106" i="7"/>
  <c r="EK177" i="7"/>
  <c r="DG106" i="7"/>
  <c r="DG177" i="7"/>
  <c r="DM106" i="7"/>
  <c r="DM177" i="7"/>
  <c r="DQ106" i="7"/>
  <c r="DQ177" i="7"/>
  <c r="EB105" i="7"/>
  <c r="EB176" i="7"/>
  <c r="DJ105" i="7"/>
  <c r="DJ176" i="7"/>
  <c r="DH105" i="7"/>
  <c r="DH176" i="7"/>
  <c r="EI106" i="7"/>
  <c r="EI177" i="7"/>
  <c r="DZ105" i="7"/>
  <c r="DZ176" i="7"/>
  <c r="DR105" i="7"/>
  <c r="DR176" i="7"/>
  <c r="EE177" i="7"/>
  <c r="EE106" i="7"/>
  <c r="EH105" i="7"/>
  <c r="EH176" i="7"/>
  <c r="EM106" i="7"/>
  <c r="EM177" i="7"/>
  <c r="EG106" i="7"/>
  <c r="EG177" i="7"/>
  <c r="ED105" i="7"/>
  <c r="ED176" i="7"/>
  <c r="EN105" i="7"/>
  <c r="EN176" i="7"/>
  <c r="DK106" i="7"/>
  <c r="DK177" i="7"/>
  <c r="DO106" i="7"/>
  <c r="DO177" i="7"/>
  <c r="CE105" i="7"/>
  <c r="CE176" i="7"/>
  <c r="BY105" i="7"/>
  <c r="BY176" i="7"/>
  <c r="CU105" i="7"/>
  <c r="CU176" i="7"/>
  <c r="CS105" i="7"/>
  <c r="CS176" i="7"/>
  <c r="BW106" i="7"/>
  <c r="BW177" i="7"/>
  <c r="CM105" i="7"/>
  <c r="CM176" i="7"/>
  <c r="CB106" i="7"/>
  <c r="CB177" i="7"/>
  <c r="CZ106" i="7"/>
  <c r="CZ177" i="7"/>
  <c r="CI105" i="7"/>
  <c r="CI176" i="7"/>
  <c r="CN177" i="7"/>
  <c r="CN106" i="7"/>
  <c r="CJ106" i="7"/>
  <c r="CJ177" i="7"/>
  <c r="CF106" i="7"/>
  <c r="CF177" i="7"/>
  <c r="DE105" i="7"/>
  <c r="DE176" i="7"/>
  <c r="BX106" i="7"/>
  <c r="BX177" i="7"/>
  <c r="CW105" i="7"/>
  <c r="CW176" i="7"/>
  <c r="BZ107" i="7"/>
  <c r="BZ178" i="7"/>
  <c r="DA105" i="7"/>
  <c r="DA176" i="7"/>
  <c r="CG105" i="7"/>
  <c r="CG176" i="7"/>
  <c r="CY105" i="7"/>
  <c r="CY176" i="7"/>
  <c r="CO105" i="7"/>
  <c r="CO176" i="7"/>
  <c r="CV106" i="7"/>
  <c r="CV177" i="7"/>
  <c r="DC105" i="7"/>
  <c r="DC176" i="7"/>
  <c r="DD106" i="7"/>
  <c r="DD177" i="7"/>
  <c r="CR106" i="7"/>
  <c r="CR177" i="7"/>
  <c r="CQ105" i="7"/>
  <c r="CQ176" i="7"/>
  <c r="CK105" i="7"/>
  <c r="CK176" i="7"/>
  <c r="CC105" i="7"/>
  <c r="CC176" i="7"/>
  <c r="CA105" i="7"/>
  <c r="CA176" i="7"/>
  <c r="H36" i="1"/>
  <c r="ES175" i="7" l="1"/>
  <c r="ES152" i="7"/>
  <c r="CL177" i="7"/>
  <c r="CL106" i="7"/>
  <c r="CH178" i="7"/>
  <c r="CH107" i="7"/>
  <c r="CT177" i="7"/>
  <c r="CT106" i="7"/>
  <c r="CP107" i="7"/>
  <c r="CP178" i="7"/>
  <c r="EP176" i="7"/>
  <c r="ES163" i="7" s="1"/>
  <c r="CX178" i="7"/>
  <c r="CX107" i="7"/>
  <c r="CD177" i="7"/>
  <c r="CD106" i="7"/>
  <c r="DB177" i="7"/>
  <c r="DB106" i="7"/>
  <c r="EE107" i="7"/>
  <c r="EE178" i="7"/>
  <c r="DK107" i="7"/>
  <c r="DK178" i="7"/>
  <c r="ED106" i="7"/>
  <c r="ED177" i="7"/>
  <c r="EM107" i="7"/>
  <c r="EM178" i="7"/>
  <c r="DZ106" i="7"/>
  <c r="DZ177" i="7"/>
  <c r="DH106" i="7"/>
  <c r="DH177" i="7"/>
  <c r="EB106" i="7"/>
  <c r="EB177" i="7"/>
  <c r="DM107" i="7"/>
  <c r="DM178" i="7"/>
  <c r="EK107" i="7"/>
  <c r="EK178" i="7"/>
  <c r="EJ106" i="7"/>
  <c r="EJ177" i="7"/>
  <c r="DS107" i="7"/>
  <c r="DS178" i="7"/>
  <c r="DV106" i="7"/>
  <c r="DV177" i="7"/>
  <c r="DL106" i="7"/>
  <c r="DL177" i="7"/>
  <c r="EF106" i="7"/>
  <c r="EF177" i="7"/>
  <c r="DN106" i="7"/>
  <c r="DN177" i="7"/>
  <c r="EA107" i="7"/>
  <c r="EA178" i="7"/>
  <c r="DY107" i="7"/>
  <c r="DY178" i="7"/>
  <c r="DO107" i="7"/>
  <c r="DO178" i="7"/>
  <c r="EN106" i="7"/>
  <c r="EN177" i="7"/>
  <c r="EG107" i="7"/>
  <c r="EG178" i="7"/>
  <c r="EH106" i="7"/>
  <c r="EH177" i="7"/>
  <c r="DR106" i="7"/>
  <c r="DR177" i="7"/>
  <c r="EI107" i="7"/>
  <c r="EI178" i="7"/>
  <c r="DJ106" i="7"/>
  <c r="DJ177" i="7"/>
  <c r="DQ107" i="7"/>
  <c r="DQ178" i="7"/>
  <c r="DG107" i="7"/>
  <c r="DG178" i="7"/>
  <c r="DP106" i="7"/>
  <c r="DP177" i="7"/>
  <c r="EL106" i="7"/>
  <c r="EL177" i="7"/>
  <c r="DW107" i="7"/>
  <c r="DW178" i="7"/>
  <c r="DF106" i="7"/>
  <c r="DF177" i="7"/>
  <c r="DX106" i="7"/>
  <c r="DX177" i="7"/>
  <c r="DU107" i="7"/>
  <c r="DU178" i="7"/>
  <c r="DI108" i="7"/>
  <c r="DI179" i="7"/>
  <c r="EC107" i="7"/>
  <c r="EC178" i="7"/>
  <c r="DT177" i="7"/>
  <c r="DT106" i="7"/>
  <c r="CC106" i="7"/>
  <c r="CC177" i="7"/>
  <c r="CN107" i="7"/>
  <c r="CN178" i="7"/>
  <c r="CQ106" i="7"/>
  <c r="CQ177" i="7"/>
  <c r="CG106" i="7"/>
  <c r="CG177" i="7"/>
  <c r="BX107" i="7"/>
  <c r="BX178" i="7"/>
  <c r="CM106" i="7"/>
  <c r="CM177" i="7"/>
  <c r="CS106" i="7"/>
  <c r="CS177" i="7"/>
  <c r="DD107" i="7"/>
  <c r="DD178" i="7"/>
  <c r="CO106" i="7"/>
  <c r="CO177" i="7"/>
  <c r="BZ108" i="7"/>
  <c r="BZ179" i="7"/>
  <c r="CF107" i="7"/>
  <c r="CF178" i="7"/>
  <c r="CI106" i="7"/>
  <c r="CI177" i="7"/>
  <c r="BY106" i="7"/>
  <c r="BY177" i="7"/>
  <c r="CA106" i="7"/>
  <c r="CA177" i="7"/>
  <c r="CK106" i="7"/>
  <c r="CK177" i="7"/>
  <c r="CR107" i="7"/>
  <c r="CR178" i="7"/>
  <c r="DC106" i="7"/>
  <c r="DC177" i="7"/>
  <c r="CV107" i="7"/>
  <c r="CV178" i="7"/>
  <c r="CY106" i="7"/>
  <c r="CY177" i="7"/>
  <c r="DA106" i="7"/>
  <c r="DA177" i="7"/>
  <c r="CW106" i="7"/>
  <c r="CW177" i="7"/>
  <c r="DE106" i="7"/>
  <c r="DE177" i="7"/>
  <c r="CJ107" i="7"/>
  <c r="CJ178" i="7"/>
  <c r="CZ107" i="7"/>
  <c r="CZ178" i="7"/>
  <c r="CB107" i="7"/>
  <c r="CB178" i="7"/>
  <c r="BW107" i="7"/>
  <c r="BW178" i="7"/>
  <c r="CU106" i="7"/>
  <c r="CU177" i="7"/>
  <c r="CE106" i="7"/>
  <c r="CE177" i="7"/>
  <c r="ES176" i="7" l="1"/>
  <c r="ES159" i="7"/>
  <c r="CH179" i="7"/>
  <c r="CH108" i="7"/>
  <c r="DB178" i="7"/>
  <c r="DB107" i="7"/>
  <c r="CX179" i="7"/>
  <c r="CX108" i="7"/>
  <c r="CT107" i="7"/>
  <c r="CT178" i="7"/>
  <c r="CL107" i="7"/>
  <c r="CL178" i="7"/>
  <c r="CP179" i="7"/>
  <c r="CP108" i="7"/>
  <c r="CD178" i="7"/>
  <c r="CD107" i="7"/>
  <c r="EP177" i="7"/>
  <c r="ES157" i="7" s="1"/>
  <c r="DT107" i="7"/>
  <c r="DT178" i="7"/>
  <c r="EC108" i="7"/>
  <c r="EC179" i="7"/>
  <c r="DU108" i="7"/>
  <c r="DU179" i="7"/>
  <c r="DF107" i="7"/>
  <c r="DF178" i="7"/>
  <c r="EL107" i="7"/>
  <c r="EL178" i="7"/>
  <c r="DG108" i="7"/>
  <c r="DG179" i="7"/>
  <c r="DJ107" i="7"/>
  <c r="DJ178" i="7"/>
  <c r="DR107" i="7"/>
  <c r="DR178" i="7"/>
  <c r="EG108" i="7"/>
  <c r="EG179" i="7"/>
  <c r="DO108" i="7"/>
  <c r="DO179" i="7"/>
  <c r="EA108" i="7"/>
  <c r="EA179" i="7"/>
  <c r="EF107" i="7"/>
  <c r="EF178" i="7"/>
  <c r="DV107" i="7"/>
  <c r="DV178" i="7"/>
  <c r="EJ107" i="7"/>
  <c r="EJ178" i="7"/>
  <c r="DM108" i="7"/>
  <c r="DM179" i="7"/>
  <c r="DH107" i="7"/>
  <c r="DH178" i="7"/>
  <c r="EM108" i="7"/>
  <c r="EM179" i="7"/>
  <c r="DK108" i="7"/>
  <c r="DK179" i="7"/>
  <c r="DI109" i="7"/>
  <c r="DI180" i="7"/>
  <c r="DX107" i="7"/>
  <c r="DX178" i="7"/>
  <c r="DW108" i="7"/>
  <c r="DW179" i="7"/>
  <c r="DP107" i="7"/>
  <c r="DP178" i="7"/>
  <c r="DQ108" i="7"/>
  <c r="DQ179" i="7"/>
  <c r="EI108" i="7"/>
  <c r="EI179" i="7"/>
  <c r="EH107" i="7"/>
  <c r="EH178" i="7"/>
  <c r="EN107" i="7"/>
  <c r="EN178" i="7"/>
  <c r="DY108" i="7"/>
  <c r="DY179" i="7"/>
  <c r="DN107" i="7"/>
  <c r="DN178" i="7"/>
  <c r="DL107" i="7"/>
  <c r="DL178" i="7"/>
  <c r="DS108" i="7"/>
  <c r="DS179" i="7"/>
  <c r="EK108" i="7"/>
  <c r="EK179" i="7"/>
  <c r="EB107" i="7"/>
  <c r="EB178" i="7"/>
  <c r="DZ107" i="7"/>
  <c r="DZ178" i="7"/>
  <c r="ED178" i="7"/>
  <c r="ED107" i="7"/>
  <c r="EE108" i="7"/>
  <c r="EE179" i="7"/>
  <c r="CU107" i="7"/>
  <c r="CU178" i="7"/>
  <c r="CB108" i="7"/>
  <c r="CB179" i="7"/>
  <c r="CJ108" i="7"/>
  <c r="CJ179" i="7"/>
  <c r="CW107" i="7"/>
  <c r="CW178" i="7"/>
  <c r="DA107" i="7"/>
  <c r="DA178" i="7"/>
  <c r="CV108" i="7"/>
  <c r="CV179" i="7"/>
  <c r="CR108" i="7"/>
  <c r="CR179" i="7"/>
  <c r="CA107" i="7"/>
  <c r="CA178" i="7"/>
  <c r="CF108" i="7"/>
  <c r="CF179" i="7"/>
  <c r="DD108" i="7"/>
  <c r="DD179" i="7"/>
  <c r="BX108" i="7"/>
  <c r="BX179" i="7"/>
  <c r="CN108" i="7"/>
  <c r="CN179" i="7"/>
  <c r="BW108" i="7"/>
  <c r="BW179" i="7"/>
  <c r="DE107" i="7"/>
  <c r="DE178" i="7"/>
  <c r="CY107" i="7"/>
  <c r="CY178" i="7"/>
  <c r="DC107" i="7"/>
  <c r="DC178" i="7"/>
  <c r="CK107" i="7"/>
  <c r="CK178" i="7"/>
  <c r="BY107" i="7"/>
  <c r="BY178" i="7"/>
  <c r="CI107" i="7"/>
  <c r="CI178" i="7"/>
  <c r="BZ109" i="7"/>
  <c r="BZ180" i="7"/>
  <c r="CO107" i="7"/>
  <c r="CO178" i="7"/>
  <c r="CM107" i="7"/>
  <c r="CM178" i="7"/>
  <c r="CE107" i="7"/>
  <c r="CE178" i="7"/>
  <c r="CZ108" i="7"/>
  <c r="CZ179" i="7"/>
  <c r="CS107" i="7"/>
  <c r="CS178" i="7"/>
  <c r="CG107" i="7"/>
  <c r="CG178" i="7"/>
  <c r="CQ107" i="7"/>
  <c r="CQ178" i="7"/>
  <c r="CC107" i="7"/>
  <c r="CC178" i="7"/>
  <c r="L25" i="2"/>
  <c r="K25" i="2"/>
  <c r="J25" i="2"/>
  <c r="L24" i="2"/>
  <c r="K24" i="2"/>
  <c r="J24" i="2"/>
  <c r="L23" i="2"/>
  <c r="K23" i="2"/>
  <c r="J23" i="2"/>
  <c r="E36" i="1"/>
  <c r="F36" i="1"/>
  <c r="G36" i="1"/>
  <c r="E37" i="1"/>
  <c r="F37" i="1"/>
  <c r="G37" i="1"/>
  <c r="E38" i="1"/>
  <c r="F38" i="1"/>
  <c r="G38" i="1"/>
  <c r="H37" i="1"/>
  <c r="H38" i="1"/>
  <c r="H32" i="2" s="1"/>
  <c r="I7" i="1"/>
  <c r="F9" i="1" s="1"/>
  <c r="F39" i="1" s="1"/>
  <c r="I8" i="1"/>
  <c r="G9" i="1" s="1"/>
  <c r="G39" i="1" s="1"/>
  <c r="E39" i="1"/>
  <c r="CT179" i="7" l="1"/>
  <c r="CT108" i="7"/>
  <c r="CP180" i="7"/>
  <c r="CP109" i="7"/>
  <c r="DB179" i="7"/>
  <c r="DB108" i="7"/>
  <c r="CD179" i="7"/>
  <c r="CD108" i="7"/>
  <c r="CX109" i="7"/>
  <c r="CX180" i="7"/>
  <c r="CH109" i="7"/>
  <c r="CH180" i="7"/>
  <c r="CL179" i="7"/>
  <c r="CL108" i="7"/>
  <c r="DZ108" i="7"/>
  <c r="DZ179" i="7"/>
  <c r="DL108" i="7"/>
  <c r="DL179" i="7"/>
  <c r="DY109" i="7"/>
  <c r="DY180" i="7"/>
  <c r="DQ109" i="7"/>
  <c r="DQ180" i="7"/>
  <c r="DW109" i="7"/>
  <c r="DW180" i="7"/>
  <c r="EM109" i="7"/>
  <c r="EM180" i="7"/>
  <c r="DV108" i="7"/>
  <c r="DV179" i="7"/>
  <c r="EG109" i="7"/>
  <c r="EG180" i="7"/>
  <c r="EL108" i="7"/>
  <c r="EL179" i="7"/>
  <c r="EP178" i="7"/>
  <c r="ED179" i="7"/>
  <c r="ED108" i="7"/>
  <c r="EB108" i="7"/>
  <c r="EB179" i="7"/>
  <c r="DS109" i="7"/>
  <c r="DS180" i="7"/>
  <c r="DN108" i="7"/>
  <c r="DN179" i="7"/>
  <c r="EN108" i="7"/>
  <c r="EN179" i="7"/>
  <c r="EI109" i="7"/>
  <c r="EI180" i="7"/>
  <c r="DP108" i="7"/>
  <c r="DP179" i="7"/>
  <c r="DX108" i="7"/>
  <c r="DX179" i="7"/>
  <c r="DK109" i="7"/>
  <c r="DK180" i="7"/>
  <c r="DH108" i="7"/>
  <c r="DH179" i="7"/>
  <c r="EJ108" i="7"/>
  <c r="EJ179" i="7"/>
  <c r="EF108" i="7"/>
  <c r="EF179" i="7"/>
  <c r="DO109" i="7"/>
  <c r="DO180" i="7"/>
  <c r="DR108" i="7"/>
  <c r="DR179" i="7"/>
  <c r="DG109" i="7"/>
  <c r="DG180" i="7"/>
  <c r="DF108" i="7"/>
  <c r="DF179" i="7"/>
  <c r="EC109" i="7"/>
  <c r="EC180" i="7"/>
  <c r="EK109" i="7"/>
  <c r="EK180" i="7"/>
  <c r="EH108" i="7"/>
  <c r="EH179" i="7"/>
  <c r="DI110" i="7"/>
  <c r="DI181" i="7"/>
  <c r="DM109" i="7"/>
  <c r="DM180" i="7"/>
  <c r="EA109" i="7"/>
  <c r="EA180" i="7"/>
  <c r="DJ108" i="7"/>
  <c r="DJ179" i="7"/>
  <c r="DU109" i="7"/>
  <c r="DU180" i="7"/>
  <c r="DT108" i="7"/>
  <c r="DT179" i="7"/>
  <c r="EE109" i="7"/>
  <c r="EE180" i="7"/>
  <c r="CO108" i="7"/>
  <c r="CO179" i="7"/>
  <c r="CI108" i="7"/>
  <c r="CI179" i="7"/>
  <c r="CK108" i="7"/>
  <c r="CK179" i="7"/>
  <c r="CY108" i="7"/>
  <c r="CY179" i="7"/>
  <c r="DE108" i="7"/>
  <c r="DE179" i="7"/>
  <c r="BW109" i="7"/>
  <c r="BW180" i="7"/>
  <c r="BX109" i="7"/>
  <c r="BX180" i="7"/>
  <c r="CR109" i="7"/>
  <c r="CR180" i="7"/>
  <c r="DA108" i="7"/>
  <c r="DA179" i="7"/>
  <c r="CJ109" i="7"/>
  <c r="CJ180" i="7"/>
  <c r="CB109" i="7"/>
  <c r="CB180" i="7"/>
  <c r="CZ109" i="7"/>
  <c r="CZ180" i="7"/>
  <c r="CG108" i="7"/>
  <c r="CG179" i="7"/>
  <c r="CE108" i="7"/>
  <c r="CE179" i="7"/>
  <c r="CM108" i="7"/>
  <c r="CM179" i="7"/>
  <c r="CQ108" i="7"/>
  <c r="CQ179" i="7"/>
  <c r="CC108" i="7"/>
  <c r="CC179" i="7"/>
  <c r="CS108" i="7"/>
  <c r="CS179" i="7"/>
  <c r="BZ110" i="7"/>
  <c r="BZ181" i="7"/>
  <c r="BY108" i="7"/>
  <c r="BY179" i="7"/>
  <c r="DC108" i="7"/>
  <c r="DC179" i="7"/>
  <c r="CN109" i="7"/>
  <c r="CN180" i="7"/>
  <c r="DD109" i="7"/>
  <c r="DD180" i="7"/>
  <c r="CF109" i="7"/>
  <c r="CF180" i="7"/>
  <c r="CA108" i="7"/>
  <c r="CA179" i="7"/>
  <c r="CV109" i="7"/>
  <c r="CV180" i="7"/>
  <c r="CW108" i="7"/>
  <c r="CW179" i="7"/>
  <c r="CU108" i="7"/>
  <c r="CU179" i="7"/>
  <c r="O29" i="1"/>
  <c r="O37" i="1" s="1"/>
  <c r="F10" i="1"/>
  <c r="F15" i="1" s="1"/>
  <c r="F23" i="1" s="1"/>
  <c r="G10" i="1"/>
  <c r="G15" i="1" s="1"/>
  <c r="G23" i="1" s="1"/>
  <c r="H30" i="2"/>
  <c r="G40" i="1"/>
  <c r="F40" i="1"/>
  <c r="H31" i="2"/>
  <c r="E40" i="1"/>
  <c r="I37" i="1"/>
  <c r="O30" i="1"/>
  <c r="O38" i="1" s="1"/>
  <c r="I38" i="1"/>
  <c r="O28" i="1"/>
  <c r="O36" i="1" s="1"/>
  <c r="I36" i="1"/>
  <c r="F14" i="1" l="1"/>
  <c r="E16" i="1"/>
  <c r="E24" i="1" s="1"/>
  <c r="D53" i="1"/>
  <c r="CH181" i="7"/>
  <c r="CH110" i="7"/>
  <c r="CD180" i="7"/>
  <c r="CD109" i="7"/>
  <c r="CP181" i="7"/>
  <c r="CP110" i="7"/>
  <c r="CL109" i="7"/>
  <c r="CL180" i="7"/>
  <c r="DB180" i="7"/>
  <c r="DB109" i="7"/>
  <c r="CT109" i="7"/>
  <c r="CT180" i="7"/>
  <c r="CX110" i="7"/>
  <c r="CX181" i="7"/>
  <c r="EP179" i="7"/>
  <c r="ES161" i="7" s="1"/>
  <c r="DT109" i="7"/>
  <c r="DT180" i="7"/>
  <c r="DJ109" i="7"/>
  <c r="DJ180" i="7"/>
  <c r="DM110" i="7"/>
  <c r="DM181" i="7"/>
  <c r="EH109" i="7"/>
  <c r="EH180" i="7"/>
  <c r="EC110" i="7"/>
  <c r="EC181" i="7"/>
  <c r="DG110" i="7"/>
  <c r="DG181" i="7"/>
  <c r="DO110" i="7"/>
  <c r="DO181" i="7"/>
  <c r="EJ109" i="7"/>
  <c r="EJ180" i="7"/>
  <c r="DK110" i="7"/>
  <c r="DK181" i="7"/>
  <c r="DP109" i="7"/>
  <c r="DP180" i="7"/>
  <c r="EN109" i="7"/>
  <c r="EN180" i="7"/>
  <c r="DS110" i="7"/>
  <c r="DS181" i="7"/>
  <c r="EG110" i="7"/>
  <c r="EG181" i="7"/>
  <c r="EM110" i="7"/>
  <c r="EM181" i="7"/>
  <c r="DQ110" i="7"/>
  <c r="DQ181" i="7"/>
  <c r="DL109" i="7"/>
  <c r="DL180" i="7"/>
  <c r="EE110" i="7"/>
  <c r="EE181" i="7"/>
  <c r="DU110" i="7"/>
  <c r="DU181" i="7"/>
  <c r="EA110" i="7"/>
  <c r="EA181" i="7"/>
  <c r="DI111" i="7"/>
  <c r="DI182" i="7"/>
  <c r="EK110" i="7"/>
  <c r="EK181" i="7"/>
  <c r="DF109" i="7"/>
  <c r="DF180" i="7"/>
  <c r="DR109" i="7"/>
  <c r="DR180" i="7"/>
  <c r="EF109" i="7"/>
  <c r="EF180" i="7"/>
  <c r="DH109" i="7"/>
  <c r="DH180" i="7"/>
  <c r="DX109" i="7"/>
  <c r="DX180" i="7"/>
  <c r="EI110" i="7"/>
  <c r="EI181" i="7"/>
  <c r="DN109" i="7"/>
  <c r="DN180" i="7"/>
  <c r="EB109" i="7"/>
  <c r="EB180" i="7"/>
  <c r="ED109" i="7"/>
  <c r="ED180" i="7"/>
  <c r="EL109" i="7"/>
  <c r="EL180" i="7"/>
  <c r="DV109" i="7"/>
  <c r="DV180" i="7"/>
  <c r="DW181" i="7"/>
  <c r="DW110" i="7"/>
  <c r="DY110" i="7"/>
  <c r="DY181" i="7"/>
  <c r="DZ109" i="7"/>
  <c r="DZ180" i="7"/>
  <c r="CV110" i="7"/>
  <c r="CV181" i="7"/>
  <c r="CF110" i="7"/>
  <c r="CF181" i="7"/>
  <c r="CN110" i="7"/>
  <c r="CN181" i="7"/>
  <c r="BY109" i="7"/>
  <c r="BY180" i="7"/>
  <c r="CS109" i="7"/>
  <c r="CS180" i="7"/>
  <c r="CM109" i="7"/>
  <c r="CM180" i="7"/>
  <c r="CG109" i="7"/>
  <c r="CG180" i="7"/>
  <c r="DA109" i="7"/>
  <c r="DA180" i="7"/>
  <c r="BX110" i="7"/>
  <c r="BX181" i="7"/>
  <c r="CK109" i="7"/>
  <c r="CK180" i="7"/>
  <c r="CW109" i="7"/>
  <c r="CW180" i="7"/>
  <c r="CA109" i="7"/>
  <c r="CA180" i="7"/>
  <c r="DC109" i="7"/>
  <c r="DC180" i="7"/>
  <c r="BZ111" i="7"/>
  <c r="BZ182" i="7"/>
  <c r="CC109" i="7"/>
  <c r="CC180" i="7"/>
  <c r="CQ109" i="7"/>
  <c r="CQ180" i="7"/>
  <c r="CE109" i="7"/>
  <c r="CE180" i="7"/>
  <c r="CB110" i="7"/>
  <c r="CB181" i="7"/>
  <c r="DE109" i="7"/>
  <c r="DE180" i="7"/>
  <c r="CO109" i="7"/>
  <c r="CO180" i="7"/>
  <c r="CU109" i="7"/>
  <c r="CU180" i="7"/>
  <c r="DD110" i="7"/>
  <c r="DD181" i="7"/>
  <c r="CZ110" i="7"/>
  <c r="CZ181" i="7"/>
  <c r="CJ110" i="7"/>
  <c r="CJ181" i="7"/>
  <c r="CR110" i="7"/>
  <c r="CR181" i="7"/>
  <c r="BW110" i="7"/>
  <c r="BW181" i="7"/>
  <c r="CY109" i="7"/>
  <c r="CY180" i="7"/>
  <c r="CI109" i="7"/>
  <c r="CI180" i="7"/>
  <c r="G16" i="1"/>
  <c r="G24" i="1" s="1"/>
  <c r="G14" i="1"/>
  <c r="F16" i="1"/>
  <c r="F24" i="1" s="1"/>
  <c r="E14" i="1"/>
  <c r="E22" i="1" s="1"/>
  <c r="E15" i="1"/>
  <c r="E23" i="1" s="1"/>
  <c r="F22" i="1"/>
  <c r="ES179" i="7" l="1"/>
  <c r="ES177" i="7"/>
  <c r="CD181" i="7"/>
  <c r="CD110" i="7"/>
  <c r="CT181" i="7"/>
  <c r="CT110" i="7"/>
  <c r="DB181" i="7"/>
  <c r="DB110" i="7"/>
  <c r="CP111" i="7"/>
  <c r="CP182" i="7"/>
  <c r="CH182" i="7"/>
  <c r="CH111" i="7"/>
  <c r="CL181" i="7"/>
  <c r="CL110" i="7"/>
  <c r="EP180" i="7"/>
  <c r="ES180" i="7" s="1"/>
  <c r="CX182" i="7"/>
  <c r="CX111" i="7"/>
  <c r="DY111" i="7"/>
  <c r="DY182" i="7"/>
  <c r="DV110" i="7"/>
  <c r="DV181" i="7"/>
  <c r="ED110" i="7"/>
  <c r="ED181" i="7"/>
  <c r="DN110" i="7"/>
  <c r="DN181" i="7"/>
  <c r="DX110" i="7"/>
  <c r="DX181" i="7"/>
  <c r="EF110" i="7"/>
  <c r="EF181" i="7"/>
  <c r="DF110" i="7"/>
  <c r="DF181" i="7"/>
  <c r="DI112" i="7"/>
  <c r="DI183" i="7"/>
  <c r="DU111" i="7"/>
  <c r="DU182" i="7"/>
  <c r="DL110" i="7"/>
  <c r="DL181" i="7"/>
  <c r="EM111" i="7"/>
  <c r="EM182" i="7"/>
  <c r="DS111" i="7"/>
  <c r="DS182" i="7"/>
  <c r="DP110" i="7"/>
  <c r="DP181" i="7"/>
  <c r="EJ110" i="7"/>
  <c r="EJ181" i="7"/>
  <c r="DG111" i="7"/>
  <c r="DG182" i="7"/>
  <c r="EH110" i="7"/>
  <c r="EH181" i="7"/>
  <c r="DJ110" i="7"/>
  <c r="DJ181" i="7"/>
  <c r="DZ110" i="7"/>
  <c r="DZ181" i="7"/>
  <c r="EL110" i="7"/>
  <c r="EL181" i="7"/>
  <c r="EB110" i="7"/>
  <c r="EB181" i="7"/>
  <c r="EI111" i="7"/>
  <c r="EI182" i="7"/>
  <c r="DH110" i="7"/>
  <c r="DH181" i="7"/>
  <c r="DR110" i="7"/>
  <c r="DR181" i="7"/>
  <c r="EK111" i="7"/>
  <c r="EK182" i="7"/>
  <c r="EA111" i="7"/>
  <c r="EA182" i="7"/>
  <c r="EE111" i="7"/>
  <c r="EE182" i="7"/>
  <c r="DQ111" i="7"/>
  <c r="DQ182" i="7"/>
  <c r="EG111" i="7"/>
  <c r="EG182" i="7"/>
  <c r="EN110" i="7"/>
  <c r="EN181" i="7"/>
  <c r="DK111" i="7"/>
  <c r="DK182" i="7"/>
  <c r="DO111" i="7"/>
  <c r="DO182" i="7"/>
  <c r="EC111" i="7"/>
  <c r="EC182" i="7"/>
  <c r="DM111" i="7"/>
  <c r="DM182" i="7"/>
  <c r="DT110" i="7"/>
  <c r="DT181" i="7"/>
  <c r="DW111" i="7"/>
  <c r="DW182" i="7"/>
  <c r="CR111" i="7"/>
  <c r="CR182" i="7"/>
  <c r="DE110" i="7"/>
  <c r="DE181" i="7"/>
  <c r="CQ181" i="7"/>
  <c r="CQ110" i="7"/>
  <c r="BZ112" i="7"/>
  <c r="BZ183" i="7"/>
  <c r="CW110" i="7"/>
  <c r="CW181" i="7"/>
  <c r="BX111" i="7"/>
  <c r="BX182" i="7"/>
  <c r="CG110" i="7"/>
  <c r="CG181" i="7"/>
  <c r="BY110" i="7"/>
  <c r="BY181" i="7"/>
  <c r="CN111" i="7"/>
  <c r="CN182" i="7"/>
  <c r="CV111" i="7"/>
  <c r="CV182" i="7"/>
  <c r="CI110" i="7"/>
  <c r="CI181" i="7"/>
  <c r="CU110" i="7"/>
  <c r="CU181" i="7"/>
  <c r="DD111" i="7"/>
  <c r="DD182" i="7"/>
  <c r="CO110" i="7"/>
  <c r="CO181" i="7"/>
  <c r="BW111" i="7"/>
  <c r="BW182" i="7"/>
  <c r="CZ111" i="7"/>
  <c r="CZ182" i="7"/>
  <c r="CB111" i="7"/>
  <c r="CB182" i="7"/>
  <c r="CY110" i="7"/>
  <c r="CY181" i="7"/>
  <c r="CJ111" i="7"/>
  <c r="CJ182" i="7"/>
  <c r="CE110" i="7"/>
  <c r="CE181" i="7"/>
  <c r="CC110" i="7"/>
  <c r="CC181" i="7"/>
  <c r="DC110" i="7"/>
  <c r="DC181" i="7"/>
  <c r="CA110" i="7"/>
  <c r="CA181" i="7"/>
  <c r="CK110" i="7"/>
  <c r="CK181" i="7"/>
  <c r="DA110" i="7"/>
  <c r="DA181" i="7"/>
  <c r="CM110" i="7"/>
  <c r="CM181" i="7"/>
  <c r="CS110" i="7"/>
  <c r="CS181" i="7"/>
  <c r="CF111" i="7"/>
  <c r="CF182" i="7"/>
  <c r="I16" i="1"/>
  <c r="G18" i="1"/>
  <c r="G22" i="1"/>
  <c r="E28" i="1" s="1" a="1"/>
  <c r="F30" i="1" s="1"/>
  <c r="M30" i="1" s="1"/>
  <c r="F18" i="1"/>
  <c r="I14" i="1"/>
  <c r="I15" i="1"/>
  <c r="E18" i="1"/>
  <c r="CL111" i="7" l="1"/>
  <c r="CL182" i="7"/>
  <c r="CX183" i="7"/>
  <c r="CX112" i="7"/>
  <c r="CP183" i="7"/>
  <c r="CP112" i="7"/>
  <c r="CT111" i="7"/>
  <c r="CT182" i="7"/>
  <c r="CH112" i="7"/>
  <c r="CH183" i="7"/>
  <c r="DB182" i="7"/>
  <c r="DB111" i="7"/>
  <c r="CD111" i="7"/>
  <c r="CD182" i="7"/>
  <c r="EP181" i="7"/>
  <c r="ES166" i="7" s="1"/>
  <c r="DW183" i="7"/>
  <c r="DW112" i="7"/>
  <c r="DM112" i="7"/>
  <c r="DM183" i="7"/>
  <c r="DO112" i="7"/>
  <c r="DO183" i="7"/>
  <c r="EN111" i="7"/>
  <c r="EN182" i="7"/>
  <c r="DQ112" i="7"/>
  <c r="DQ183" i="7"/>
  <c r="DR111" i="7"/>
  <c r="DR182" i="7"/>
  <c r="EI112" i="7"/>
  <c r="EI183" i="7"/>
  <c r="EL111" i="7"/>
  <c r="EL182" i="7"/>
  <c r="DJ111" i="7"/>
  <c r="DJ182" i="7"/>
  <c r="DG112" i="7"/>
  <c r="DG183" i="7"/>
  <c r="DP111" i="7"/>
  <c r="DP182" i="7"/>
  <c r="DU112" i="7"/>
  <c r="DU183" i="7"/>
  <c r="DF111" i="7"/>
  <c r="DF182" i="7"/>
  <c r="ED111" i="7"/>
  <c r="ED182" i="7"/>
  <c r="DT111" i="7"/>
  <c r="DT182" i="7"/>
  <c r="EC112" i="7"/>
  <c r="EC183" i="7"/>
  <c r="DK112" i="7"/>
  <c r="DK183" i="7"/>
  <c r="EG112" i="7"/>
  <c r="EG183" i="7"/>
  <c r="EE112" i="7"/>
  <c r="EE183" i="7"/>
  <c r="EK112" i="7"/>
  <c r="EK183" i="7"/>
  <c r="DH111" i="7"/>
  <c r="DH182" i="7"/>
  <c r="EB111" i="7"/>
  <c r="EB182" i="7"/>
  <c r="DZ111" i="7"/>
  <c r="DZ182" i="7"/>
  <c r="EH111" i="7"/>
  <c r="EH182" i="7"/>
  <c r="EJ111" i="7"/>
  <c r="EJ182" i="7"/>
  <c r="DS112" i="7"/>
  <c r="DS183" i="7"/>
  <c r="DL111" i="7"/>
  <c r="DL182" i="7"/>
  <c r="DI113" i="7"/>
  <c r="DI184" i="7"/>
  <c r="EF111" i="7"/>
  <c r="EF182" i="7"/>
  <c r="DN111" i="7"/>
  <c r="DN182" i="7"/>
  <c r="DV111" i="7"/>
  <c r="DV182" i="7"/>
  <c r="EA112" i="7"/>
  <c r="EA183" i="7"/>
  <c r="EM112" i="7"/>
  <c r="EM183" i="7"/>
  <c r="DX111" i="7"/>
  <c r="DX182" i="7"/>
  <c r="DY112" i="7"/>
  <c r="DY183" i="7"/>
  <c r="CC111" i="7"/>
  <c r="CC182" i="7"/>
  <c r="CJ112" i="7"/>
  <c r="CJ183" i="7"/>
  <c r="DD112" i="7"/>
  <c r="DD183" i="7"/>
  <c r="CU111" i="7"/>
  <c r="CU182" i="7"/>
  <c r="CV112" i="7"/>
  <c r="CV183" i="7"/>
  <c r="BY111" i="7"/>
  <c r="BY182" i="7"/>
  <c r="CG111" i="7"/>
  <c r="CG182" i="7"/>
  <c r="CW111" i="7"/>
  <c r="CW182" i="7"/>
  <c r="BZ113" i="7"/>
  <c r="BZ184" i="7"/>
  <c r="DE111" i="7"/>
  <c r="DE182" i="7"/>
  <c r="CF112" i="7"/>
  <c r="CF183" i="7"/>
  <c r="DA111" i="7"/>
  <c r="DA182" i="7"/>
  <c r="CZ112" i="7"/>
  <c r="CZ183" i="7"/>
  <c r="CM111" i="7"/>
  <c r="CM182" i="7"/>
  <c r="CE111" i="7"/>
  <c r="CE182" i="7"/>
  <c r="CQ111" i="7"/>
  <c r="CQ182" i="7"/>
  <c r="CS111" i="7"/>
  <c r="CS182" i="7"/>
  <c r="CA111" i="7"/>
  <c r="CA182" i="7"/>
  <c r="CK111" i="7"/>
  <c r="CK182" i="7"/>
  <c r="DC111" i="7"/>
  <c r="DC182" i="7"/>
  <c r="CY111" i="7"/>
  <c r="CY182" i="7"/>
  <c r="CB112" i="7"/>
  <c r="CB183" i="7"/>
  <c r="BW112" i="7"/>
  <c r="BW183" i="7"/>
  <c r="CO111" i="7"/>
  <c r="CO182" i="7"/>
  <c r="CI111" i="7"/>
  <c r="CI182" i="7"/>
  <c r="CN112" i="7"/>
  <c r="CN183" i="7"/>
  <c r="BX112" i="7"/>
  <c r="BX183" i="7"/>
  <c r="CR112" i="7"/>
  <c r="CR183" i="7"/>
  <c r="G29" i="1"/>
  <c r="N29" i="1" s="1"/>
  <c r="G30" i="1"/>
  <c r="N30" i="1" s="1"/>
  <c r="E30" i="1"/>
  <c r="L30" i="1" s="1"/>
  <c r="E29" i="1"/>
  <c r="L29" i="1" s="1"/>
  <c r="G28" i="1"/>
  <c r="N28" i="1" s="1"/>
  <c r="F28" i="1"/>
  <c r="M28" i="1" s="1"/>
  <c r="E28" i="1"/>
  <c r="F29" i="1"/>
  <c r="M29" i="1" s="1"/>
  <c r="DB112" i="7" l="1"/>
  <c r="DB183" i="7"/>
  <c r="CX113" i="7"/>
  <c r="CX184" i="7"/>
  <c r="CT112" i="7"/>
  <c r="CT183" i="7"/>
  <c r="CP113" i="7"/>
  <c r="CP184" i="7"/>
  <c r="CD183" i="7"/>
  <c r="CD112" i="7"/>
  <c r="CH184" i="7"/>
  <c r="CH113" i="7"/>
  <c r="CL112" i="7"/>
  <c r="CL183" i="7"/>
  <c r="EM113" i="7"/>
  <c r="EM184" i="7"/>
  <c r="EP182" i="7"/>
  <c r="ES182" i="7" s="1"/>
  <c r="DX112" i="7"/>
  <c r="DX183" i="7"/>
  <c r="EA113" i="7"/>
  <c r="EA184" i="7"/>
  <c r="DN112" i="7"/>
  <c r="DN183" i="7"/>
  <c r="DI114" i="7"/>
  <c r="DI185" i="7"/>
  <c r="DS113" i="7"/>
  <c r="DS184" i="7"/>
  <c r="EH112" i="7"/>
  <c r="EH183" i="7"/>
  <c r="EB112" i="7"/>
  <c r="EB183" i="7"/>
  <c r="EK113" i="7"/>
  <c r="EK184" i="7"/>
  <c r="EG113" i="7"/>
  <c r="EG184" i="7"/>
  <c r="EC113" i="7"/>
  <c r="EC184" i="7"/>
  <c r="ED112" i="7"/>
  <c r="ED183" i="7"/>
  <c r="DU113" i="7"/>
  <c r="DU184" i="7"/>
  <c r="DG113" i="7"/>
  <c r="DG184" i="7"/>
  <c r="EL112" i="7"/>
  <c r="EL183" i="7"/>
  <c r="DR112" i="7"/>
  <c r="DR183" i="7"/>
  <c r="EN112" i="7"/>
  <c r="EN183" i="7"/>
  <c r="DM113" i="7"/>
  <c r="DM184" i="7"/>
  <c r="DW184" i="7"/>
  <c r="DW113" i="7"/>
  <c r="DY113" i="7"/>
  <c r="DY184" i="7"/>
  <c r="DV112" i="7"/>
  <c r="DV183" i="7"/>
  <c r="EF112" i="7"/>
  <c r="EF183" i="7"/>
  <c r="DL112" i="7"/>
  <c r="DL183" i="7"/>
  <c r="EJ112" i="7"/>
  <c r="EJ183" i="7"/>
  <c r="DZ112" i="7"/>
  <c r="DZ183" i="7"/>
  <c r="DH112" i="7"/>
  <c r="DH183" i="7"/>
  <c r="EE113" i="7"/>
  <c r="EE184" i="7"/>
  <c r="DK113" i="7"/>
  <c r="DK184" i="7"/>
  <c r="DT112" i="7"/>
  <c r="DT183" i="7"/>
  <c r="DF112" i="7"/>
  <c r="DF183" i="7"/>
  <c r="DP112" i="7"/>
  <c r="DP183" i="7"/>
  <c r="DJ112" i="7"/>
  <c r="DJ183" i="7"/>
  <c r="EI113" i="7"/>
  <c r="EI184" i="7"/>
  <c r="DQ113" i="7"/>
  <c r="DQ184" i="7"/>
  <c r="DO113" i="7"/>
  <c r="DO184" i="7"/>
  <c r="CI112" i="7"/>
  <c r="CI183" i="7"/>
  <c r="CO112" i="7"/>
  <c r="CO183" i="7"/>
  <c r="CB113" i="7"/>
  <c r="CB184" i="7"/>
  <c r="DC112" i="7"/>
  <c r="DC183" i="7"/>
  <c r="CS112" i="7"/>
  <c r="CS183" i="7"/>
  <c r="CF113" i="7"/>
  <c r="CF184" i="7"/>
  <c r="CG112" i="7"/>
  <c r="CG183" i="7"/>
  <c r="DD113" i="7"/>
  <c r="DD184" i="7"/>
  <c r="CR113" i="7"/>
  <c r="CR184" i="7"/>
  <c r="BW113" i="7"/>
  <c r="BW184" i="7"/>
  <c r="CY112" i="7"/>
  <c r="CY183" i="7"/>
  <c r="CK112" i="7"/>
  <c r="CK183" i="7"/>
  <c r="CA112" i="7"/>
  <c r="CA183" i="7"/>
  <c r="CQ183" i="7"/>
  <c r="CQ112" i="7"/>
  <c r="CE112" i="7"/>
  <c r="CE183" i="7"/>
  <c r="CZ113" i="7"/>
  <c r="CZ184" i="7"/>
  <c r="BZ114" i="7"/>
  <c r="BZ185" i="7"/>
  <c r="CV113" i="7"/>
  <c r="CV184" i="7"/>
  <c r="CJ113" i="7"/>
  <c r="CJ184" i="7"/>
  <c r="BX113" i="7"/>
  <c r="BX184" i="7"/>
  <c r="CN113" i="7"/>
  <c r="CN184" i="7"/>
  <c r="CM112" i="7"/>
  <c r="CM183" i="7"/>
  <c r="DA112" i="7"/>
  <c r="DA183" i="7"/>
  <c r="DE112" i="7"/>
  <c r="DE183" i="7"/>
  <c r="CW112" i="7"/>
  <c r="CW183" i="7"/>
  <c r="BY112" i="7"/>
  <c r="BY183" i="7"/>
  <c r="CU112" i="7"/>
  <c r="CU183" i="7"/>
  <c r="CC112" i="7"/>
  <c r="CC183" i="7"/>
  <c r="L28" i="1"/>
  <c r="P28" i="1" s="1"/>
  <c r="P36" i="1" s="1"/>
  <c r="P30" i="1"/>
  <c r="P38" i="1" s="1"/>
  <c r="P29" i="1"/>
  <c r="M32" i="1" s="1"/>
  <c r="M40" i="1" s="1"/>
  <c r="H49" i="1" l="1"/>
  <c r="H50" i="1"/>
  <c r="E54" i="1"/>
  <c r="E53" i="1"/>
  <c r="CP185" i="7"/>
  <c r="CP114" i="7"/>
  <c r="CX185" i="7"/>
  <c r="CX114" i="7"/>
  <c r="CH185" i="7"/>
  <c r="CH114" i="7"/>
  <c r="CD184" i="7"/>
  <c r="CD113" i="7"/>
  <c r="CL184" i="7"/>
  <c r="CL113" i="7"/>
  <c r="CT184" i="7"/>
  <c r="CT113" i="7"/>
  <c r="DB184" i="7"/>
  <c r="DB113" i="7"/>
  <c r="DO114" i="7"/>
  <c r="DO185" i="7"/>
  <c r="EP183" i="7"/>
  <c r="ES174" i="7" s="1"/>
  <c r="EM114" i="7"/>
  <c r="EM185" i="7"/>
  <c r="DQ114" i="7"/>
  <c r="DQ185" i="7"/>
  <c r="DJ113" i="7"/>
  <c r="DJ184" i="7"/>
  <c r="DF113" i="7"/>
  <c r="DF184" i="7"/>
  <c r="DK114" i="7"/>
  <c r="DK185" i="7"/>
  <c r="DH113" i="7"/>
  <c r="DH184" i="7"/>
  <c r="EJ113" i="7"/>
  <c r="EJ184" i="7"/>
  <c r="EF113" i="7"/>
  <c r="EF184" i="7"/>
  <c r="DY114" i="7"/>
  <c r="DY185" i="7"/>
  <c r="DM114" i="7"/>
  <c r="DM185" i="7"/>
  <c r="DR113" i="7"/>
  <c r="DR184" i="7"/>
  <c r="DG114" i="7"/>
  <c r="DG185" i="7"/>
  <c r="ED113" i="7"/>
  <c r="ED184" i="7"/>
  <c r="EG114" i="7"/>
  <c r="EG185" i="7"/>
  <c r="EB113" i="7"/>
  <c r="EB184" i="7"/>
  <c r="DS114" i="7"/>
  <c r="DS185" i="7"/>
  <c r="DN113" i="7"/>
  <c r="DN184" i="7"/>
  <c r="DX113" i="7"/>
  <c r="DX184" i="7"/>
  <c r="EI114" i="7"/>
  <c r="EI185" i="7"/>
  <c r="DP113" i="7"/>
  <c r="DP184" i="7"/>
  <c r="DT113" i="7"/>
  <c r="DT184" i="7"/>
  <c r="EE114" i="7"/>
  <c r="EE185" i="7"/>
  <c r="DZ113" i="7"/>
  <c r="DZ184" i="7"/>
  <c r="DL113" i="7"/>
  <c r="DL184" i="7"/>
  <c r="DV113" i="7"/>
  <c r="DV184" i="7"/>
  <c r="EN113" i="7"/>
  <c r="EN184" i="7"/>
  <c r="EL113" i="7"/>
  <c r="EL184" i="7"/>
  <c r="DU114" i="7"/>
  <c r="DU185" i="7"/>
  <c r="EC114" i="7"/>
  <c r="EC185" i="7"/>
  <c r="EK114" i="7"/>
  <c r="EK185" i="7"/>
  <c r="EH113" i="7"/>
  <c r="EH184" i="7"/>
  <c r="DI115" i="7"/>
  <c r="DI186" i="7"/>
  <c r="EA114" i="7"/>
  <c r="EA185" i="7"/>
  <c r="DW185" i="7"/>
  <c r="DW114" i="7"/>
  <c r="BY113" i="7"/>
  <c r="BY184" i="7"/>
  <c r="DE113" i="7"/>
  <c r="DE184" i="7"/>
  <c r="CM113" i="7"/>
  <c r="CM184" i="7"/>
  <c r="BX114" i="7"/>
  <c r="BX185" i="7"/>
  <c r="CV114" i="7"/>
  <c r="CV185" i="7"/>
  <c r="CZ114" i="7"/>
  <c r="CZ185" i="7"/>
  <c r="CY113" i="7"/>
  <c r="CY184" i="7"/>
  <c r="DD114" i="7"/>
  <c r="DD185" i="7"/>
  <c r="CF114" i="7"/>
  <c r="CF185" i="7"/>
  <c r="CO113" i="7"/>
  <c r="CO184" i="7"/>
  <c r="CC113" i="7"/>
  <c r="CC184" i="7"/>
  <c r="DA113" i="7"/>
  <c r="DA184" i="7"/>
  <c r="CJ114" i="7"/>
  <c r="CJ185" i="7"/>
  <c r="BZ115" i="7"/>
  <c r="BZ186" i="7"/>
  <c r="CE113" i="7"/>
  <c r="CE184" i="7"/>
  <c r="CA113" i="7"/>
  <c r="CA184" i="7"/>
  <c r="CK113" i="7"/>
  <c r="CK184" i="7"/>
  <c r="BW114" i="7"/>
  <c r="BW185" i="7"/>
  <c r="CR114" i="7"/>
  <c r="CR185" i="7"/>
  <c r="CG113" i="7"/>
  <c r="CG184" i="7"/>
  <c r="DC113" i="7"/>
  <c r="DC184" i="7"/>
  <c r="CU113" i="7"/>
  <c r="CU184" i="7"/>
  <c r="CW113" i="7"/>
  <c r="CW184" i="7"/>
  <c r="CN114" i="7"/>
  <c r="CN185" i="7"/>
  <c r="CQ113" i="7"/>
  <c r="CQ184" i="7"/>
  <c r="CS113" i="7"/>
  <c r="CS184" i="7"/>
  <c r="CB114" i="7"/>
  <c r="CB185" i="7"/>
  <c r="CI113" i="7"/>
  <c r="CI184" i="7"/>
  <c r="D16" i="2"/>
  <c r="N32" i="1"/>
  <c r="N40" i="1" s="1"/>
  <c r="P37" i="1"/>
  <c r="L32" i="1"/>
  <c r="L40" i="1" s="1"/>
  <c r="N43" i="1"/>
  <c r="M38" i="1"/>
  <c r="F32" i="2" s="1"/>
  <c r="M37" i="1"/>
  <c r="F31" i="2" s="1"/>
  <c r="M36" i="1"/>
  <c r="F30" i="2" s="1"/>
  <c r="I49" i="1" l="1"/>
  <c r="I50" i="1"/>
  <c r="F54" i="1"/>
  <c r="F53" i="1"/>
  <c r="G50" i="1"/>
  <c r="G49" i="1"/>
  <c r="D54" i="1"/>
  <c r="ES183" i="7"/>
  <c r="ES181" i="7"/>
  <c r="CT114" i="7"/>
  <c r="CT185" i="7"/>
  <c r="CD185" i="7"/>
  <c r="CD114" i="7"/>
  <c r="CX115" i="7"/>
  <c r="CX186" i="7"/>
  <c r="DB185" i="7"/>
  <c r="DB114" i="7"/>
  <c r="CL114" i="7"/>
  <c r="CL185" i="7"/>
  <c r="CH186" i="7"/>
  <c r="CH115" i="7"/>
  <c r="CP186" i="7"/>
  <c r="CP115" i="7"/>
  <c r="EP184" i="7"/>
  <c r="ES184" i="7" s="1"/>
  <c r="DW186" i="7"/>
  <c r="DW115" i="7"/>
  <c r="EA115" i="7"/>
  <c r="EA186" i="7"/>
  <c r="EH114" i="7"/>
  <c r="EH185" i="7"/>
  <c r="EC115" i="7"/>
  <c r="EC186" i="7"/>
  <c r="EL114" i="7"/>
  <c r="EL185" i="7"/>
  <c r="DV114" i="7"/>
  <c r="DV185" i="7"/>
  <c r="DZ114" i="7"/>
  <c r="DZ185" i="7"/>
  <c r="DT114" i="7"/>
  <c r="DT185" i="7"/>
  <c r="EI115" i="7"/>
  <c r="EI186" i="7"/>
  <c r="DN114" i="7"/>
  <c r="DN185" i="7"/>
  <c r="EB114" i="7"/>
  <c r="EB185" i="7"/>
  <c r="ED114" i="7"/>
  <c r="ED185" i="7"/>
  <c r="DR114" i="7"/>
  <c r="DR185" i="7"/>
  <c r="DY115" i="7"/>
  <c r="DY186" i="7"/>
  <c r="EJ114" i="7"/>
  <c r="EJ185" i="7"/>
  <c r="DK115" i="7"/>
  <c r="DK186" i="7"/>
  <c r="DJ114" i="7"/>
  <c r="DJ185" i="7"/>
  <c r="EM115" i="7"/>
  <c r="EM186" i="7"/>
  <c r="DI116" i="7"/>
  <c r="DI187" i="7"/>
  <c r="EK115" i="7"/>
  <c r="EK186" i="7"/>
  <c r="DU115" i="7"/>
  <c r="DU186" i="7"/>
  <c r="EN114" i="7"/>
  <c r="EN185" i="7"/>
  <c r="DL114" i="7"/>
  <c r="DL185" i="7"/>
  <c r="EE115" i="7"/>
  <c r="EE186" i="7"/>
  <c r="DP114" i="7"/>
  <c r="DP185" i="7"/>
  <c r="DX114" i="7"/>
  <c r="DX185" i="7"/>
  <c r="DS115" i="7"/>
  <c r="DS186" i="7"/>
  <c r="EG115" i="7"/>
  <c r="EG186" i="7"/>
  <c r="DG115" i="7"/>
  <c r="DG186" i="7"/>
  <c r="DM115" i="7"/>
  <c r="DM186" i="7"/>
  <c r="EF114" i="7"/>
  <c r="EF185" i="7"/>
  <c r="DH114" i="7"/>
  <c r="DH185" i="7"/>
  <c r="DF114" i="7"/>
  <c r="DF185" i="7"/>
  <c r="DQ115" i="7"/>
  <c r="DQ186" i="7"/>
  <c r="DO115" i="7"/>
  <c r="DO186" i="7"/>
  <c r="CG114" i="7"/>
  <c r="CG185" i="7"/>
  <c r="DA114" i="7"/>
  <c r="DA185" i="7"/>
  <c r="CF115" i="7"/>
  <c r="CF186" i="7"/>
  <c r="CV115" i="7"/>
  <c r="CV186" i="7"/>
  <c r="CM114" i="7"/>
  <c r="CM185" i="7"/>
  <c r="BY114" i="7"/>
  <c r="BY185" i="7"/>
  <c r="CI114" i="7"/>
  <c r="CI185" i="7"/>
  <c r="BZ116" i="7"/>
  <c r="BZ187" i="7"/>
  <c r="CB115" i="7"/>
  <c r="CB186" i="7"/>
  <c r="CN115" i="7"/>
  <c r="CN186" i="7"/>
  <c r="CU114" i="7"/>
  <c r="CU185" i="7"/>
  <c r="DC114" i="7"/>
  <c r="DC185" i="7"/>
  <c r="CR115" i="7"/>
  <c r="CR186" i="7"/>
  <c r="CK114" i="7"/>
  <c r="CK185" i="7"/>
  <c r="CE114" i="7"/>
  <c r="CE185" i="7"/>
  <c r="CJ115" i="7"/>
  <c r="CJ186" i="7"/>
  <c r="CC114" i="7"/>
  <c r="CC185" i="7"/>
  <c r="CQ114" i="7"/>
  <c r="CQ185" i="7"/>
  <c r="CW114" i="7"/>
  <c r="CW185" i="7"/>
  <c r="BW115" i="7"/>
  <c r="BW186" i="7"/>
  <c r="CA114" i="7"/>
  <c r="CA185" i="7"/>
  <c r="CO114" i="7"/>
  <c r="CO185" i="7"/>
  <c r="CS114" i="7"/>
  <c r="CS185" i="7"/>
  <c r="DD115" i="7"/>
  <c r="DD186" i="7"/>
  <c r="CY114" i="7"/>
  <c r="CY185" i="7"/>
  <c r="CZ115" i="7"/>
  <c r="CZ186" i="7"/>
  <c r="BX115" i="7"/>
  <c r="BX186" i="7"/>
  <c r="DE114" i="7"/>
  <c r="DE185" i="7"/>
  <c r="D15" i="2"/>
  <c r="H15" i="2" s="1"/>
  <c r="D17" i="2"/>
  <c r="H17" i="2" s="1"/>
  <c r="O43" i="1"/>
  <c r="N38" i="1"/>
  <c r="G32" i="2" s="1"/>
  <c r="N37" i="1"/>
  <c r="G31" i="2" s="1"/>
  <c r="D23" i="2"/>
  <c r="H16" i="2"/>
  <c r="M43" i="1"/>
  <c r="L38" i="1"/>
  <c r="E32" i="2" s="1"/>
  <c r="L36" i="1"/>
  <c r="E30" i="2" s="1"/>
  <c r="L37" i="1"/>
  <c r="E31" i="2" s="1"/>
  <c r="E10" i="2"/>
  <c r="F10" i="2" s="1"/>
  <c r="E9" i="2"/>
  <c r="F9" i="2" s="1"/>
  <c r="E8" i="2"/>
  <c r="F8" i="2" s="1"/>
  <c r="M39" i="1"/>
  <c r="D22" i="2" l="1"/>
  <c r="F22" i="2" s="1"/>
  <c r="E34" i="2" s="1"/>
  <c r="L30" i="2" s="1"/>
  <c r="DB186" i="7"/>
  <c r="DB115" i="7"/>
  <c r="CH116" i="7"/>
  <c r="CH187" i="7"/>
  <c r="CD115" i="7"/>
  <c r="CD186" i="7"/>
  <c r="CP187" i="7"/>
  <c r="CP116" i="7"/>
  <c r="EP185" i="7"/>
  <c r="ES171" i="7" s="1"/>
  <c r="CL186" i="7"/>
  <c r="CL115" i="7"/>
  <c r="CX187" i="7"/>
  <c r="CX116" i="7"/>
  <c r="CT186" i="7"/>
  <c r="CT115" i="7"/>
  <c r="DW187" i="7"/>
  <c r="DW116" i="7"/>
  <c r="EF115" i="7"/>
  <c r="EF186" i="7"/>
  <c r="DQ116" i="7"/>
  <c r="DQ187" i="7"/>
  <c r="DH115" i="7"/>
  <c r="DH186" i="7"/>
  <c r="DM116" i="7"/>
  <c r="DM187" i="7"/>
  <c r="EG116" i="7"/>
  <c r="EG187" i="7"/>
  <c r="DX115" i="7"/>
  <c r="DX186" i="7"/>
  <c r="EE116" i="7"/>
  <c r="EE187" i="7"/>
  <c r="EN115" i="7"/>
  <c r="EN186" i="7"/>
  <c r="EK116" i="7"/>
  <c r="EK187" i="7"/>
  <c r="EM116" i="7"/>
  <c r="EM187" i="7"/>
  <c r="DK116" i="7"/>
  <c r="DK187" i="7"/>
  <c r="DY116" i="7"/>
  <c r="DY187" i="7"/>
  <c r="ED115" i="7"/>
  <c r="ED186" i="7"/>
  <c r="DN115" i="7"/>
  <c r="DN186" i="7"/>
  <c r="DT115" i="7"/>
  <c r="DT186" i="7"/>
  <c r="DV115" i="7"/>
  <c r="DV186" i="7"/>
  <c r="EC116" i="7"/>
  <c r="EC187" i="7"/>
  <c r="EA116" i="7"/>
  <c r="EA187" i="7"/>
  <c r="DO116" i="7"/>
  <c r="DO187" i="7"/>
  <c r="DF115" i="7"/>
  <c r="DF186" i="7"/>
  <c r="DG116" i="7"/>
  <c r="DG187" i="7"/>
  <c r="DS116" i="7"/>
  <c r="DS187" i="7"/>
  <c r="DP115" i="7"/>
  <c r="DP186" i="7"/>
  <c r="DL115" i="7"/>
  <c r="DL186" i="7"/>
  <c r="DU116" i="7"/>
  <c r="DU187" i="7"/>
  <c r="DI188" i="7"/>
  <c r="DI117" i="7"/>
  <c r="DJ115" i="7"/>
  <c r="DJ186" i="7"/>
  <c r="EJ115" i="7"/>
  <c r="EJ186" i="7"/>
  <c r="DR115" i="7"/>
  <c r="DR186" i="7"/>
  <c r="EB115" i="7"/>
  <c r="EB186" i="7"/>
  <c r="EI116" i="7"/>
  <c r="EI187" i="7"/>
  <c r="DZ115" i="7"/>
  <c r="DZ186" i="7"/>
  <c r="EL115" i="7"/>
  <c r="EL186" i="7"/>
  <c r="EH115" i="7"/>
  <c r="EH186" i="7"/>
  <c r="DE115" i="7"/>
  <c r="DE186" i="7"/>
  <c r="CZ116" i="7"/>
  <c r="CZ187" i="7"/>
  <c r="DD116" i="7"/>
  <c r="DD187" i="7"/>
  <c r="CW115" i="7"/>
  <c r="CW186" i="7"/>
  <c r="CJ116" i="7"/>
  <c r="CJ187" i="7"/>
  <c r="CN116" i="7"/>
  <c r="CN187" i="7"/>
  <c r="CI115" i="7"/>
  <c r="CI186" i="7"/>
  <c r="CF116" i="7"/>
  <c r="CF187" i="7"/>
  <c r="BX116" i="7"/>
  <c r="BX187" i="7"/>
  <c r="CA115" i="7"/>
  <c r="CA186" i="7"/>
  <c r="CK115" i="7"/>
  <c r="CK186" i="7"/>
  <c r="DC115" i="7"/>
  <c r="DC186" i="7"/>
  <c r="BZ188" i="7"/>
  <c r="BZ117" i="7"/>
  <c r="CM115" i="7"/>
  <c r="CM186" i="7"/>
  <c r="CG115" i="7"/>
  <c r="CG186" i="7"/>
  <c r="CY115" i="7"/>
  <c r="CY186" i="7"/>
  <c r="CS115" i="7"/>
  <c r="CS186" i="7"/>
  <c r="CO115" i="7"/>
  <c r="CO186" i="7"/>
  <c r="BW116" i="7"/>
  <c r="BW187" i="7"/>
  <c r="CQ115" i="7"/>
  <c r="CQ186" i="7"/>
  <c r="CC115" i="7"/>
  <c r="CC186" i="7"/>
  <c r="CE115" i="7"/>
  <c r="CE186" i="7"/>
  <c r="CR116" i="7"/>
  <c r="CR187" i="7"/>
  <c r="CU115" i="7"/>
  <c r="CU186" i="7"/>
  <c r="CB116" i="7"/>
  <c r="CB187" i="7"/>
  <c r="BY115" i="7"/>
  <c r="BY186" i="7"/>
  <c r="CV116" i="7"/>
  <c r="CV187" i="7"/>
  <c r="DA115" i="7"/>
  <c r="DA186" i="7"/>
  <c r="I31" i="2"/>
  <c r="D24" i="2"/>
  <c r="H10" i="2" s="1"/>
  <c r="I32" i="2"/>
  <c r="H8" i="2"/>
  <c r="F23" i="2"/>
  <c r="F34" i="2" s="1"/>
  <c r="M30" i="2" s="1"/>
  <c r="H9" i="2"/>
  <c r="L39" i="1"/>
  <c r="N36" i="1"/>
  <c r="ES185" i="7" l="1"/>
  <c r="ES178" i="7"/>
  <c r="CL187" i="7"/>
  <c r="CL116" i="7"/>
  <c r="CP188" i="7"/>
  <c r="CP117" i="7"/>
  <c r="CT116" i="7"/>
  <c r="CT187" i="7"/>
  <c r="CH117" i="7"/>
  <c r="CH188" i="7"/>
  <c r="DB116" i="7"/>
  <c r="DB187" i="7"/>
  <c r="EP186" i="7"/>
  <c r="ES162" i="7" s="1"/>
  <c r="CX117" i="7"/>
  <c r="CX188" i="7"/>
  <c r="CD116" i="7"/>
  <c r="CD187" i="7"/>
  <c r="EL116" i="7"/>
  <c r="EL187" i="7"/>
  <c r="DJ116" i="7"/>
  <c r="DJ187" i="7"/>
  <c r="DP116" i="7"/>
  <c r="DP187" i="7"/>
  <c r="EC188" i="7"/>
  <c r="EC117" i="7"/>
  <c r="EG188" i="7"/>
  <c r="EG117" i="7"/>
  <c r="DI189" i="7"/>
  <c r="DI118" i="7"/>
  <c r="DW188" i="7"/>
  <c r="DW117" i="7"/>
  <c r="EH116" i="7"/>
  <c r="EH187" i="7"/>
  <c r="DZ116" i="7"/>
  <c r="DZ187" i="7"/>
  <c r="EB116" i="7"/>
  <c r="EB187" i="7"/>
  <c r="EJ116" i="7"/>
  <c r="EJ187" i="7"/>
  <c r="DL116" i="7"/>
  <c r="DL187" i="7"/>
  <c r="DF116" i="7"/>
  <c r="DF187" i="7"/>
  <c r="EA188" i="7"/>
  <c r="EA117" i="7"/>
  <c r="DV116" i="7"/>
  <c r="DV187" i="7"/>
  <c r="DN116" i="7"/>
  <c r="DN187" i="7"/>
  <c r="DY188" i="7"/>
  <c r="DY117" i="7"/>
  <c r="EM188" i="7"/>
  <c r="EM117" i="7"/>
  <c r="EN116" i="7"/>
  <c r="EN187" i="7"/>
  <c r="DX116" i="7"/>
  <c r="DX187" i="7"/>
  <c r="DM188" i="7"/>
  <c r="DM117" i="7"/>
  <c r="DQ188" i="7"/>
  <c r="DQ117" i="7"/>
  <c r="EI188" i="7"/>
  <c r="EI117" i="7"/>
  <c r="DO188" i="7"/>
  <c r="DO117" i="7"/>
  <c r="DK117" i="7"/>
  <c r="DK188" i="7"/>
  <c r="EE188" i="7"/>
  <c r="EE117" i="7"/>
  <c r="DH116" i="7"/>
  <c r="DH187" i="7"/>
  <c r="ED116" i="7"/>
  <c r="ED187" i="7"/>
  <c r="DR116" i="7"/>
  <c r="DR187" i="7"/>
  <c r="DU188" i="7"/>
  <c r="DU117" i="7"/>
  <c r="DG188" i="7"/>
  <c r="DG117" i="7"/>
  <c r="DT116" i="7"/>
  <c r="DT187" i="7"/>
  <c r="EK188" i="7"/>
  <c r="EK117" i="7"/>
  <c r="EF116" i="7"/>
  <c r="EF187" i="7"/>
  <c r="DS188" i="7"/>
  <c r="DS117" i="7"/>
  <c r="DA116" i="7"/>
  <c r="DA187" i="7"/>
  <c r="CR188" i="7"/>
  <c r="CR117" i="7"/>
  <c r="CS116" i="7"/>
  <c r="CS187" i="7"/>
  <c r="DC116" i="7"/>
  <c r="DC187" i="7"/>
  <c r="BZ118" i="7"/>
  <c r="BZ189" i="7"/>
  <c r="BX188" i="7"/>
  <c r="BX117" i="7"/>
  <c r="CN188" i="7"/>
  <c r="CN117" i="7"/>
  <c r="CW116" i="7"/>
  <c r="CW187" i="7"/>
  <c r="CZ188" i="7"/>
  <c r="CZ117" i="7"/>
  <c r="BY116" i="7"/>
  <c r="BY187" i="7"/>
  <c r="CC116" i="7"/>
  <c r="CC187" i="7"/>
  <c r="CV188" i="7"/>
  <c r="CV117" i="7"/>
  <c r="CU116" i="7"/>
  <c r="CU187" i="7"/>
  <c r="CE116" i="7"/>
  <c r="CE187" i="7"/>
  <c r="CQ116" i="7"/>
  <c r="CQ187" i="7"/>
  <c r="CO116" i="7"/>
  <c r="CO187" i="7"/>
  <c r="CY116" i="7"/>
  <c r="CY187" i="7"/>
  <c r="CG116" i="7"/>
  <c r="CG187" i="7"/>
  <c r="CK116" i="7"/>
  <c r="CK187" i="7"/>
  <c r="CB188" i="7"/>
  <c r="CB117" i="7"/>
  <c r="BW188" i="7"/>
  <c r="BW117" i="7"/>
  <c r="CM116" i="7"/>
  <c r="CM187" i="7"/>
  <c r="CA116" i="7"/>
  <c r="CA187" i="7"/>
  <c r="CF188" i="7"/>
  <c r="CF117" i="7"/>
  <c r="CI116" i="7"/>
  <c r="CI187" i="7"/>
  <c r="CJ188" i="7"/>
  <c r="CJ117" i="7"/>
  <c r="DD188" i="7"/>
  <c r="DD117" i="7"/>
  <c r="DE116" i="7"/>
  <c r="DE187" i="7"/>
  <c r="F24" i="2"/>
  <c r="G34" i="2" s="1"/>
  <c r="N32" i="2" s="1"/>
  <c r="M32" i="2"/>
  <c r="L42" i="2"/>
  <c r="L41" i="2"/>
  <c r="L40" i="2"/>
  <c r="E33" i="2"/>
  <c r="M42" i="2"/>
  <c r="M41" i="2"/>
  <c r="M40" i="2"/>
  <c r="L31" i="2"/>
  <c r="M31" i="2"/>
  <c r="L32" i="2"/>
  <c r="F33" i="2"/>
  <c r="N39" i="1"/>
  <c r="G30" i="2"/>
  <c r="ES186" i="7" l="1"/>
  <c r="ES158" i="7"/>
  <c r="CH189" i="7"/>
  <c r="CH118" i="7"/>
  <c r="CX189" i="7"/>
  <c r="CX118" i="7"/>
  <c r="CP118" i="7"/>
  <c r="CP189" i="7"/>
  <c r="CD117" i="7"/>
  <c r="CD188" i="7"/>
  <c r="CL117" i="7"/>
  <c r="CL188" i="7"/>
  <c r="DB188" i="7"/>
  <c r="DB117" i="7"/>
  <c r="CT188" i="7"/>
  <c r="CT117" i="7"/>
  <c r="ED188" i="7"/>
  <c r="ED117" i="7"/>
  <c r="DR188" i="7"/>
  <c r="DR117" i="7"/>
  <c r="EP187" i="7"/>
  <c r="ES187" i="7" s="1"/>
  <c r="DU118" i="7"/>
  <c r="DU189" i="7"/>
  <c r="EE189" i="7"/>
  <c r="EE118" i="7"/>
  <c r="DO189" i="7"/>
  <c r="DO118" i="7"/>
  <c r="DQ189" i="7"/>
  <c r="DQ118" i="7"/>
  <c r="EM189" i="7"/>
  <c r="EM118" i="7"/>
  <c r="EA189" i="7"/>
  <c r="EA118" i="7"/>
  <c r="DI119" i="7"/>
  <c r="DI190" i="7"/>
  <c r="EC189" i="7"/>
  <c r="EC118" i="7"/>
  <c r="DX188" i="7"/>
  <c r="DX117" i="7"/>
  <c r="DN188" i="7"/>
  <c r="DN117" i="7"/>
  <c r="DL188" i="7"/>
  <c r="DL117" i="7"/>
  <c r="EB188" i="7"/>
  <c r="EB117" i="7"/>
  <c r="EH188" i="7"/>
  <c r="EH117" i="7"/>
  <c r="DJ188" i="7"/>
  <c r="DJ117" i="7"/>
  <c r="EF188" i="7"/>
  <c r="EF117" i="7"/>
  <c r="DS189" i="7"/>
  <c r="DS118" i="7"/>
  <c r="EK189" i="7"/>
  <c r="EK118" i="7"/>
  <c r="DG118" i="7"/>
  <c r="DG189" i="7"/>
  <c r="EI189" i="7"/>
  <c r="EI118" i="7"/>
  <c r="DM189" i="7"/>
  <c r="DM118" i="7"/>
  <c r="DY189" i="7"/>
  <c r="DY118" i="7"/>
  <c r="DW189" i="7"/>
  <c r="DW118" i="7"/>
  <c r="EG189" i="7"/>
  <c r="EG118" i="7"/>
  <c r="DT188" i="7"/>
  <c r="DT117" i="7"/>
  <c r="DH188" i="7"/>
  <c r="DH117" i="7"/>
  <c r="DK118" i="7"/>
  <c r="DK189" i="7"/>
  <c r="EN188" i="7"/>
  <c r="EN117" i="7"/>
  <c r="DV188" i="7"/>
  <c r="DV117" i="7"/>
  <c r="DF188" i="7"/>
  <c r="DF117" i="7"/>
  <c r="EJ188" i="7"/>
  <c r="EJ117" i="7"/>
  <c r="DZ188" i="7"/>
  <c r="DZ117" i="7"/>
  <c r="DP188" i="7"/>
  <c r="DP117" i="7"/>
  <c r="EL188" i="7"/>
  <c r="EL117" i="7"/>
  <c r="BW118" i="7"/>
  <c r="BW189" i="7"/>
  <c r="CV189" i="7"/>
  <c r="CV118" i="7"/>
  <c r="CZ189" i="7"/>
  <c r="CZ118" i="7"/>
  <c r="BX189" i="7"/>
  <c r="BX118" i="7"/>
  <c r="CR189" i="7"/>
  <c r="CR118" i="7"/>
  <c r="CA188" i="7"/>
  <c r="CA117" i="7"/>
  <c r="CO188" i="7"/>
  <c r="CO117" i="7"/>
  <c r="CE188" i="7"/>
  <c r="CE117" i="7"/>
  <c r="CC188" i="7"/>
  <c r="CC117" i="7"/>
  <c r="DC188" i="7"/>
  <c r="DC117" i="7"/>
  <c r="DE188" i="7"/>
  <c r="DE117" i="7"/>
  <c r="CI188" i="7"/>
  <c r="CI117" i="7"/>
  <c r="CB189" i="7"/>
  <c r="CB118" i="7"/>
  <c r="CN189" i="7"/>
  <c r="CN118" i="7"/>
  <c r="CG188" i="7"/>
  <c r="CG117" i="7"/>
  <c r="CW188" i="7"/>
  <c r="CW117" i="7"/>
  <c r="DD189" i="7"/>
  <c r="DD118" i="7"/>
  <c r="CJ189" i="7"/>
  <c r="CJ118" i="7"/>
  <c r="CF189" i="7"/>
  <c r="CF118" i="7"/>
  <c r="CM188" i="7"/>
  <c r="CM117" i="7"/>
  <c r="CK188" i="7"/>
  <c r="CK117" i="7"/>
  <c r="CY188" i="7"/>
  <c r="CY117" i="7"/>
  <c r="CQ188" i="7"/>
  <c r="CQ117" i="7"/>
  <c r="CU188" i="7"/>
  <c r="CU117" i="7"/>
  <c r="BY188" i="7"/>
  <c r="BY117" i="7"/>
  <c r="BZ119" i="7"/>
  <c r="BZ190" i="7"/>
  <c r="CS188" i="7"/>
  <c r="CS117" i="7"/>
  <c r="DA188" i="7"/>
  <c r="DA117" i="7"/>
  <c r="N41" i="2"/>
  <c r="N42" i="2"/>
  <c r="N40" i="2"/>
  <c r="N31" i="2"/>
  <c r="O31" i="2" s="1"/>
  <c r="O41" i="2" s="1"/>
  <c r="N30" i="2"/>
  <c r="O30" i="2" s="1"/>
  <c r="O40" i="2" s="1"/>
  <c r="O32" i="2"/>
  <c r="O42" i="2" s="1"/>
  <c r="L34" i="2"/>
  <c r="M34" i="2"/>
  <c r="I30" i="2"/>
  <c r="G33" i="2"/>
  <c r="P42" i="2" l="1"/>
  <c r="N44" i="2" s="1"/>
  <c r="N43" i="2" s="1"/>
  <c r="P41" i="2"/>
  <c r="M44" i="2" s="1"/>
  <c r="M43" i="2" s="1"/>
  <c r="EP188" i="7"/>
  <c r="ES188" i="7" s="1"/>
  <c r="DB189" i="7"/>
  <c r="DB118" i="7"/>
  <c r="CX119" i="7"/>
  <c r="CX190" i="7"/>
  <c r="CD118" i="7"/>
  <c r="CD189" i="7"/>
  <c r="CT118" i="7"/>
  <c r="CT189" i="7"/>
  <c r="CH119" i="7"/>
  <c r="CH190" i="7"/>
  <c r="CL118" i="7"/>
  <c r="CL189" i="7"/>
  <c r="CP190" i="7"/>
  <c r="CP119" i="7"/>
  <c r="DP189" i="7"/>
  <c r="DP118" i="7"/>
  <c r="DV118" i="7"/>
  <c r="DV189" i="7"/>
  <c r="DT189" i="7"/>
  <c r="DT118" i="7"/>
  <c r="DW119" i="7"/>
  <c r="DW190" i="7"/>
  <c r="DJ118" i="7"/>
  <c r="DJ189" i="7"/>
  <c r="DK119" i="7"/>
  <c r="DK190" i="7"/>
  <c r="DG119" i="7"/>
  <c r="DG190" i="7"/>
  <c r="DR118" i="7"/>
  <c r="DR189" i="7"/>
  <c r="EL118" i="7"/>
  <c r="EL189" i="7"/>
  <c r="DZ118" i="7"/>
  <c r="DZ189" i="7"/>
  <c r="DF118" i="7"/>
  <c r="DF189" i="7"/>
  <c r="EN189" i="7"/>
  <c r="EN118" i="7"/>
  <c r="DH118" i="7"/>
  <c r="DH189" i="7"/>
  <c r="EG190" i="7"/>
  <c r="EG119" i="7"/>
  <c r="DY190" i="7"/>
  <c r="DY119" i="7"/>
  <c r="EI119" i="7"/>
  <c r="EI190" i="7"/>
  <c r="EK190" i="7"/>
  <c r="EK119" i="7"/>
  <c r="EF189" i="7"/>
  <c r="EF118" i="7"/>
  <c r="EH118" i="7"/>
  <c r="EH189" i="7"/>
  <c r="DL118" i="7"/>
  <c r="DL189" i="7"/>
  <c r="DX189" i="7"/>
  <c r="DX118" i="7"/>
  <c r="EM119" i="7"/>
  <c r="EM190" i="7"/>
  <c r="DO119" i="7"/>
  <c r="DO190" i="7"/>
  <c r="DI120" i="7"/>
  <c r="DI191" i="7"/>
  <c r="DU190" i="7"/>
  <c r="DU119" i="7"/>
  <c r="ED118" i="7"/>
  <c r="ED189" i="7"/>
  <c r="EJ189" i="7"/>
  <c r="EJ118" i="7"/>
  <c r="DM190" i="7"/>
  <c r="DM119" i="7"/>
  <c r="DS119" i="7"/>
  <c r="DS190" i="7"/>
  <c r="EB189" i="7"/>
  <c r="EB118" i="7"/>
  <c r="DN118" i="7"/>
  <c r="DN189" i="7"/>
  <c r="EC190" i="7"/>
  <c r="EC119" i="7"/>
  <c r="EA119" i="7"/>
  <c r="EA190" i="7"/>
  <c r="DQ190" i="7"/>
  <c r="DQ119" i="7"/>
  <c r="EE119" i="7"/>
  <c r="EE190" i="7"/>
  <c r="CC189" i="7"/>
  <c r="CC118" i="7"/>
  <c r="CA118" i="7"/>
  <c r="CA189" i="7"/>
  <c r="CF119" i="7"/>
  <c r="CF190" i="7"/>
  <c r="CW189" i="7"/>
  <c r="CW118" i="7"/>
  <c r="BZ120" i="7"/>
  <c r="BZ191" i="7"/>
  <c r="DE189" i="7"/>
  <c r="DE118" i="7"/>
  <c r="BX119" i="7"/>
  <c r="BX190" i="7"/>
  <c r="DA189" i="7"/>
  <c r="DA118" i="7"/>
  <c r="DD119" i="7"/>
  <c r="DD190" i="7"/>
  <c r="CN119" i="7"/>
  <c r="CN190" i="7"/>
  <c r="CI118" i="7"/>
  <c r="CI189" i="7"/>
  <c r="DC118" i="7"/>
  <c r="DC189" i="7"/>
  <c r="CE118" i="7"/>
  <c r="CE189" i="7"/>
  <c r="CR190" i="7"/>
  <c r="CR119" i="7"/>
  <c r="CZ190" i="7"/>
  <c r="CZ119" i="7"/>
  <c r="CB190" i="7"/>
  <c r="CB119" i="7"/>
  <c r="CO189" i="7"/>
  <c r="CO118" i="7"/>
  <c r="CV119" i="7"/>
  <c r="CV190" i="7"/>
  <c r="CQ118" i="7"/>
  <c r="CQ189" i="7"/>
  <c r="CK189" i="7"/>
  <c r="CK118" i="7"/>
  <c r="CS189" i="7"/>
  <c r="CS118" i="7"/>
  <c r="BY189" i="7"/>
  <c r="BY118" i="7"/>
  <c r="CU118" i="7"/>
  <c r="CU189" i="7"/>
  <c r="CY118" i="7"/>
  <c r="CY189" i="7"/>
  <c r="CM118" i="7"/>
  <c r="CM189" i="7"/>
  <c r="CJ190" i="7"/>
  <c r="CJ119" i="7"/>
  <c r="CG189" i="7"/>
  <c r="CG118" i="7"/>
  <c r="BW119" i="7"/>
  <c r="BW190" i="7"/>
  <c r="P40" i="2"/>
  <c r="L44" i="2" s="1"/>
  <c r="L43" i="2" s="1"/>
  <c r="N34" i="2"/>
  <c r="L49" i="2" l="1"/>
  <c r="L48" i="2"/>
  <c r="CT119" i="7"/>
  <c r="CT190" i="7"/>
  <c r="CP191" i="7"/>
  <c r="CP120" i="7"/>
  <c r="DB190" i="7"/>
  <c r="DB119" i="7"/>
  <c r="CL119" i="7"/>
  <c r="CL190" i="7"/>
  <c r="CX191" i="7"/>
  <c r="CX120" i="7"/>
  <c r="CH191" i="7"/>
  <c r="CH120" i="7"/>
  <c r="CD190" i="7"/>
  <c r="CD119" i="7"/>
  <c r="EP189" i="7"/>
  <c r="ES189" i="7" s="1"/>
  <c r="EE191" i="7"/>
  <c r="EE120" i="7"/>
  <c r="EA191" i="7"/>
  <c r="EA120" i="7"/>
  <c r="DS120" i="7"/>
  <c r="DS191" i="7"/>
  <c r="DO191" i="7"/>
  <c r="DO120" i="7"/>
  <c r="EH119" i="7"/>
  <c r="EH190" i="7"/>
  <c r="DF119" i="7"/>
  <c r="DF190" i="7"/>
  <c r="DG191" i="7"/>
  <c r="DG120" i="7"/>
  <c r="DQ120" i="7"/>
  <c r="DQ191" i="7"/>
  <c r="EC120" i="7"/>
  <c r="EC191" i="7"/>
  <c r="EB119" i="7"/>
  <c r="EB190" i="7"/>
  <c r="DM120" i="7"/>
  <c r="DM191" i="7"/>
  <c r="EF190" i="7"/>
  <c r="EF119" i="7"/>
  <c r="EG120" i="7"/>
  <c r="EG191" i="7"/>
  <c r="EN119" i="7"/>
  <c r="EN190" i="7"/>
  <c r="ED190" i="7"/>
  <c r="ED119" i="7"/>
  <c r="DI121" i="7"/>
  <c r="DI192" i="7"/>
  <c r="EM191" i="7"/>
  <c r="EM120" i="7"/>
  <c r="DL119" i="7"/>
  <c r="DL190" i="7"/>
  <c r="EI120" i="7"/>
  <c r="EI191" i="7"/>
  <c r="DZ119" i="7"/>
  <c r="DZ190" i="7"/>
  <c r="DR119" i="7"/>
  <c r="DR190" i="7"/>
  <c r="DK191" i="7"/>
  <c r="DK120" i="7"/>
  <c r="DW120" i="7"/>
  <c r="DW191" i="7"/>
  <c r="DV119" i="7"/>
  <c r="DV190" i="7"/>
  <c r="EJ190" i="7"/>
  <c r="EJ119" i="7"/>
  <c r="DU120" i="7"/>
  <c r="DU191" i="7"/>
  <c r="DX119" i="7"/>
  <c r="DX190" i="7"/>
  <c r="EK120" i="7"/>
  <c r="EK191" i="7"/>
  <c r="DY120" i="7"/>
  <c r="DY191" i="7"/>
  <c r="DT190" i="7"/>
  <c r="DT119" i="7"/>
  <c r="DP190" i="7"/>
  <c r="DP119" i="7"/>
  <c r="DN119" i="7"/>
  <c r="DN190" i="7"/>
  <c r="DH190" i="7"/>
  <c r="DH119" i="7"/>
  <c r="EL119" i="7"/>
  <c r="EL190" i="7"/>
  <c r="DJ119" i="7"/>
  <c r="DJ190" i="7"/>
  <c r="CS190" i="7"/>
  <c r="CS119" i="7"/>
  <c r="CO190" i="7"/>
  <c r="CO119" i="7"/>
  <c r="CY119" i="7"/>
  <c r="CY190" i="7"/>
  <c r="CV191" i="7"/>
  <c r="CV120" i="7"/>
  <c r="CZ120" i="7"/>
  <c r="CZ191" i="7"/>
  <c r="CW190" i="7"/>
  <c r="CW119" i="7"/>
  <c r="CE119" i="7"/>
  <c r="CE190" i="7"/>
  <c r="CI119" i="7"/>
  <c r="CI190" i="7"/>
  <c r="DD120" i="7"/>
  <c r="DD191" i="7"/>
  <c r="BX120" i="7"/>
  <c r="BX191" i="7"/>
  <c r="BW120" i="7"/>
  <c r="BW191" i="7"/>
  <c r="CM119" i="7"/>
  <c r="CM190" i="7"/>
  <c r="CU119" i="7"/>
  <c r="CU190" i="7"/>
  <c r="CQ119" i="7"/>
  <c r="CQ190" i="7"/>
  <c r="CR120" i="7"/>
  <c r="CR191" i="7"/>
  <c r="DA190" i="7"/>
  <c r="DA119" i="7"/>
  <c r="DE190" i="7"/>
  <c r="DE119" i="7"/>
  <c r="CC190" i="7"/>
  <c r="CC119" i="7"/>
  <c r="CG190" i="7"/>
  <c r="CG119" i="7"/>
  <c r="CA119" i="7"/>
  <c r="CA190" i="7"/>
  <c r="CJ120" i="7"/>
  <c r="CJ191" i="7"/>
  <c r="BY190" i="7"/>
  <c r="BY119" i="7"/>
  <c r="CK190" i="7"/>
  <c r="CK119" i="7"/>
  <c r="CB191" i="7"/>
  <c r="CB120" i="7"/>
  <c r="DC119" i="7"/>
  <c r="DC190" i="7"/>
  <c r="CN120" i="7"/>
  <c r="CN191" i="7"/>
  <c r="BZ121" i="7"/>
  <c r="BZ192" i="7"/>
  <c r="CF191" i="7"/>
  <c r="CF120" i="7"/>
  <c r="L47" i="2"/>
  <c r="G19" i="4"/>
  <c r="G18" i="4" s="1"/>
  <c r="CH121" i="7" l="1"/>
  <c r="CH192" i="7"/>
  <c r="CP121" i="7"/>
  <c r="CP192" i="7"/>
  <c r="CD120" i="7"/>
  <c r="CD191" i="7"/>
  <c r="CX121" i="7"/>
  <c r="CX192" i="7"/>
  <c r="DB191" i="7"/>
  <c r="DB120" i="7"/>
  <c r="CL191" i="7"/>
  <c r="CL120" i="7"/>
  <c r="CT120" i="7"/>
  <c r="CT191" i="7"/>
  <c r="EP190" i="7"/>
  <c r="ES190" i="7" s="1"/>
  <c r="EL120" i="7"/>
  <c r="EL191" i="7"/>
  <c r="DN120" i="7"/>
  <c r="DN191" i="7"/>
  <c r="EK192" i="7"/>
  <c r="EK121" i="7"/>
  <c r="DU192" i="7"/>
  <c r="DU121" i="7"/>
  <c r="DV120" i="7"/>
  <c r="DV191" i="7"/>
  <c r="DZ120" i="7"/>
  <c r="DZ191" i="7"/>
  <c r="DL191" i="7"/>
  <c r="DL120" i="7"/>
  <c r="DI122" i="7"/>
  <c r="DI193" i="7"/>
  <c r="EN120" i="7"/>
  <c r="EN191" i="7"/>
  <c r="EB191" i="7"/>
  <c r="EB120" i="7"/>
  <c r="DQ192" i="7"/>
  <c r="DQ121" i="7"/>
  <c r="DF120" i="7"/>
  <c r="DF191" i="7"/>
  <c r="DH120" i="7"/>
  <c r="DH191" i="7"/>
  <c r="DP120" i="7"/>
  <c r="DP191" i="7"/>
  <c r="EJ120" i="7"/>
  <c r="EJ191" i="7"/>
  <c r="EM121" i="7"/>
  <c r="EM192" i="7"/>
  <c r="ED120" i="7"/>
  <c r="ED191" i="7"/>
  <c r="DG121" i="7"/>
  <c r="DG192" i="7"/>
  <c r="EE121" i="7"/>
  <c r="EE192" i="7"/>
  <c r="DJ120" i="7"/>
  <c r="DJ191" i="7"/>
  <c r="DY121" i="7"/>
  <c r="DY192" i="7"/>
  <c r="DX120" i="7"/>
  <c r="DX191" i="7"/>
  <c r="DW121" i="7"/>
  <c r="DW192" i="7"/>
  <c r="DR120" i="7"/>
  <c r="DR191" i="7"/>
  <c r="EI121" i="7"/>
  <c r="EI192" i="7"/>
  <c r="EG192" i="7"/>
  <c r="EG121" i="7"/>
  <c r="DM192" i="7"/>
  <c r="DM121" i="7"/>
  <c r="EC192" i="7"/>
  <c r="EC121" i="7"/>
  <c r="EH120" i="7"/>
  <c r="EH191" i="7"/>
  <c r="DS121" i="7"/>
  <c r="DS192" i="7"/>
  <c r="DT120" i="7"/>
  <c r="DT191" i="7"/>
  <c r="DK121" i="7"/>
  <c r="DK192" i="7"/>
  <c r="EF120" i="7"/>
  <c r="EF191" i="7"/>
  <c r="DO121" i="7"/>
  <c r="DO192" i="7"/>
  <c r="EA121" i="7"/>
  <c r="EA192" i="7"/>
  <c r="CN121" i="7"/>
  <c r="CN192" i="7"/>
  <c r="CU191" i="7"/>
  <c r="CU120" i="7"/>
  <c r="DA120" i="7"/>
  <c r="DA191" i="7"/>
  <c r="CS120" i="7"/>
  <c r="CS191" i="7"/>
  <c r="BZ122" i="7"/>
  <c r="BZ193" i="7"/>
  <c r="CA191" i="7"/>
  <c r="CA120" i="7"/>
  <c r="CR121" i="7"/>
  <c r="CR192" i="7"/>
  <c r="BX121" i="7"/>
  <c r="BX192" i="7"/>
  <c r="CM191" i="7"/>
  <c r="CM120" i="7"/>
  <c r="DD121" i="7"/>
  <c r="DD192" i="7"/>
  <c r="CE191" i="7"/>
  <c r="CE120" i="7"/>
  <c r="CZ121" i="7"/>
  <c r="CZ192" i="7"/>
  <c r="CQ191" i="7"/>
  <c r="CQ120" i="7"/>
  <c r="BW121" i="7"/>
  <c r="BW192" i="7"/>
  <c r="CI191" i="7"/>
  <c r="CI120" i="7"/>
  <c r="CY191" i="7"/>
  <c r="CY120" i="7"/>
  <c r="CF121" i="7"/>
  <c r="CF192" i="7"/>
  <c r="CK120" i="7"/>
  <c r="CK191" i="7"/>
  <c r="CC120" i="7"/>
  <c r="CC191" i="7"/>
  <c r="DC191" i="7"/>
  <c r="DC120" i="7"/>
  <c r="CJ121" i="7"/>
  <c r="CJ192" i="7"/>
  <c r="CB192" i="7"/>
  <c r="CB121" i="7"/>
  <c r="BY120" i="7"/>
  <c r="BY191" i="7"/>
  <c r="CG120" i="7"/>
  <c r="CG191" i="7"/>
  <c r="DE120" i="7"/>
  <c r="DE191" i="7"/>
  <c r="CW120" i="7"/>
  <c r="CW191" i="7"/>
  <c r="CV192" i="7"/>
  <c r="CV121" i="7"/>
  <c r="CO120" i="7"/>
  <c r="CO191" i="7"/>
  <c r="D31" i="4"/>
  <c r="D30" i="4" s="1"/>
  <c r="V18" i="4"/>
  <c r="D19" i="4"/>
  <c r="D18" i="4" s="1"/>
  <c r="Z73" i="4"/>
  <c r="Z72" i="4" s="1"/>
  <c r="AA73" i="4"/>
  <c r="AA72" i="4" s="1"/>
  <c r="AF72" i="4"/>
  <c r="AC73" i="4"/>
  <c r="AC72" i="4" s="1"/>
  <c r="AB73" i="4"/>
  <c r="AB72" i="4" s="1"/>
  <c r="CL192" i="7" l="1"/>
  <c r="CL121" i="7"/>
  <c r="CP122" i="7"/>
  <c r="CP193" i="7"/>
  <c r="DB192" i="7"/>
  <c r="DB121" i="7"/>
  <c r="CX193" i="7"/>
  <c r="CX122" i="7"/>
  <c r="EP191" i="7"/>
  <c r="ES191" i="7" s="1"/>
  <c r="CT192" i="7"/>
  <c r="CT121" i="7"/>
  <c r="CD121" i="7"/>
  <c r="CD192" i="7"/>
  <c r="CH122" i="7"/>
  <c r="CH193" i="7"/>
  <c r="EC122" i="7"/>
  <c r="EC193" i="7"/>
  <c r="DO193" i="7"/>
  <c r="DO122" i="7"/>
  <c r="DK193" i="7"/>
  <c r="DK122" i="7"/>
  <c r="DS122" i="7"/>
  <c r="DS193" i="7"/>
  <c r="DR121" i="7"/>
  <c r="DR192" i="7"/>
  <c r="DX121" i="7"/>
  <c r="DX192" i="7"/>
  <c r="DJ121" i="7"/>
  <c r="DJ192" i="7"/>
  <c r="DG193" i="7"/>
  <c r="DG122" i="7"/>
  <c r="EM122" i="7"/>
  <c r="EM193" i="7"/>
  <c r="DP121" i="7"/>
  <c r="DP192" i="7"/>
  <c r="DF121" i="7"/>
  <c r="DF192" i="7"/>
  <c r="DI123" i="7"/>
  <c r="DI194" i="7"/>
  <c r="DZ121" i="7"/>
  <c r="DZ192" i="7"/>
  <c r="DN121" i="7"/>
  <c r="DN192" i="7"/>
  <c r="DM122" i="7"/>
  <c r="DM193" i="7"/>
  <c r="DQ122" i="7"/>
  <c r="DQ193" i="7"/>
  <c r="DL192" i="7"/>
  <c r="DL121" i="7"/>
  <c r="EK122" i="7"/>
  <c r="EK193" i="7"/>
  <c r="EA193" i="7"/>
  <c r="EA122" i="7"/>
  <c r="EF121" i="7"/>
  <c r="EF192" i="7"/>
  <c r="DT121" i="7"/>
  <c r="DT192" i="7"/>
  <c r="EH121" i="7"/>
  <c r="EH192" i="7"/>
  <c r="EI122" i="7"/>
  <c r="EI193" i="7"/>
  <c r="DW122" i="7"/>
  <c r="DW193" i="7"/>
  <c r="DY122" i="7"/>
  <c r="DY193" i="7"/>
  <c r="EE193" i="7"/>
  <c r="EE122" i="7"/>
  <c r="ED121" i="7"/>
  <c r="ED192" i="7"/>
  <c r="EJ121" i="7"/>
  <c r="EJ192" i="7"/>
  <c r="DH121" i="7"/>
  <c r="DH192" i="7"/>
  <c r="EN121" i="7"/>
  <c r="EN192" i="7"/>
  <c r="DV121" i="7"/>
  <c r="DV192" i="7"/>
  <c r="EL121" i="7"/>
  <c r="EL192" i="7"/>
  <c r="EG122" i="7"/>
  <c r="EG193" i="7"/>
  <c r="EB121" i="7"/>
  <c r="EB192" i="7"/>
  <c r="DU122" i="7"/>
  <c r="DU193" i="7"/>
  <c r="BY192" i="7"/>
  <c r="BY121" i="7"/>
  <c r="CK192" i="7"/>
  <c r="CK121" i="7"/>
  <c r="BW122" i="7"/>
  <c r="BW193" i="7"/>
  <c r="CR122" i="7"/>
  <c r="CR193" i="7"/>
  <c r="BZ194" i="7"/>
  <c r="BZ123" i="7"/>
  <c r="CY121" i="7"/>
  <c r="CY192" i="7"/>
  <c r="CE121" i="7"/>
  <c r="CE192" i="7"/>
  <c r="DE192" i="7"/>
  <c r="DE121" i="7"/>
  <c r="CO192" i="7"/>
  <c r="CO121" i="7"/>
  <c r="CB122" i="7"/>
  <c r="CB193" i="7"/>
  <c r="CI121" i="7"/>
  <c r="CI192" i="7"/>
  <c r="CQ121" i="7"/>
  <c r="CQ192" i="7"/>
  <c r="CM121" i="7"/>
  <c r="CM192" i="7"/>
  <c r="CA121" i="7"/>
  <c r="CA192" i="7"/>
  <c r="CU121" i="7"/>
  <c r="CU192" i="7"/>
  <c r="CJ193" i="7"/>
  <c r="CJ122" i="7"/>
  <c r="CW192" i="7"/>
  <c r="CW121" i="7"/>
  <c r="DC121" i="7"/>
  <c r="DC192" i="7"/>
  <c r="CV122" i="7"/>
  <c r="CV193" i="7"/>
  <c r="CG121" i="7"/>
  <c r="CG192" i="7"/>
  <c r="CC121" i="7"/>
  <c r="CC192" i="7"/>
  <c r="CF193" i="7"/>
  <c r="CF122" i="7"/>
  <c r="CZ122" i="7"/>
  <c r="CZ193" i="7"/>
  <c r="DD122" i="7"/>
  <c r="DD193" i="7"/>
  <c r="BX122" i="7"/>
  <c r="BX193" i="7"/>
  <c r="CS121" i="7"/>
  <c r="CS192" i="7"/>
  <c r="DA192" i="7"/>
  <c r="DA121" i="7"/>
  <c r="CN122" i="7"/>
  <c r="CN193" i="7"/>
  <c r="CD122" i="7" l="1"/>
  <c r="CD193" i="7"/>
  <c r="CX194" i="7"/>
  <c r="CX123" i="7"/>
  <c r="CT193" i="7"/>
  <c r="CT122" i="7"/>
  <c r="CP194" i="7"/>
  <c r="CP123" i="7"/>
  <c r="CH194" i="7"/>
  <c r="CH123" i="7"/>
  <c r="DB193" i="7"/>
  <c r="DB122" i="7"/>
  <c r="CL193" i="7"/>
  <c r="CL122" i="7"/>
  <c r="EP192" i="7"/>
  <c r="ES192" i="7" s="1"/>
  <c r="EB122" i="7"/>
  <c r="EB193" i="7"/>
  <c r="EN122" i="7"/>
  <c r="EN193" i="7"/>
  <c r="DW123" i="7"/>
  <c r="DW194" i="7"/>
  <c r="EK194" i="7"/>
  <c r="EK123" i="7"/>
  <c r="DQ194" i="7"/>
  <c r="DQ123" i="7"/>
  <c r="DI195" i="7"/>
  <c r="DI124" i="7"/>
  <c r="DX122" i="7"/>
  <c r="DX193" i="7"/>
  <c r="EG123" i="7"/>
  <c r="EG194" i="7"/>
  <c r="DV122" i="7"/>
  <c r="DV193" i="7"/>
  <c r="DH122" i="7"/>
  <c r="DH193" i="7"/>
  <c r="DY123" i="7"/>
  <c r="DY194" i="7"/>
  <c r="EI123" i="7"/>
  <c r="EI194" i="7"/>
  <c r="DT122" i="7"/>
  <c r="DT193" i="7"/>
  <c r="DZ122" i="7"/>
  <c r="DZ193" i="7"/>
  <c r="EE194" i="7"/>
  <c r="EE123" i="7"/>
  <c r="DG123" i="7"/>
  <c r="DG194" i="7"/>
  <c r="DO123" i="7"/>
  <c r="DO194" i="7"/>
  <c r="EL122" i="7"/>
  <c r="EL193" i="7"/>
  <c r="EH122" i="7"/>
  <c r="EH193" i="7"/>
  <c r="DN122" i="7"/>
  <c r="DN193" i="7"/>
  <c r="EA123" i="7"/>
  <c r="EA194" i="7"/>
  <c r="DL122" i="7"/>
  <c r="DL193" i="7"/>
  <c r="DK123" i="7"/>
  <c r="DK194" i="7"/>
  <c r="EJ122" i="7"/>
  <c r="EJ193" i="7"/>
  <c r="EF193" i="7"/>
  <c r="EF122" i="7"/>
  <c r="DP193" i="7"/>
  <c r="DP122" i="7"/>
  <c r="DS123" i="7"/>
  <c r="DS194" i="7"/>
  <c r="DU194" i="7"/>
  <c r="DU123" i="7"/>
  <c r="ED122" i="7"/>
  <c r="ED193" i="7"/>
  <c r="DM123" i="7"/>
  <c r="DM194" i="7"/>
  <c r="DF122" i="7"/>
  <c r="DF193" i="7"/>
  <c r="EM123" i="7"/>
  <c r="EM194" i="7"/>
  <c r="DJ122" i="7"/>
  <c r="DJ193" i="7"/>
  <c r="DR122" i="7"/>
  <c r="DR193" i="7"/>
  <c r="EC123" i="7"/>
  <c r="EC194" i="7"/>
  <c r="CB123" i="7"/>
  <c r="CB194" i="7"/>
  <c r="BX123" i="7"/>
  <c r="BX194" i="7"/>
  <c r="DD123" i="7"/>
  <c r="DD194" i="7"/>
  <c r="CG122" i="7"/>
  <c r="CG193" i="7"/>
  <c r="DC122" i="7"/>
  <c r="DC193" i="7"/>
  <c r="CK122" i="7"/>
  <c r="CK193" i="7"/>
  <c r="CA122" i="7"/>
  <c r="CA193" i="7"/>
  <c r="CN123" i="7"/>
  <c r="CN194" i="7"/>
  <c r="CZ123" i="7"/>
  <c r="CZ194" i="7"/>
  <c r="CV194" i="7"/>
  <c r="CV123" i="7"/>
  <c r="CU193" i="7"/>
  <c r="CU122" i="7"/>
  <c r="CO122" i="7"/>
  <c r="CO193" i="7"/>
  <c r="DE122" i="7"/>
  <c r="DE193" i="7"/>
  <c r="BZ124" i="7"/>
  <c r="BZ195" i="7"/>
  <c r="BY122" i="7"/>
  <c r="BY193" i="7"/>
  <c r="CW122" i="7"/>
  <c r="CW193" i="7"/>
  <c r="CQ122" i="7"/>
  <c r="CQ193" i="7"/>
  <c r="CE193" i="7"/>
  <c r="CE122" i="7"/>
  <c r="CR123" i="7"/>
  <c r="CR194" i="7"/>
  <c r="CS122" i="7"/>
  <c r="CS193" i="7"/>
  <c r="CC122" i="7"/>
  <c r="CC193" i="7"/>
  <c r="DA122" i="7"/>
  <c r="DA193" i="7"/>
  <c r="CF123" i="7"/>
  <c r="CF194" i="7"/>
  <c r="CJ194" i="7"/>
  <c r="CJ123" i="7"/>
  <c r="CM122" i="7"/>
  <c r="CM193" i="7"/>
  <c r="CI193" i="7"/>
  <c r="CI122" i="7"/>
  <c r="CY193" i="7"/>
  <c r="CY122" i="7"/>
  <c r="BW123" i="7"/>
  <c r="BW194" i="7"/>
  <c r="DB123" i="7" l="1"/>
  <c r="DB194" i="7"/>
  <c r="CP195" i="7"/>
  <c r="CP124" i="7"/>
  <c r="CX195" i="7"/>
  <c r="CX124" i="7"/>
  <c r="CL123" i="7"/>
  <c r="CL194" i="7"/>
  <c r="CH195" i="7"/>
  <c r="CH124" i="7"/>
  <c r="CT194" i="7"/>
  <c r="CT123" i="7"/>
  <c r="CD123" i="7"/>
  <c r="CD194" i="7"/>
  <c r="DM124" i="7"/>
  <c r="DM195" i="7"/>
  <c r="EF123" i="7"/>
  <c r="EF194" i="7"/>
  <c r="EC195" i="7"/>
  <c r="EC124" i="7"/>
  <c r="DJ123" i="7"/>
  <c r="DJ194" i="7"/>
  <c r="DF123" i="7"/>
  <c r="DF194" i="7"/>
  <c r="ED123" i="7"/>
  <c r="ED194" i="7"/>
  <c r="DS124" i="7"/>
  <c r="DS195" i="7"/>
  <c r="DK124" i="7"/>
  <c r="DK195" i="7"/>
  <c r="EA124" i="7"/>
  <c r="EA195" i="7"/>
  <c r="DO195" i="7"/>
  <c r="DO124" i="7"/>
  <c r="DT123" i="7"/>
  <c r="DT194" i="7"/>
  <c r="DY195" i="7"/>
  <c r="DY124" i="7"/>
  <c r="DV123" i="7"/>
  <c r="DV194" i="7"/>
  <c r="DX123" i="7"/>
  <c r="DX194" i="7"/>
  <c r="EB194" i="7"/>
  <c r="EB123" i="7"/>
  <c r="EP193" i="7"/>
  <c r="ES193" i="7" s="1"/>
  <c r="DU195" i="7"/>
  <c r="DU124" i="7"/>
  <c r="DP123" i="7"/>
  <c r="DP194" i="7"/>
  <c r="DI125" i="7"/>
  <c r="DI196" i="7"/>
  <c r="EK195" i="7"/>
  <c r="EK124" i="7"/>
  <c r="DR123" i="7"/>
  <c r="DR194" i="7"/>
  <c r="EJ194" i="7"/>
  <c r="EJ123" i="7"/>
  <c r="DL123" i="7"/>
  <c r="DL194" i="7"/>
  <c r="DN123" i="7"/>
  <c r="DN194" i="7"/>
  <c r="EL123" i="7"/>
  <c r="EL194" i="7"/>
  <c r="DG124" i="7"/>
  <c r="DG195" i="7"/>
  <c r="DZ123" i="7"/>
  <c r="DZ194" i="7"/>
  <c r="EI124" i="7"/>
  <c r="EI195" i="7"/>
  <c r="DH123" i="7"/>
  <c r="DH194" i="7"/>
  <c r="EG124" i="7"/>
  <c r="EG195" i="7"/>
  <c r="EN123" i="7"/>
  <c r="EN194" i="7"/>
  <c r="EE124" i="7"/>
  <c r="EE195" i="7"/>
  <c r="DQ124" i="7"/>
  <c r="DQ195" i="7"/>
  <c r="EM124" i="7"/>
  <c r="EM195" i="7"/>
  <c r="EH123" i="7"/>
  <c r="EH194" i="7"/>
  <c r="DW124" i="7"/>
  <c r="DW195" i="7"/>
  <c r="CM123" i="7"/>
  <c r="CM194" i="7"/>
  <c r="CF124" i="7"/>
  <c r="CF195" i="7"/>
  <c r="CC123" i="7"/>
  <c r="CC194" i="7"/>
  <c r="CR124" i="7"/>
  <c r="CR195" i="7"/>
  <c r="CQ123" i="7"/>
  <c r="CQ194" i="7"/>
  <c r="BY194" i="7"/>
  <c r="BY123" i="7"/>
  <c r="CU123" i="7"/>
  <c r="CU194" i="7"/>
  <c r="CN124" i="7"/>
  <c r="CN195" i="7"/>
  <c r="CK194" i="7"/>
  <c r="CK123" i="7"/>
  <c r="BX124" i="7"/>
  <c r="BX195" i="7"/>
  <c r="DA194" i="7"/>
  <c r="DA123" i="7"/>
  <c r="CW123" i="7"/>
  <c r="CW194" i="7"/>
  <c r="CV124" i="7"/>
  <c r="CV195" i="7"/>
  <c r="CI123" i="7"/>
  <c r="CI194" i="7"/>
  <c r="CJ124" i="7"/>
  <c r="CJ195" i="7"/>
  <c r="CE123" i="7"/>
  <c r="CE194" i="7"/>
  <c r="DE194" i="7"/>
  <c r="DE123" i="7"/>
  <c r="CZ124" i="7"/>
  <c r="CZ195" i="7"/>
  <c r="CG123" i="7"/>
  <c r="CG194" i="7"/>
  <c r="BW124" i="7"/>
  <c r="BW195" i="7"/>
  <c r="CS123" i="7"/>
  <c r="CS194" i="7"/>
  <c r="CY123" i="7"/>
  <c r="CY194" i="7"/>
  <c r="BZ125" i="7"/>
  <c r="BZ196" i="7"/>
  <c r="CO194" i="7"/>
  <c r="CO123" i="7"/>
  <c r="CA123" i="7"/>
  <c r="CA194" i="7"/>
  <c r="DC123" i="7"/>
  <c r="DC194" i="7"/>
  <c r="DD124" i="7"/>
  <c r="DD195" i="7"/>
  <c r="CB124" i="7"/>
  <c r="CB195" i="7"/>
  <c r="CT195" i="7" l="1"/>
  <c r="CT124" i="7"/>
  <c r="CP125" i="7"/>
  <c r="CP196" i="7"/>
  <c r="CH125" i="7"/>
  <c r="CH196" i="7"/>
  <c r="CX196" i="7"/>
  <c r="CX125" i="7"/>
  <c r="CL124" i="7"/>
  <c r="CL195" i="7"/>
  <c r="EP194" i="7"/>
  <c r="ES194" i="7" s="1"/>
  <c r="CD124" i="7"/>
  <c r="CD195" i="7"/>
  <c r="DB124" i="7"/>
  <c r="DB195" i="7"/>
  <c r="EJ124" i="7"/>
  <c r="EJ195" i="7"/>
  <c r="DU196" i="7"/>
  <c r="DU125" i="7"/>
  <c r="DT124" i="7"/>
  <c r="DT195" i="7"/>
  <c r="EH124" i="7"/>
  <c r="EH195" i="7"/>
  <c r="DQ125" i="7"/>
  <c r="DQ196" i="7"/>
  <c r="EN124" i="7"/>
  <c r="EN195" i="7"/>
  <c r="DH124" i="7"/>
  <c r="DH195" i="7"/>
  <c r="DZ124" i="7"/>
  <c r="DZ195" i="7"/>
  <c r="EL124" i="7"/>
  <c r="EL195" i="7"/>
  <c r="DL124" i="7"/>
  <c r="DL195" i="7"/>
  <c r="DR124" i="7"/>
  <c r="DR195" i="7"/>
  <c r="DI197" i="7"/>
  <c r="DI126" i="7"/>
  <c r="DY196" i="7"/>
  <c r="DY125" i="7"/>
  <c r="DO196" i="7"/>
  <c r="DO125" i="7"/>
  <c r="EK196" i="7"/>
  <c r="EK125" i="7"/>
  <c r="DX124" i="7"/>
  <c r="DX195" i="7"/>
  <c r="DK125" i="7"/>
  <c r="DK196" i="7"/>
  <c r="ED124" i="7"/>
  <c r="ED195" i="7"/>
  <c r="DJ124" i="7"/>
  <c r="DJ195" i="7"/>
  <c r="EF124" i="7"/>
  <c r="EF195" i="7"/>
  <c r="DW125" i="7"/>
  <c r="DW196" i="7"/>
  <c r="EM125" i="7"/>
  <c r="EM196" i="7"/>
  <c r="EE196" i="7"/>
  <c r="EE125" i="7"/>
  <c r="EG125" i="7"/>
  <c r="EG196" i="7"/>
  <c r="EI125" i="7"/>
  <c r="EI196" i="7"/>
  <c r="DG125" i="7"/>
  <c r="DG196" i="7"/>
  <c r="DN124" i="7"/>
  <c r="DN195" i="7"/>
  <c r="DP124" i="7"/>
  <c r="DP195" i="7"/>
  <c r="EB124" i="7"/>
  <c r="EB195" i="7"/>
  <c r="EC125" i="7"/>
  <c r="EC196" i="7"/>
  <c r="DV124" i="7"/>
  <c r="DV195" i="7"/>
  <c r="EA125" i="7"/>
  <c r="EA196" i="7"/>
  <c r="DS125" i="7"/>
  <c r="DS196" i="7"/>
  <c r="DF124" i="7"/>
  <c r="DF195" i="7"/>
  <c r="DM125" i="7"/>
  <c r="DM196" i="7"/>
  <c r="DD125" i="7"/>
  <c r="DD196" i="7"/>
  <c r="CY195" i="7"/>
  <c r="CY124" i="7"/>
  <c r="CE124" i="7"/>
  <c r="CE195" i="7"/>
  <c r="CW195" i="7"/>
  <c r="CW124" i="7"/>
  <c r="CU124" i="7"/>
  <c r="CU195" i="7"/>
  <c r="CQ124" i="7"/>
  <c r="CQ195" i="7"/>
  <c r="CC124" i="7"/>
  <c r="CC195" i="7"/>
  <c r="CM124" i="7"/>
  <c r="CM195" i="7"/>
  <c r="DE124" i="7"/>
  <c r="DE195" i="7"/>
  <c r="CB196" i="7"/>
  <c r="CB125" i="7"/>
  <c r="CS124" i="7"/>
  <c r="CS195" i="7"/>
  <c r="CG124" i="7"/>
  <c r="CG195" i="7"/>
  <c r="CJ196" i="7"/>
  <c r="CJ125" i="7"/>
  <c r="DA195" i="7"/>
  <c r="DA124" i="7"/>
  <c r="BY195" i="7"/>
  <c r="BY124" i="7"/>
  <c r="CA124" i="7"/>
  <c r="CA195" i="7"/>
  <c r="BW125" i="7"/>
  <c r="BW196" i="7"/>
  <c r="CZ125" i="7"/>
  <c r="CZ196" i="7"/>
  <c r="CI195" i="7"/>
  <c r="CI124" i="7"/>
  <c r="CK124" i="7"/>
  <c r="CK195" i="7"/>
  <c r="DC124" i="7"/>
  <c r="DC195" i="7"/>
  <c r="EP195" i="7" s="1"/>
  <c r="ES195" i="7" s="1"/>
  <c r="BZ126" i="7"/>
  <c r="BZ197" i="7"/>
  <c r="CO195" i="7"/>
  <c r="CO124" i="7"/>
  <c r="CV125" i="7"/>
  <c r="CV196" i="7"/>
  <c r="BX125" i="7"/>
  <c r="BX196" i="7"/>
  <c r="CN125" i="7"/>
  <c r="CN196" i="7"/>
  <c r="CR125" i="7"/>
  <c r="CR196" i="7"/>
  <c r="CF125" i="7"/>
  <c r="CF196" i="7"/>
  <c r="CD125" i="7" l="1"/>
  <c r="CD196" i="7"/>
  <c r="CX126" i="7"/>
  <c r="CX197" i="7"/>
  <c r="CP197" i="7"/>
  <c r="CP126" i="7"/>
  <c r="DB125" i="7"/>
  <c r="DB196" i="7"/>
  <c r="CT196" i="7"/>
  <c r="CT125" i="7"/>
  <c r="CL196" i="7"/>
  <c r="CL125" i="7"/>
  <c r="CH197" i="7"/>
  <c r="CH126" i="7"/>
  <c r="EA126" i="7"/>
  <c r="EA197" i="7"/>
  <c r="DG126" i="7"/>
  <c r="DG197" i="7"/>
  <c r="EG126" i="7"/>
  <c r="EG197" i="7"/>
  <c r="ED125" i="7"/>
  <c r="ED196" i="7"/>
  <c r="DL125" i="7"/>
  <c r="DL196" i="7"/>
  <c r="DZ125" i="7"/>
  <c r="DZ196" i="7"/>
  <c r="EN125" i="7"/>
  <c r="EN196" i="7"/>
  <c r="DM197" i="7"/>
  <c r="DM126" i="7"/>
  <c r="DV125" i="7"/>
  <c r="DV196" i="7"/>
  <c r="EB125" i="7"/>
  <c r="EB196" i="7"/>
  <c r="EI126" i="7"/>
  <c r="EI197" i="7"/>
  <c r="DJ125" i="7"/>
  <c r="DJ196" i="7"/>
  <c r="DK126" i="7"/>
  <c r="DK197" i="7"/>
  <c r="DT196" i="7"/>
  <c r="DT125" i="7"/>
  <c r="DO126" i="7"/>
  <c r="DO197" i="7"/>
  <c r="DI127" i="7"/>
  <c r="DI198" i="7"/>
  <c r="DU126" i="7"/>
  <c r="DU197" i="7"/>
  <c r="DF125" i="7"/>
  <c r="DF196" i="7"/>
  <c r="DP196" i="7"/>
  <c r="DP125" i="7"/>
  <c r="EM126" i="7"/>
  <c r="EM197" i="7"/>
  <c r="DX125" i="7"/>
  <c r="DX196" i="7"/>
  <c r="EH125" i="7"/>
  <c r="EH196" i="7"/>
  <c r="EE126" i="7"/>
  <c r="EE197" i="7"/>
  <c r="EK197" i="7"/>
  <c r="EK126" i="7"/>
  <c r="DY197" i="7"/>
  <c r="DY126" i="7"/>
  <c r="EC126" i="7"/>
  <c r="EC197" i="7"/>
  <c r="EF196" i="7"/>
  <c r="EF125" i="7"/>
  <c r="DS126" i="7"/>
  <c r="DS197" i="7"/>
  <c r="DN125" i="7"/>
  <c r="DN196" i="7"/>
  <c r="DW126" i="7"/>
  <c r="DW197" i="7"/>
  <c r="DR125" i="7"/>
  <c r="DR196" i="7"/>
  <c r="EL125" i="7"/>
  <c r="EL196" i="7"/>
  <c r="DH125" i="7"/>
  <c r="DH196" i="7"/>
  <c r="DQ126" i="7"/>
  <c r="DQ197" i="7"/>
  <c r="EJ125" i="7"/>
  <c r="EJ196" i="7"/>
  <c r="CF126" i="7"/>
  <c r="CF197" i="7"/>
  <c r="CN126" i="7"/>
  <c r="CN197" i="7"/>
  <c r="CV126" i="7"/>
  <c r="CV197" i="7"/>
  <c r="CI196" i="7"/>
  <c r="CI125" i="7"/>
  <c r="BY125" i="7"/>
  <c r="BY196" i="7"/>
  <c r="CJ126" i="7"/>
  <c r="CJ197" i="7"/>
  <c r="CW125" i="7"/>
  <c r="CW196" i="7"/>
  <c r="CY196" i="7"/>
  <c r="CY125" i="7"/>
  <c r="BZ127" i="7"/>
  <c r="BZ198" i="7"/>
  <c r="BW126" i="7"/>
  <c r="BW197" i="7"/>
  <c r="CU196" i="7"/>
  <c r="CU125" i="7"/>
  <c r="CR126" i="7"/>
  <c r="CR197" i="7"/>
  <c r="DA125" i="7"/>
  <c r="DA196" i="7"/>
  <c r="CB126" i="7"/>
  <c r="CB197" i="7"/>
  <c r="DC125" i="7"/>
  <c r="DC196" i="7"/>
  <c r="CG125" i="7"/>
  <c r="CG196" i="7"/>
  <c r="DE196" i="7"/>
  <c r="DE125" i="7"/>
  <c r="CC125" i="7"/>
  <c r="CC196" i="7"/>
  <c r="BX126" i="7"/>
  <c r="BX197" i="7"/>
  <c r="CO196" i="7"/>
  <c r="CO125" i="7"/>
  <c r="CK125" i="7"/>
  <c r="CK196" i="7"/>
  <c r="CZ126" i="7"/>
  <c r="CZ197" i="7"/>
  <c r="CA125" i="7"/>
  <c r="CA196" i="7"/>
  <c r="CS125" i="7"/>
  <c r="CS196" i="7"/>
  <c r="CM125" i="7"/>
  <c r="CM196" i="7"/>
  <c r="CQ125" i="7"/>
  <c r="CQ196" i="7"/>
  <c r="CE125" i="7"/>
  <c r="CE196" i="7"/>
  <c r="DD126" i="7"/>
  <c r="DD197" i="7"/>
  <c r="CL126" i="7" l="1"/>
  <c r="CL197" i="7"/>
  <c r="DB126" i="7"/>
  <c r="DB197" i="7"/>
  <c r="CH198" i="7"/>
  <c r="CH127" i="7"/>
  <c r="CT126" i="7"/>
  <c r="CT197" i="7"/>
  <c r="CP127" i="7"/>
  <c r="CP198" i="7"/>
  <c r="CX127" i="7"/>
  <c r="CX198" i="7"/>
  <c r="CD197" i="7"/>
  <c r="CD126" i="7"/>
  <c r="EC127" i="7"/>
  <c r="EC198" i="7"/>
  <c r="EF126" i="7"/>
  <c r="EF197" i="7"/>
  <c r="DY127" i="7"/>
  <c r="DY198" i="7"/>
  <c r="DP126" i="7"/>
  <c r="DP197" i="7"/>
  <c r="EJ126" i="7"/>
  <c r="EJ197" i="7"/>
  <c r="DH126" i="7"/>
  <c r="DH197" i="7"/>
  <c r="DR126" i="7"/>
  <c r="DR197" i="7"/>
  <c r="DN126" i="7"/>
  <c r="DN197" i="7"/>
  <c r="EE198" i="7"/>
  <c r="EE127" i="7"/>
  <c r="DX126" i="7"/>
  <c r="DX197" i="7"/>
  <c r="DU127" i="7"/>
  <c r="DU198" i="7"/>
  <c r="DO198" i="7"/>
  <c r="DO127" i="7"/>
  <c r="DK127" i="7"/>
  <c r="DK198" i="7"/>
  <c r="DV126" i="7"/>
  <c r="DV197" i="7"/>
  <c r="EN126" i="7"/>
  <c r="EN197" i="7"/>
  <c r="DL126" i="7"/>
  <c r="DL197" i="7"/>
  <c r="EG127" i="7"/>
  <c r="EG198" i="7"/>
  <c r="EA127" i="7"/>
  <c r="EA198" i="7"/>
  <c r="EP196" i="7"/>
  <c r="ES196" i="7" s="1"/>
  <c r="EK127" i="7"/>
  <c r="EK198" i="7"/>
  <c r="DT197" i="7"/>
  <c r="DT126" i="7"/>
  <c r="DM127" i="7"/>
  <c r="DM198" i="7"/>
  <c r="EL126" i="7"/>
  <c r="EL197" i="7"/>
  <c r="DW127" i="7"/>
  <c r="DW198" i="7"/>
  <c r="EH126" i="7"/>
  <c r="EH197" i="7"/>
  <c r="EM198" i="7"/>
  <c r="EM127" i="7"/>
  <c r="DF126" i="7"/>
  <c r="DF197" i="7"/>
  <c r="DI199" i="7"/>
  <c r="DI128" i="7"/>
  <c r="DJ126" i="7"/>
  <c r="DJ197" i="7"/>
  <c r="EB126" i="7"/>
  <c r="EB197" i="7"/>
  <c r="DZ126" i="7"/>
  <c r="DZ197" i="7"/>
  <c r="ED126" i="7"/>
  <c r="ED197" i="7"/>
  <c r="DG127" i="7"/>
  <c r="DG198" i="7"/>
  <c r="DQ127" i="7"/>
  <c r="DQ198" i="7"/>
  <c r="DS198" i="7"/>
  <c r="DS127" i="7"/>
  <c r="EI198" i="7"/>
  <c r="EI127" i="7"/>
  <c r="BX127" i="7"/>
  <c r="BX198" i="7"/>
  <c r="CB127" i="7"/>
  <c r="CB198" i="7"/>
  <c r="BW198" i="7"/>
  <c r="BW127" i="7"/>
  <c r="CJ127" i="7"/>
  <c r="CJ198" i="7"/>
  <c r="CO126" i="7"/>
  <c r="CO197" i="7"/>
  <c r="DE126" i="7"/>
  <c r="DE197" i="7"/>
  <c r="CU126" i="7"/>
  <c r="CU197" i="7"/>
  <c r="CN127" i="7"/>
  <c r="CN198" i="7"/>
  <c r="CE126" i="7"/>
  <c r="CE197" i="7"/>
  <c r="CG126" i="7"/>
  <c r="CG197" i="7"/>
  <c r="CI126" i="7"/>
  <c r="CI197" i="7"/>
  <c r="DD127" i="7"/>
  <c r="DD198" i="7"/>
  <c r="CM126" i="7"/>
  <c r="CM197" i="7"/>
  <c r="CS126" i="7"/>
  <c r="CS197" i="7"/>
  <c r="CA126" i="7"/>
  <c r="CA197" i="7"/>
  <c r="CK197" i="7"/>
  <c r="CK126" i="7"/>
  <c r="DC126" i="7"/>
  <c r="DC197" i="7"/>
  <c r="DA197" i="7"/>
  <c r="DA126" i="7"/>
  <c r="BZ128" i="7"/>
  <c r="BZ199" i="7"/>
  <c r="CW197" i="7"/>
  <c r="CW126" i="7"/>
  <c r="BY197" i="7"/>
  <c r="BY126" i="7"/>
  <c r="CQ126" i="7"/>
  <c r="CQ197" i="7"/>
  <c r="CZ127" i="7"/>
  <c r="CZ198" i="7"/>
  <c r="CC197" i="7"/>
  <c r="CC126" i="7"/>
  <c r="CR127" i="7"/>
  <c r="CR198" i="7"/>
  <c r="CY126" i="7"/>
  <c r="CY197" i="7"/>
  <c r="CV127" i="7"/>
  <c r="CV198" i="7"/>
  <c r="CF127" i="7"/>
  <c r="CF198" i="7"/>
  <c r="EP197" i="7" l="1"/>
  <c r="ES197" i="7" s="1"/>
  <c r="CX128" i="7"/>
  <c r="CX199" i="7"/>
  <c r="CT127" i="7"/>
  <c r="CT198" i="7"/>
  <c r="DB127" i="7"/>
  <c r="DB198" i="7"/>
  <c r="CD127" i="7"/>
  <c r="CD198" i="7"/>
  <c r="CH128" i="7"/>
  <c r="CH199" i="7"/>
  <c r="CP199" i="7"/>
  <c r="CP128" i="7"/>
  <c r="CL127" i="7"/>
  <c r="CL198" i="7"/>
  <c r="DS128" i="7"/>
  <c r="DS199" i="7"/>
  <c r="DT127" i="7"/>
  <c r="DT198" i="7"/>
  <c r="DK128" i="7"/>
  <c r="DK199" i="7"/>
  <c r="DG128" i="7"/>
  <c r="DG199" i="7"/>
  <c r="DZ127" i="7"/>
  <c r="DZ198" i="7"/>
  <c r="DJ127" i="7"/>
  <c r="DJ198" i="7"/>
  <c r="DF127" i="7"/>
  <c r="DF198" i="7"/>
  <c r="EH127" i="7"/>
  <c r="EH198" i="7"/>
  <c r="EL127" i="7"/>
  <c r="EL198" i="7"/>
  <c r="DO128" i="7"/>
  <c r="DO199" i="7"/>
  <c r="EI128" i="7"/>
  <c r="EI199" i="7"/>
  <c r="DI129" i="7"/>
  <c r="DI200" i="7"/>
  <c r="EM128" i="7"/>
  <c r="EM199" i="7"/>
  <c r="EA128" i="7"/>
  <c r="EA199" i="7"/>
  <c r="DL127" i="7"/>
  <c r="DL198" i="7"/>
  <c r="DV127" i="7"/>
  <c r="DV198" i="7"/>
  <c r="DX127" i="7"/>
  <c r="DX198" i="7"/>
  <c r="DN127" i="7"/>
  <c r="DN198" i="7"/>
  <c r="DH127" i="7"/>
  <c r="DH198" i="7"/>
  <c r="DP127" i="7"/>
  <c r="DP198" i="7"/>
  <c r="EF127" i="7"/>
  <c r="EF198" i="7"/>
  <c r="DQ128" i="7"/>
  <c r="DQ199" i="7"/>
  <c r="ED127" i="7"/>
  <c r="ED198" i="7"/>
  <c r="EB127" i="7"/>
  <c r="EB198" i="7"/>
  <c r="DW128" i="7"/>
  <c r="DW199" i="7"/>
  <c r="DM199" i="7"/>
  <c r="DM128" i="7"/>
  <c r="EK128" i="7"/>
  <c r="EK199" i="7"/>
  <c r="EE128" i="7"/>
  <c r="EE199" i="7"/>
  <c r="EG128" i="7"/>
  <c r="EG199" i="7"/>
  <c r="EN127" i="7"/>
  <c r="EN198" i="7"/>
  <c r="DU128" i="7"/>
  <c r="DU199" i="7"/>
  <c r="DR127" i="7"/>
  <c r="DR198" i="7"/>
  <c r="EJ127" i="7"/>
  <c r="EJ198" i="7"/>
  <c r="DY128" i="7"/>
  <c r="DY199" i="7"/>
  <c r="EC128" i="7"/>
  <c r="EC199" i="7"/>
  <c r="CZ128" i="7"/>
  <c r="CZ199" i="7"/>
  <c r="CV128" i="7"/>
  <c r="CV199" i="7"/>
  <c r="BY127" i="7"/>
  <c r="BY198" i="7"/>
  <c r="DA127" i="7"/>
  <c r="DA198" i="7"/>
  <c r="BW128" i="7"/>
  <c r="BW199" i="7"/>
  <c r="CR128" i="7"/>
  <c r="CR199" i="7"/>
  <c r="BZ129" i="7"/>
  <c r="BZ200" i="7"/>
  <c r="CA198" i="7"/>
  <c r="CA127" i="7"/>
  <c r="DD128" i="7"/>
  <c r="DD199" i="7"/>
  <c r="CE127" i="7"/>
  <c r="CE198" i="7"/>
  <c r="CF128" i="7"/>
  <c r="CF199" i="7"/>
  <c r="CK127" i="7"/>
  <c r="CK198" i="7"/>
  <c r="CM198" i="7"/>
  <c r="CM127" i="7"/>
  <c r="CU127" i="7"/>
  <c r="CU198" i="7"/>
  <c r="CO127" i="7"/>
  <c r="CO198" i="7"/>
  <c r="BX128" i="7"/>
  <c r="BX199" i="7"/>
  <c r="CY198" i="7"/>
  <c r="CY127" i="7"/>
  <c r="CC127" i="7"/>
  <c r="CC198" i="7"/>
  <c r="CW127" i="7"/>
  <c r="CW198" i="7"/>
  <c r="CQ198" i="7"/>
  <c r="CQ127" i="7"/>
  <c r="DC198" i="7"/>
  <c r="DC127" i="7"/>
  <c r="CS127" i="7"/>
  <c r="CS198" i="7"/>
  <c r="CI198" i="7"/>
  <c r="CI127" i="7"/>
  <c r="CG127" i="7"/>
  <c r="CG198" i="7"/>
  <c r="CN128" i="7"/>
  <c r="CN199" i="7"/>
  <c r="DE127" i="7"/>
  <c r="DE198" i="7"/>
  <c r="CJ128" i="7"/>
  <c r="CJ199" i="7"/>
  <c r="CB128" i="7"/>
  <c r="CB199" i="7"/>
  <c r="CD128" i="7" l="1"/>
  <c r="CD199" i="7"/>
  <c r="CT128" i="7"/>
  <c r="CT199" i="7"/>
  <c r="CL128" i="7"/>
  <c r="CL199" i="7"/>
  <c r="CH129" i="7"/>
  <c r="CH200" i="7"/>
  <c r="DB128" i="7"/>
  <c r="DB199" i="7"/>
  <c r="CX129" i="7"/>
  <c r="CX200" i="7"/>
  <c r="CP200" i="7"/>
  <c r="CP129" i="7"/>
  <c r="DY129" i="7"/>
  <c r="DY200" i="7"/>
  <c r="EC129" i="7"/>
  <c r="EC200" i="7"/>
  <c r="EP198" i="7"/>
  <c r="ES198" i="7" s="1"/>
  <c r="DM129" i="7"/>
  <c r="DM200" i="7"/>
  <c r="DR128" i="7"/>
  <c r="DR199" i="7"/>
  <c r="EN128" i="7"/>
  <c r="EN199" i="7"/>
  <c r="EE200" i="7"/>
  <c r="EE129" i="7"/>
  <c r="EB128" i="7"/>
  <c r="EB199" i="7"/>
  <c r="DQ129" i="7"/>
  <c r="DQ200" i="7"/>
  <c r="DP128" i="7"/>
  <c r="DP199" i="7"/>
  <c r="DN128" i="7"/>
  <c r="DN199" i="7"/>
  <c r="DV128" i="7"/>
  <c r="DV199" i="7"/>
  <c r="EA129" i="7"/>
  <c r="EA200" i="7"/>
  <c r="DI201" i="7"/>
  <c r="DI130" i="7"/>
  <c r="DO200" i="7"/>
  <c r="DO129" i="7"/>
  <c r="EH128" i="7"/>
  <c r="EH199" i="7"/>
  <c r="DJ128" i="7"/>
  <c r="DJ199" i="7"/>
  <c r="DG129" i="7"/>
  <c r="DG200" i="7"/>
  <c r="DT128" i="7"/>
  <c r="DT199" i="7"/>
  <c r="EJ128" i="7"/>
  <c r="EJ199" i="7"/>
  <c r="DU129" i="7"/>
  <c r="DU200" i="7"/>
  <c r="EG129" i="7"/>
  <c r="EG200" i="7"/>
  <c r="EK129" i="7"/>
  <c r="EK200" i="7"/>
  <c r="DW129" i="7"/>
  <c r="DW200" i="7"/>
  <c r="ED128" i="7"/>
  <c r="ED199" i="7"/>
  <c r="EF128" i="7"/>
  <c r="EF199" i="7"/>
  <c r="DH128" i="7"/>
  <c r="DH199" i="7"/>
  <c r="DX128" i="7"/>
  <c r="DX199" i="7"/>
  <c r="DL128" i="7"/>
  <c r="DL199" i="7"/>
  <c r="EM200" i="7"/>
  <c r="EM129" i="7"/>
  <c r="EI129" i="7"/>
  <c r="EI200" i="7"/>
  <c r="EL128" i="7"/>
  <c r="EL199" i="7"/>
  <c r="DF128" i="7"/>
  <c r="DF199" i="7"/>
  <c r="DZ128" i="7"/>
  <c r="DZ199" i="7"/>
  <c r="DK129" i="7"/>
  <c r="DK200" i="7"/>
  <c r="DS129" i="7"/>
  <c r="DS200" i="7"/>
  <c r="DE128" i="7"/>
  <c r="DE199" i="7"/>
  <c r="CS199" i="7"/>
  <c r="CS128" i="7"/>
  <c r="CW199" i="7"/>
  <c r="CW128" i="7"/>
  <c r="CO128" i="7"/>
  <c r="CO199" i="7"/>
  <c r="CK199" i="7"/>
  <c r="CK128" i="7"/>
  <c r="CA128" i="7"/>
  <c r="CA199" i="7"/>
  <c r="CQ128" i="7"/>
  <c r="CQ199" i="7"/>
  <c r="CE128" i="7"/>
  <c r="CE199" i="7"/>
  <c r="CR129" i="7"/>
  <c r="CR200" i="7"/>
  <c r="DA199" i="7"/>
  <c r="DA128" i="7"/>
  <c r="CV129" i="7"/>
  <c r="CV200" i="7"/>
  <c r="CN129" i="7"/>
  <c r="CN200" i="7"/>
  <c r="CC199" i="7"/>
  <c r="CC128" i="7"/>
  <c r="BX129" i="7"/>
  <c r="BX200" i="7"/>
  <c r="CU128" i="7"/>
  <c r="CU199" i="7"/>
  <c r="CF129" i="7"/>
  <c r="CF200" i="7"/>
  <c r="CB129" i="7"/>
  <c r="CB200" i="7"/>
  <c r="DC128" i="7"/>
  <c r="DC199" i="7"/>
  <c r="CJ129" i="7"/>
  <c r="CJ200" i="7"/>
  <c r="CG128" i="7"/>
  <c r="CG199" i="7"/>
  <c r="CI128" i="7"/>
  <c r="CI199" i="7"/>
  <c r="CY128" i="7"/>
  <c r="CY199" i="7"/>
  <c r="CM128" i="7"/>
  <c r="CM199" i="7"/>
  <c r="DD129" i="7"/>
  <c r="DD200" i="7"/>
  <c r="BZ130" i="7"/>
  <c r="BZ201" i="7"/>
  <c r="BW129" i="7"/>
  <c r="BW200" i="7"/>
  <c r="BY199" i="7"/>
  <c r="BY128" i="7"/>
  <c r="CZ129" i="7"/>
  <c r="CZ200" i="7"/>
  <c r="CX130" i="7" l="1"/>
  <c r="CX201" i="7"/>
  <c r="CT129" i="7"/>
  <c r="CT200" i="7"/>
  <c r="CP201" i="7"/>
  <c r="CP130" i="7"/>
  <c r="CH130" i="7"/>
  <c r="CH201" i="7"/>
  <c r="DB129" i="7"/>
  <c r="DB200" i="7"/>
  <c r="CL129" i="7"/>
  <c r="CL200" i="7"/>
  <c r="CD129" i="7"/>
  <c r="CD200" i="7"/>
  <c r="EM130" i="7"/>
  <c r="EM201" i="7"/>
  <c r="DK130" i="7"/>
  <c r="DK201" i="7"/>
  <c r="DF129" i="7"/>
  <c r="DF200" i="7"/>
  <c r="EI130" i="7"/>
  <c r="EI201" i="7"/>
  <c r="DL129" i="7"/>
  <c r="DL200" i="7"/>
  <c r="DH129" i="7"/>
  <c r="DH200" i="7"/>
  <c r="ED129" i="7"/>
  <c r="ED200" i="7"/>
  <c r="EK130" i="7"/>
  <c r="EK201" i="7"/>
  <c r="DU130" i="7"/>
  <c r="DU201" i="7"/>
  <c r="DT129" i="7"/>
  <c r="DT200" i="7"/>
  <c r="DJ129" i="7"/>
  <c r="DJ200" i="7"/>
  <c r="EA130" i="7"/>
  <c r="EA201" i="7"/>
  <c r="DN129" i="7"/>
  <c r="DN200" i="7"/>
  <c r="DQ130" i="7"/>
  <c r="DQ201" i="7"/>
  <c r="DR129" i="7"/>
  <c r="DR200" i="7"/>
  <c r="DI131" i="7"/>
  <c r="DI202" i="7"/>
  <c r="EC130" i="7"/>
  <c r="EC201" i="7"/>
  <c r="EP199" i="7"/>
  <c r="ES199" i="7" s="1"/>
  <c r="DS130" i="7"/>
  <c r="DS201" i="7"/>
  <c r="DZ129" i="7"/>
  <c r="DZ200" i="7"/>
  <c r="EL129" i="7"/>
  <c r="EL200" i="7"/>
  <c r="DX129" i="7"/>
  <c r="DX200" i="7"/>
  <c r="EF129" i="7"/>
  <c r="EF200" i="7"/>
  <c r="DW130" i="7"/>
  <c r="DW201" i="7"/>
  <c r="EG130" i="7"/>
  <c r="EG201" i="7"/>
  <c r="EJ129" i="7"/>
  <c r="EJ200" i="7"/>
  <c r="DG130" i="7"/>
  <c r="DG201" i="7"/>
  <c r="EH129" i="7"/>
  <c r="EH200" i="7"/>
  <c r="DV129" i="7"/>
  <c r="DV200" i="7"/>
  <c r="DP129" i="7"/>
  <c r="DP200" i="7"/>
  <c r="EB129" i="7"/>
  <c r="EB200" i="7"/>
  <c r="EN129" i="7"/>
  <c r="EN200" i="7"/>
  <c r="DM130" i="7"/>
  <c r="DM201" i="7"/>
  <c r="DO130" i="7"/>
  <c r="DO201" i="7"/>
  <c r="EE130" i="7"/>
  <c r="EE201" i="7"/>
  <c r="DY130" i="7"/>
  <c r="DY201" i="7"/>
  <c r="BZ202" i="7"/>
  <c r="BZ131" i="7"/>
  <c r="CM129" i="7"/>
  <c r="CM200" i="7"/>
  <c r="CI200" i="7"/>
  <c r="CI129" i="7"/>
  <c r="CG129" i="7"/>
  <c r="CG200" i="7"/>
  <c r="DA129" i="7"/>
  <c r="DA200" i="7"/>
  <c r="CS129" i="7"/>
  <c r="CS200" i="7"/>
  <c r="CF201" i="7"/>
  <c r="CF130" i="7"/>
  <c r="BX130" i="7"/>
  <c r="BX201" i="7"/>
  <c r="CA200" i="7"/>
  <c r="CA129" i="7"/>
  <c r="CO129" i="7"/>
  <c r="CO200" i="7"/>
  <c r="CZ130" i="7"/>
  <c r="CZ201" i="7"/>
  <c r="DD130" i="7"/>
  <c r="DD201" i="7"/>
  <c r="CJ201" i="7"/>
  <c r="CJ130" i="7"/>
  <c r="DC129" i="7"/>
  <c r="DC200" i="7"/>
  <c r="CB130" i="7"/>
  <c r="CB201" i="7"/>
  <c r="CC129" i="7"/>
  <c r="CC200" i="7"/>
  <c r="CK129" i="7"/>
  <c r="CK200" i="7"/>
  <c r="CW129" i="7"/>
  <c r="CW200" i="7"/>
  <c r="CN130" i="7"/>
  <c r="CN201" i="7"/>
  <c r="CE129" i="7"/>
  <c r="CE200" i="7"/>
  <c r="BW130" i="7"/>
  <c r="BW201" i="7"/>
  <c r="CY200" i="7"/>
  <c r="CY129" i="7"/>
  <c r="BY129" i="7"/>
  <c r="BY200" i="7"/>
  <c r="CU129" i="7"/>
  <c r="CU200" i="7"/>
  <c r="CV130" i="7"/>
  <c r="CV201" i="7"/>
  <c r="CR201" i="7"/>
  <c r="CR130" i="7"/>
  <c r="CQ200" i="7"/>
  <c r="CQ129" i="7"/>
  <c r="DE129" i="7"/>
  <c r="DE200" i="7"/>
  <c r="CL130" i="7" l="1"/>
  <c r="CL201" i="7"/>
  <c r="CH131" i="7"/>
  <c r="CH202" i="7"/>
  <c r="CT201" i="7"/>
  <c r="CT130" i="7"/>
  <c r="CP131" i="7"/>
  <c r="CP202" i="7"/>
  <c r="CD130" i="7"/>
  <c r="CD201" i="7"/>
  <c r="DB130" i="7"/>
  <c r="DB201" i="7"/>
  <c r="CX131" i="7"/>
  <c r="CX202" i="7"/>
  <c r="EP200" i="7"/>
  <c r="ES200" i="7" s="1"/>
  <c r="DR130" i="7"/>
  <c r="DR201" i="7"/>
  <c r="EE202" i="7"/>
  <c r="EE131" i="7"/>
  <c r="DM202" i="7"/>
  <c r="DM131" i="7"/>
  <c r="EB201" i="7"/>
  <c r="EB130" i="7"/>
  <c r="DV130" i="7"/>
  <c r="DV201" i="7"/>
  <c r="DG202" i="7"/>
  <c r="DG131" i="7"/>
  <c r="EG202" i="7"/>
  <c r="EG131" i="7"/>
  <c r="EF130" i="7"/>
  <c r="EF201" i="7"/>
  <c r="EL130" i="7"/>
  <c r="EL201" i="7"/>
  <c r="DS202" i="7"/>
  <c r="DS131" i="7"/>
  <c r="DI132" i="7"/>
  <c r="DI203" i="7"/>
  <c r="DQ202" i="7"/>
  <c r="DQ131" i="7"/>
  <c r="EA202" i="7"/>
  <c r="EA131" i="7"/>
  <c r="DT201" i="7"/>
  <c r="DT130" i="7"/>
  <c r="EK202" i="7"/>
  <c r="EK131" i="7"/>
  <c r="DH130" i="7"/>
  <c r="DH201" i="7"/>
  <c r="EI202" i="7"/>
  <c r="EI131" i="7"/>
  <c r="DK202" i="7"/>
  <c r="DK131" i="7"/>
  <c r="DY202" i="7"/>
  <c r="DY131" i="7"/>
  <c r="DO202" i="7"/>
  <c r="DO131" i="7"/>
  <c r="EN130" i="7"/>
  <c r="EN201" i="7"/>
  <c r="DP201" i="7"/>
  <c r="DP130" i="7"/>
  <c r="EH130" i="7"/>
  <c r="EH201" i="7"/>
  <c r="EJ130" i="7"/>
  <c r="EJ201" i="7"/>
  <c r="DW202" i="7"/>
  <c r="DW131" i="7"/>
  <c r="DX130" i="7"/>
  <c r="DX201" i="7"/>
  <c r="DZ130" i="7"/>
  <c r="DZ201" i="7"/>
  <c r="EC202" i="7"/>
  <c r="EC131" i="7"/>
  <c r="DN130" i="7"/>
  <c r="DN201" i="7"/>
  <c r="DJ130" i="7"/>
  <c r="DJ201" i="7"/>
  <c r="DU202" i="7"/>
  <c r="DU131" i="7"/>
  <c r="ED130" i="7"/>
  <c r="ED201" i="7"/>
  <c r="DL130" i="7"/>
  <c r="DL201" i="7"/>
  <c r="DF130" i="7"/>
  <c r="DF201" i="7"/>
  <c r="EM202" i="7"/>
  <c r="EM131" i="7"/>
  <c r="BY201" i="7"/>
  <c r="BY130" i="7"/>
  <c r="CB202" i="7"/>
  <c r="CB131" i="7"/>
  <c r="DD202" i="7"/>
  <c r="DD131" i="7"/>
  <c r="CO130" i="7"/>
  <c r="CO201" i="7"/>
  <c r="DA201" i="7"/>
  <c r="DA130" i="7"/>
  <c r="CG130" i="7"/>
  <c r="CG201" i="7"/>
  <c r="CM130" i="7"/>
  <c r="CM201" i="7"/>
  <c r="CN202" i="7"/>
  <c r="CN131" i="7"/>
  <c r="CJ202" i="7"/>
  <c r="CJ131" i="7"/>
  <c r="CF202" i="7"/>
  <c r="CF131" i="7"/>
  <c r="CE130" i="7"/>
  <c r="CE201" i="7"/>
  <c r="CA130" i="7"/>
  <c r="CA201" i="7"/>
  <c r="CI130" i="7"/>
  <c r="CI201" i="7"/>
  <c r="BZ203" i="7"/>
  <c r="BZ132" i="7"/>
  <c r="CV202" i="7"/>
  <c r="CV131" i="7"/>
  <c r="CU130" i="7"/>
  <c r="CU201" i="7"/>
  <c r="BW202" i="7"/>
  <c r="BW131" i="7"/>
  <c r="CR202" i="7"/>
  <c r="CR131" i="7"/>
  <c r="CY130" i="7"/>
  <c r="CY201" i="7"/>
  <c r="CK201" i="7"/>
  <c r="CK130" i="7"/>
  <c r="DE130" i="7"/>
  <c r="DE201" i="7"/>
  <c r="CQ130" i="7"/>
  <c r="CQ201" i="7"/>
  <c r="CW130" i="7"/>
  <c r="CW201" i="7"/>
  <c r="CC130" i="7"/>
  <c r="CC201" i="7"/>
  <c r="DC130" i="7"/>
  <c r="DC201" i="7"/>
  <c r="CZ202" i="7"/>
  <c r="CZ131" i="7"/>
  <c r="BX202" i="7"/>
  <c r="BX131" i="7"/>
  <c r="CS201" i="7"/>
  <c r="CS130" i="7"/>
  <c r="CH203" i="7" l="1"/>
  <c r="CH132" i="7"/>
  <c r="CT131" i="7"/>
  <c r="CT202" i="7"/>
  <c r="DB202" i="7"/>
  <c r="DB131" i="7"/>
  <c r="CP132" i="7"/>
  <c r="CP203" i="7"/>
  <c r="CX203" i="7"/>
  <c r="CX132" i="7"/>
  <c r="CD202" i="7"/>
  <c r="CD131" i="7"/>
  <c r="CL202" i="7"/>
  <c r="CL131" i="7"/>
  <c r="EM203" i="7"/>
  <c r="EM132" i="7"/>
  <c r="EP201" i="7"/>
  <c r="ES201" i="7" s="1"/>
  <c r="DP202" i="7"/>
  <c r="DP131" i="7"/>
  <c r="DK203" i="7"/>
  <c r="DK132" i="7"/>
  <c r="DF202" i="7"/>
  <c r="DF131" i="7"/>
  <c r="ED202" i="7"/>
  <c r="ED131" i="7"/>
  <c r="DJ202" i="7"/>
  <c r="DJ131" i="7"/>
  <c r="DX202" i="7"/>
  <c r="DX131" i="7"/>
  <c r="EJ202" i="7"/>
  <c r="EJ131" i="7"/>
  <c r="DH202" i="7"/>
  <c r="DH131" i="7"/>
  <c r="EF202" i="7"/>
  <c r="EF131" i="7"/>
  <c r="DW203" i="7"/>
  <c r="DW132" i="7"/>
  <c r="DY132" i="7"/>
  <c r="DY203" i="7"/>
  <c r="EI203" i="7"/>
  <c r="EI132" i="7"/>
  <c r="EK132" i="7"/>
  <c r="EK203" i="7"/>
  <c r="EA203" i="7"/>
  <c r="EA132" i="7"/>
  <c r="EG132" i="7"/>
  <c r="EG203" i="7"/>
  <c r="DM132" i="7"/>
  <c r="DM203" i="7"/>
  <c r="DL202" i="7"/>
  <c r="DL131" i="7"/>
  <c r="DN202" i="7"/>
  <c r="DN131" i="7"/>
  <c r="DZ202" i="7"/>
  <c r="DZ131" i="7"/>
  <c r="EH202" i="7"/>
  <c r="EH131" i="7"/>
  <c r="EN202" i="7"/>
  <c r="EN131" i="7"/>
  <c r="DI133" i="7"/>
  <c r="DI204" i="7"/>
  <c r="EL202" i="7"/>
  <c r="EL131" i="7"/>
  <c r="DV202" i="7"/>
  <c r="DV131" i="7"/>
  <c r="DR202" i="7"/>
  <c r="DR131" i="7"/>
  <c r="DU132" i="7"/>
  <c r="DU203" i="7"/>
  <c r="EC132" i="7"/>
  <c r="EC203" i="7"/>
  <c r="DO203" i="7"/>
  <c r="DO132" i="7"/>
  <c r="DT202" i="7"/>
  <c r="DT131" i="7"/>
  <c r="DQ132" i="7"/>
  <c r="DQ203" i="7"/>
  <c r="DS203" i="7"/>
  <c r="DS132" i="7"/>
  <c r="DG203" i="7"/>
  <c r="DG132" i="7"/>
  <c r="EB202" i="7"/>
  <c r="EB131" i="7"/>
  <c r="EE203" i="7"/>
  <c r="EE132" i="7"/>
  <c r="DC202" i="7"/>
  <c r="DC131" i="7"/>
  <c r="CW202" i="7"/>
  <c r="CW131" i="7"/>
  <c r="CK202" i="7"/>
  <c r="CK131" i="7"/>
  <c r="BZ133" i="7"/>
  <c r="BZ204" i="7"/>
  <c r="CJ132" i="7"/>
  <c r="CJ203" i="7"/>
  <c r="DA202" i="7"/>
  <c r="DA131" i="7"/>
  <c r="DD132" i="7"/>
  <c r="DD203" i="7"/>
  <c r="CZ132" i="7"/>
  <c r="CZ203" i="7"/>
  <c r="CR132" i="7"/>
  <c r="CR203" i="7"/>
  <c r="BW203" i="7"/>
  <c r="BW132" i="7"/>
  <c r="CV132" i="7"/>
  <c r="CV203" i="7"/>
  <c r="CF132" i="7"/>
  <c r="CF203" i="7"/>
  <c r="CN132" i="7"/>
  <c r="CN203" i="7"/>
  <c r="CB132" i="7"/>
  <c r="CB203" i="7"/>
  <c r="BY202" i="7"/>
  <c r="BY131" i="7"/>
  <c r="CS202" i="7"/>
  <c r="CS131" i="7"/>
  <c r="CQ202" i="7"/>
  <c r="CQ131" i="7"/>
  <c r="CU202" i="7"/>
  <c r="CU131" i="7"/>
  <c r="CM131" i="7"/>
  <c r="CM202" i="7"/>
  <c r="CC202" i="7"/>
  <c r="CC131" i="7"/>
  <c r="BX132" i="7"/>
  <c r="BX203" i="7"/>
  <c r="DE202" i="7"/>
  <c r="DE131" i="7"/>
  <c r="CY202" i="7"/>
  <c r="CY131" i="7"/>
  <c r="CI202" i="7"/>
  <c r="CI131" i="7"/>
  <c r="CA202" i="7"/>
  <c r="CA131" i="7"/>
  <c r="CE202" i="7"/>
  <c r="CE131" i="7"/>
  <c r="CG202" i="7"/>
  <c r="CG131" i="7"/>
  <c r="CO202" i="7"/>
  <c r="CO131" i="7"/>
  <c r="EP202" i="7" l="1"/>
  <c r="ES202" i="7" s="1"/>
  <c r="CD132" i="7"/>
  <c r="CD203" i="7"/>
  <c r="CP133" i="7"/>
  <c r="CP204" i="7"/>
  <c r="CT132" i="7"/>
  <c r="CT203" i="7"/>
  <c r="CL132" i="7"/>
  <c r="CL203" i="7"/>
  <c r="CX204" i="7"/>
  <c r="CX133" i="7"/>
  <c r="DB132" i="7"/>
  <c r="DB203" i="7"/>
  <c r="CH204" i="7"/>
  <c r="CH133" i="7"/>
  <c r="DG133" i="7"/>
  <c r="DG204" i="7"/>
  <c r="DS133" i="7"/>
  <c r="DS204" i="7"/>
  <c r="EL203" i="7"/>
  <c r="EL132" i="7"/>
  <c r="EC133" i="7"/>
  <c r="EC204" i="7"/>
  <c r="EG133" i="7"/>
  <c r="EG204" i="7"/>
  <c r="EK133" i="7"/>
  <c r="EK204" i="7"/>
  <c r="DY133" i="7"/>
  <c r="DY204" i="7"/>
  <c r="DV203" i="7"/>
  <c r="DV132" i="7"/>
  <c r="EH203" i="7"/>
  <c r="EH132" i="7"/>
  <c r="DN203" i="7"/>
  <c r="DN132" i="7"/>
  <c r="EA133" i="7"/>
  <c r="EA204" i="7"/>
  <c r="EI133" i="7"/>
  <c r="EI204" i="7"/>
  <c r="DW133" i="7"/>
  <c r="DW204" i="7"/>
  <c r="DH132" i="7"/>
  <c r="DH203" i="7"/>
  <c r="DX132" i="7"/>
  <c r="DX203" i="7"/>
  <c r="ED203" i="7"/>
  <c r="ED132" i="7"/>
  <c r="DK133" i="7"/>
  <c r="DK204" i="7"/>
  <c r="EE133" i="7"/>
  <c r="EE204" i="7"/>
  <c r="DO133" i="7"/>
  <c r="DO204" i="7"/>
  <c r="DQ133" i="7"/>
  <c r="DQ204" i="7"/>
  <c r="DU133" i="7"/>
  <c r="DU204" i="7"/>
  <c r="DI134" i="7"/>
  <c r="DI205" i="7"/>
  <c r="DM133" i="7"/>
  <c r="DM204" i="7"/>
  <c r="EM133" i="7"/>
  <c r="EM204" i="7"/>
  <c r="EB132" i="7"/>
  <c r="EB203" i="7"/>
  <c r="DT132" i="7"/>
  <c r="DT203" i="7"/>
  <c r="DR203" i="7"/>
  <c r="DR132" i="7"/>
  <c r="EN132" i="7"/>
  <c r="EN203" i="7"/>
  <c r="DZ203" i="7"/>
  <c r="DZ132" i="7"/>
  <c r="DL132" i="7"/>
  <c r="DL203" i="7"/>
  <c r="EF132" i="7"/>
  <c r="EF203" i="7"/>
  <c r="EJ132" i="7"/>
  <c r="EJ203" i="7"/>
  <c r="DJ203" i="7"/>
  <c r="DJ132" i="7"/>
  <c r="DF132" i="7"/>
  <c r="DF203" i="7"/>
  <c r="DP132" i="7"/>
  <c r="DP203" i="7"/>
  <c r="CQ203" i="7"/>
  <c r="CQ132" i="7"/>
  <c r="CN204" i="7"/>
  <c r="CN133" i="7"/>
  <c r="CV204" i="7"/>
  <c r="CV133" i="7"/>
  <c r="CR133" i="7"/>
  <c r="CR204" i="7"/>
  <c r="CZ133" i="7"/>
  <c r="CZ204" i="7"/>
  <c r="DD204" i="7"/>
  <c r="DD133" i="7"/>
  <c r="CJ133" i="7"/>
  <c r="CJ204" i="7"/>
  <c r="CE203" i="7"/>
  <c r="CE132" i="7"/>
  <c r="CU203" i="7"/>
  <c r="CU132" i="7"/>
  <c r="CS132" i="7"/>
  <c r="CS203" i="7"/>
  <c r="BW133" i="7"/>
  <c r="BW204" i="7"/>
  <c r="DA132" i="7"/>
  <c r="DA203" i="7"/>
  <c r="CK132" i="7"/>
  <c r="CK203" i="7"/>
  <c r="DC203" i="7"/>
  <c r="DC132" i="7"/>
  <c r="CY203" i="7"/>
  <c r="CY132" i="7"/>
  <c r="CC132" i="7"/>
  <c r="CC203" i="7"/>
  <c r="BY132" i="7"/>
  <c r="BY203" i="7"/>
  <c r="CW132" i="7"/>
  <c r="CW203" i="7"/>
  <c r="CO132" i="7"/>
  <c r="CO203" i="7"/>
  <c r="CI203" i="7"/>
  <c r="CI132" i="7"/>
  <c r="DE132" i="7"/>
  <c r="DE203" i="7"/>
  <c r="CG132" i="7"/>
  <c r="CG203" i="7"/>
  <c r="CA203" i="7"/>
  <c r="CA132" i="7"/>
  <c r="BX204" i="7"/>
  <c r="BX133" i="7"/>
  <c r="CM203" i="7"/>
  <c r="CM132" i="7"/>
  <c r="CB133" i="7"/>
  <c r="CB204" i="7"/>
  <c r="CF204" i="7"/>
  <c r="CF133" i="7"/>
  <c r="BZ205" i="7"/>
  <c r="BZ134" i="7"/>
  <c r="CX205" i="7" l="1"/>
  <c r="CX134" i="7"/>
  <c r="DB133" i="7"/>
  <c r="DB204" i="7"/>
  <c r="CL204" i="7"/>
  <c r="CL133" i="7"/>
  <c r="CP134" i="7"/>
  <c r="CP205" i="7"/>
  <c r="CH205" i="7"/>
  <c r="CH134" i="7"/>
  <c r="CT133" i="7"/>
  <c r="CT204" i="7"/>
  <c r="CD133" i="7"/>
  <c r="CD204" i="7"/>
  <c r="EP203" i="7"/>
  <c r="ES203" i="7" s="1"/>
  <c r="DP133" i="7"/>
  <c r="DP204" i="7"/>
  <c r="EF133" i="7"/>
  <c r="EF204" i="7"/>
  <c r="EB204" i="7"/>
  <c r="EB133" i="7"/>
  <c r="DO134" i="7"/>
  <c r="DO205" i="7"/>
  <c r="ED133" i="7"/>
  <c r="ED204" i="7"/>
  <c r="DN133" i="7"/>
  <c r="DN204" i="7"/>
  <c r="DV133" i="7"/>
  <c r="DV204" i="7"/>
  <c r="DF133" i="7"/>
  <c r="DF204" i="7"/>
  <c r="DL204" i="7"/>
  <c r="DL133" i="7"/>
  <c r="EN133" i="7"/>
  <c r="EN204" i="7"/>
  <c r="DT204" i="7"/>
  <c r="DT133" i="7"/>
  <c r="EM205" i="7"/>
  <c r="EM134" i="7"/>
  <c r="DI135" i="7"/>
  <c r="DI206" i="7"/>
  <c r="DQ134" i="7"/>
  <c r="DQ205" i="7"/>
  <c r="EE134" i="7"/>
  <c r="EE205" i="7"/>
  <c r="DH133" i="7"/>
  <c r="DH204" i="7"/>
  <c r="EI134" i="7"/>
  <c r="EI205" i="7"/>
  <c r="EK134" i="7"/>
  <c r="EK205" i="7"/>
  <c r="EC134" i="7"/>
  <c r="EC205" i="7"/>
  <c r="DS134" i="7"/>
  <c r="DS205" i="7"/>
  <c r="DJ133" i="7"/>
  <c r="DJ204" i="7"/>
  <c r="DZ133" i="7"/>
  <c r="DZ204" i="7"/>
  <c r="DR133" i="7"/>
  <c r="DR204" i="7"/>
  <c r="EH133" i="7"/>
  <c r="EH204" i="7"/>
  <c r="EL133" i="7"/>
  <c r="EL204" i="7"/>
  <c r="EJ204" i="7"/>
  <c r="EJ133" i="7"/>
  <c r="DM134" i="7"/>
  <c r="DM205" i="7"/>
  <c r="DU134" i="7"/>
  <c r="DU205" i="7"/>
  <c r="DK134" i="7"/>
  <c r="DK205" i="7"/>
  <c r="DX133" i="7"/>
  <c r="DX204" i="7"/>
  <c r="DW205" i="7"/>
  <c r="DW134" i="7"/>
  <c r="EA134" i="7"/>
  <c r="EA205" i="7"/>
  <c r="DY134" i="7"/>
  <c r="DY205" i="7"/>
  <c r="EG134" i="7"/>
  <c r="EG205" i="7"/>
  <c r="DG205" i="7"/>
  <c r="DG134" i="7"/>
  <c r="CM133" i="7"/>
  <c r="CM204" i="7"/>
  <c r="CO133" i="7"/>
  <c r="CO204" i="7"/>
  <c r="CK133" i="7"/>
  <c r="CK204" i="7"/>
  <c r="CS133" i="7"/>
  <c r="CS204" i="7"/>
  <c r="CJ134" i="7"/>
  <c r="CJ205" i="7"/>
  <c r="CZ134" i="7"/>
  <c r="CZ205" i="7"/>
  <c r="CF134" i="7"/>
  <c r="CF205" i="7"/>
  <c r="CV134" i="7"/>
  <c r="CV205" i="7"/>
  <c r="BX134" i="7"/>
  <c r="BX205" i="7"/>
  <c r="CI133" i="7"/>
  <c r="CI204" i="7"/>
  <c r="DC133" i="7"/>
  <c r="DC204" i="7"/>
  <c r="CU133" i="7"/>
  <c r="CU204" i="7"/>
  <c r="DD134" i="7"/>
  <c r="DD205" i="7"/>
  <c r="CN134" i="7"/>
  <c r="CN205" i="7"/>
  <c r="CA133" i="7"/>
  <c r="CA204" i="7"/>
  <c r="CY133" i="7"/>
  <c r="CY204" i="7"/>
  <c r="CE133" i="7"/>
  <c r="CE204" i="7"/>
  <c r="CQ133" i="7"/>
  <c r="CQ204" i="7"/>
  <c r="BZ135" i="7"/>
  <c r="BZ206" i="7"/>
  <c r="DE133" i="7"/>
  <c r="DE204" i="7"/>
  <c r="BY204" i="7"/>
  <c r="BY133" i="7"/>
  <c r="CB134" i="7"/>
  <c r="CB205" i="7"/>
  <c r="CG133" i="7"/>
  <c r="CG204" i="7"/>
  <c r="CW133" i="7"/>
  <c r="CW204" i="7"/>
  <c r="CC133" i="7"/>
  <c r="CC204" i="7"/>
  <c r="DA133" i="7"/>
  <c r="DA204" i="7"/>
  <c r="BW134" i="7"/>
  <c r="BW205" i="7"/>
  <c r="CR134" i="7"/>
  <c r="CR205" i="7"/>
  <c r="EP204" i="7" l="1"/>
  <c r="ES204" i="7" s="1"/>
  <c r="CT205" i="7"/>
  <c r="CT134" i="7"/>
  <c r="CP135" i="7"/>
  <c r="CP206" i="7"/>
  <c r="DB205" i="7"/>
  <c r="DB134" i="7"/>
  <c r="CH206" i="7"/>
  <c r="CH135" i="7"/>
  <c r="CL205" i="7"/>
  <c r="CL134" i="7"/>
  <c r="CX206" i="7"/>
  <c r="CX135" i="7"/>
  <c r="CD205" i="7"/>
  <c r="CD134" i="7"/>
  <c r="DM135" i="7"/>
  <c r="DM206" i="7"/>
  <c r="EJ134" i="7"/>
  <c r="EJ205" i="7"/>
  <c r="EM206" i="7"/>
  <c r="EM135" i="7"/>
  <c r="EG135" i="7"/>
  <c r="EG206" i="7"/>
  <c r="EA135" i="7"/>
  <c r="EA206" i="7"/>
  <c r="DX134" i="7"/>
  <c r="DX205" i="7"/>
  <c r="DU135" i="7"/>
  <c r="DU206" i="7"/>
  <c r="EH134" i="7"/>
  <c r="EH205" i="7"/>
  <c r="DZ134" i="7"/>
  <c r="DZ205" i="7"/>
  <c r="DS135" i="7"/>
  <c r="DS206" i="7"/>
  <c r="EK135" i="7"/>
  <c r="EK206" i="7"/>
  <c r="DH134" i="7"/>
  <c r="DH205" i="7"/>
  <c r="DQ135" i="7"/>
  <c r="DQ206" i="7"/>
  <c r="EN134" i="7"/>
  <c r="EN205" i="7"/>
  <c r="DF205" i="7"/>
  <c r="DF134" i="7"/>
  <c r="DN205" i="7"/>
  <c r="DN134" i="7"/>
  <c r="DO135" i="7"/>
  <c r="DO206" i="7"/>
  <c r="EF134" i="7"/>
  <c r="EF205" i="7"/>
  <c r="DG206" i="7"/>
  <c r="DG135" i="7"/>
  <c r="DW135" i="7"/>
  <c r="DW206" i="7"/>
  <c r="DT134" i="7"/>
  <c r="DT205" i="7"/>
  <c r="DL134" i="7"/>
  <c r="DL205" i="7"/>
  <c r="EB134" i="7"/>
  <c r="EB205" i="7"/>
  <c r="DY135" i="7"/>
  <c r="DY206" i="7"/>
  <c r="DK135" i="7"/>
  <c r="DK206" i="7"/>
  <c r="EL205" i="7"/>
  <c r="EL134" i="7"/>
  <c r="DR205" i="7"/>
  <c r="DR134" i="7"/>
  <c r="DJ134" i="7"/>
  <c r="DJ205" i="7"/>
  <c r="EC206" i="7"/>
  <c r="EC135" i="7"/>
  <c r="EI135" i="7"/>
  <c r="EI206" i="7"/>
  <c r="EE135" i="7"/>
  <c r="EE206" i="7"/>
  <c r="DI136" i="7"/>
  <c r="DI207" i="7"/>
  <c r="DV205" i="7"/>
  <c r="DV134" i="7"/>
  <c r="ED205" i="7"/>
  <c r="ED134" i="7"/>
  <c r="DP134" i="7"/>
  <c r="DP205" i="7"/>
  <c r="CR135" i="7"/>
  <c r="CR206" i="7"/>
  <c r="CG134" i="7"/>
  <c r="CG205" i="7"/>
  <c r="CE134" i="7"/>
  <c r="CE205" i="7"/>
  <c r="CN135" i="7"/>
  <c r="CN206" i="7"/>
  <c r="CV206" i="7"/>
  <c r="CV135" i="7"/>
  <c r="CZ135" i="7"/>
  <c r="CZ206" i="7"/>
  <c r="CO134" i="7"/>
  <c r="CO205" i="7"/>
  <c r="CC134" i="7"/>
  <c r="CC205" i="7"/>
  <c r="BZ207" i="7"/>
  <c r="BZ136" i="7"/>
  <c r="DC134" i="7"/>
  <c r="DC205" i="7"/>
  <c r="DA134" i="7"/>
  <c r="DA205" i="7"/>
  <c r="CB206" i="7"/>
  <c r="CB135" i="7"/>
  <c r="DE134" i="7"/>
  <c r="DE205" i="7"/>
  <c r="CQ205" i="7"/>
  <c r="CQ134" i="7"/>
  <c r="CY134" i="7"/>
  <c r="CY205" i="7"/>
  <c r="DD135" i="7"/>
  <c r="DD206" i="7"/>
  <c r="CU134" i="7"/>
  <c r="CU205" i="7"/>
  <c r="BW135" i="7"/>
  <c r="BW206" i="7"/>
  <c r="CA205" i="7"/>
  <c r="CA134" i="7"/>
  <c r="BX135" i="7"/>
  <c r="BX206" i="7"/>
  <c r="CW134" i="7"/>
  <c r="CW205" i="7"/>
  <c r="BY134" i="7"/>
  <c r="BY205" i="7"/>
  <c r="CI134" i="7"/>
  <c r="CI205" i="7"/>
  <c r="CF206" i="7"/>
  <c r="CF135" i="7"/>
  <c r="CJ135" i="7"/>
  <c r="CJ206" i="7"/>
  <c r="CS134" i="7"/>
  <c r="CS205" i="7"/>
  <c r="CK134" i="7"/>
  <c r="CK205" i="7"/>
  <c r="CM134" i="7"/>
  <c r="CM205" i="7"/>
  <c r="CP207" i="7" l="1"/>
  <c r="CP136" i="7"/>
  <c r="CL135" i="7"/>
  <c r="CL206" i="7"/>
  <c r="CT206" i="7"/>
  <c r="CT135" i="7"/>
  <c r="CD135" i="7"/>
  <c r="CD206" i="7"/>
  <c r="DB135" i="7"/>
  <c r="DB206" i="7"/>
  <c r="CX207" i="7"/>
  <c r="CX136" i="7"/>
  <c r="CH136" i="7"/>
  <c r="CH207" i="7"/>
  <c r="EI136" i="7"/>
  <c r="EI207" i="7"/>
  <c r="EB206" i="7"/>
  <c r="EB135" i="7"/>
  <c r="ED135" i="7"/>
  <c r="ED206" i="7"/>
  <c r="EL135" i="7"/>
  <c r="EL206" i="7"/>
  <c r="DN135" i="7"/>
  <c r="DN206" i="7"/>
  <c r="DI137" i="7"/>
  <c r="DI208" i="7"/>
  <c r="DJ135" i="7"/>
  <c r="DJ206" i="7"/>
  <c r="DY136" i="7"/>
  <c r="DY207" i="7"/>
  <c r="DL206" i="7"/>
  <c r="DL135" i="7"/>
  <c r="DW136" i="7"/>
  <c r="DW207" i="7"/>
  <c r="EF135" i="7"/>
  <c r="EF206" i="7"/>
  <c r="EN206" i="7"/>
  <c r="EN135" i="7"/>
  <c r="DH206" i="7"/>
  <c r="DH135" i="7"/>
  <c r="DS136" i="7"/>
  <c r="DS207" i="7"/>
  <c r="EH135" i="7"/>
  <c r="EH206" i="7"/>
  <c r="DX135" i="7"/>
  <c r="DX206" i="7"/>
  <c r="EG136" i="7"/>
  <c r="EG207" i="7"/>
  <c r="EJ135" i="7"/>
  <c r="EJ206" i="7"/>
  <c r="EP205" i="7"/>
  <c r="ES205" i="7" s="1"/>
  <c r="DV135" i="7"/>
  <c r="DV206" i="7"/>
  <c r="EC136" i="7"/>
  <c r="EC207" i="7"/>
  <c r="DR135" i="7"/>
  <c r="DR206" i="7"/>
  <c r="DG136" i="7"/>
  <c r="DG207" i="7"/>
  <c r="DF135" i="7"/>
  <c r="DF206" i="7"/>
  <c r="EM136" i="7"/>
  <c r="EM207" i="7"/>
  <c r="DP135" i="7"/>
  <c r="DP206" i="7"/>
  <c r="EE136" i="7"/>
  <c r="EE207" i="7"/>
  <c r="DK136" i="7"/>
  <c r="DK207" i="7"/>
  <c r="DT135" i="7"/>
  <c r="DT206" i="7"/>
  <c r="DO136" i="7"/>
  <c r="DO207" i="7"/>
  <c r="DQ136" i="7"/>
  <c r="DQ207" i="7"/>
  <c r="EK136" i="7"/>
  <c r="EK207" i="7"/>
  <c r="DZ135" i="7"/>
  <c r="DZ206" i="7"/>
  <c r="DU136" i="7"/>
  <c r="DU207" i="7"/>
  <c r="EA136" i="7"/>
  <c r="EA207" i="7"/>
  <c r="DM136" i="7"/>
  <c r="DM207" i="7"/>
  <c r="CK135" i="7"/>
  <c r="CK206" i="7"/>
  <c r="DD136" i="7"/>
  <c r="DD207" i="7"/>
  <c r="DA135" i="7"/>
  <c r="DA206" i="7"/>
  <c r="CC135" i="7"/>
  <c r="CC206" i="7"/>
  <c r="CZ136" i="7"/>
  <c r="CZ207" i="7"/>
  <c r="CN136" i="7"/>
  <c r="CN207" i="7"/>
  <c r="CG135" i="7"/>
  <c r="CG206" i="7"/>
  <c r="CJ136" i="7"/>
  <c r="CJ207" i="7"/>
  <c r="BY135" i="7"/>
  <c r="BY206" i="7"/>
  <c r="CF136" i="7"/>
  <c r="CF207" i="7"/>
  <c r="CY135" i="7"/>
  <c r="CY206" i="7"/>
  <c r="CQ135" i="7"/>
  <c r="CQ206" i="7"/>
  <c r="CB136" i="7"/>
  <c r="CB207" i="7"/>
  <c r="BZ208" i="7"/>
  <c r="BZ137" i="7"/>
  <c r="CV136" i="7"/>
  <c r="CV207" i="7"/>
  <c r="BW136" i="7"/>
  <c r="BW207" i="7"/>
  <c r="DE135" i="7"/>
  <c r="DE206" i="7"/>
  <c r="CM135" i="7"/>
  <c r="CM206" i="7"/>
  <c r="CS135" i="7"/>
  <c r="CS206" i="7"/>
  <c r="CI135" i="7"/>
  <c r="CI206" i="7"/>
  <c r="CA206" i="7"/>
  <c r="CA135" i="7"/>
  <c r="CW135" i="7"/>
  <c r="CW206" i="7"/>
  <c r="BX136" i="7"/>
  <c r="BX207" i="7"/>
  <c r="CU135" i="7"/>
  <c r="CU206" i="7"/>
  <c r="DC135" i="7"/>
  <c r="DC206" i="7"/>
  <c r="CO135" i="7"/>
  <c r="CO206" i="7"/>
  <c r="CE135" i="7"/>
  <c r="CE206" i="7"/>
  <c r="CR136" i="7"/>
  <c r="CR207" i="7"/>
  <c r="EP206" i="7" l="1"/>
  <c r="ES206" i="7" s="1"/>
  <c r="CD136" i="7"/>
  <c r="CD207" i="7"/>
  <c r="CL136" i="7"/>
  <c r="CL207" i="7"/>
  <c r="CX208" i="7"/>
  <c r="CX137" i="7"/>
  <c r="CT207" i="7"/>
  <c r="CT136" i="7"/>
  <c r="CP208" i="7"/>
  <c r="CP137" i="7"/>
  <c r="CH208" i="7"/>
  <c r="CH137" i="7"/>
  <c r="DB207" i="7"/>
  <c r="DB136" i="7"/>
  <c r="EA137" i="7"/>
  <c r="EA208" i="7"/>
  <c r="DZ136" i="7"/>
  <c r="DZ207" i="7"/>
  <c r="DQ137" i="7"/>
  <c r="DQ208" i="7"/>
  <c r="DT136" i="7"/>
  <c r="DT207" i="7"/>
  <c r="EE208" i="7"/>
  <c r="EE137" i="7"/>
  <c r="EM208" i="7"/>
  <c r="EM137" i="7"/>
  <c r="DG137" i="7"/>
  <c r="DG208" i="7"/>
  <c r="EC137" i="7"/>
  <c r="EC208" i="7"/>
  <c r="EN207" i="7"/>
  <c r="EN136" i="7"/>
  <c r="EB136" i="7"/>
  <c r="EB207" i="7"/>
  <c r="EJ136" i="7"/>
  <c r="EJ207" i="7"/>
  <c r="DX136" i="7"/>
  <c r="DX207" i="7"/>
  <c r="DS137" i="7"/>
  <c r="DS208" i="7"/>
  <c r="DW137" i="7"/>
  <c r="DW208" i="7"/>
  <c r="DY137" i="7"/>
  <c r="DY208" i="7"/>
  <c r="DI138" i="7"/>
  <c r="DI209" i="7"/>
  <c r="EL136" i="7"/>
  <c r="EL207" i="7"/>
  <c r="DM137" i="7"/>
  <c r="DM208" i="7"/>
  <c r="DU137" i="7"/>
  <c r="DU208" i="7"/>
  <c r="EK137" i="7"/>
  <c r="EK208" i="7"/>
  <c r="DO208" i="7"/>
  <c r="DO137" i="7"/>
  <c r="DK137" i="7"/>
  <c r="DK208" i="7"/>
  <c r="DP136" i="7"/>
  <c r="DP207" i="7"/>
  <c r="DF207" i="7"/>
  <c r="DF136" i="7"/>
  <c r="DR136" i="7"/>
  <c r="DR207" i="7"/>
  <c r="DV207" i="7"/>
  <c r="DV136" i="7"/>
  <c r="DH136" i="7"/>
  <c r="DH207" i="7"/>
  <c r="DL136" i="7"/>
  <c r="DL207" i="7"/>
  <c r="EG137" i="7"/>
  <c r="EG208" i="7"/>
  <c r="EH136" i="7"/>
  <c r="EH207" i="7"/>
  <c r="EF207" i="7"/>
  <c r="EF136" i="7"/>
  <c r="DJ136" i="7"/>
  <c r="DJ207" i="7"/>
  <c r="DN136" i="7"/>
  <c r="DN207" i="7"/>
  <c r="ED136" i="7"/>
  <c r="ED207" i="7"/>
  <c r="EI137" i="7"/>
  <c r="EI208" i="7"/>
  <c r="CE207" i="7"/>
  <c r="CE136" i="7"/>
  <c r="CO136" i="7"/>
  <c r="CO207" i="7"/>
  <c r="BX137" i="7"/>
  <c r="BX208" i="7"/>
  <c r="CS136" i="7"/>
  <c r="CS207" i="7"/>
  <c r="DE136" i="7"/>
  <c r="DE207" i="7"/>
  <c r="CV137" i="7"/>
  <c r="CV208" i="7"/>
  <c r="CY136" i="7"/>
  <c r="CY207" i="7"/>
  <c r="BY136" i="7"/>
  <c r="BY207" i="7"/>
  <c r="CZ137" i="7"/>
  <c r="CZ208" i="7"/>
  <c r="DD137" i="7"/>
  <c r="DD208" i="7"/>
  <c r="CU136" i="7"/>
  <c r="CU207" i="7"/>
  <c r="CI136" i="7"/>
  <c r="CI207" i="7"/>
  <c r="BW137" i="7"/>
  <c r="BW208" i="7"/>
  <c r="BZ138" i="7"/>
  <c r="BZ209" i="7"/>
  <c r="CB137" i="7"/>
  <c r="CB208" i="7"/>
  <c r="CF137" i="7"/>
  <c r="CF208" i="7"/>
  <c r="CG136" i="7"/>
  <c r="CG207" i="7"/>
  <c r="CC136" i="7"/>
  <c r="CC207" i="7"/>
  <c r="CR137" i="7"/>
  <c r="CR208" i="7"/>
  <c r="DC136" i="7"/>
  <c r="DC207" i="7"/>
  <c r="CW136" i="7"/>
  <c r="CW207" i="7"/>
  <c r="CM136" i="7"/>
  <c r="CM207" i="7"/>
  <c r="CA136" i="7"/>
  <c r="CA207" i="7"/>
  <c r="CQ207" i="7"/>
  <c r="CQ136" i="7"/>
  <c r="CJ137" i="7"/>
  <c r="CJ208" i="7"/>
  <c r="CN137" i="7"/>
  <c r="CN208" i="7"/>
  <c r="DA136" i="7"/>
  <c r="DA207" i="7"/>
  <c r="CK136" i="7"/>
  <c r="CK207" i="7"/>
  <c r="CP138" i="7" l="1"/>
  <c r="CP209" i="7"/>
  <c r="CL208" i="7"/>
  <c r="CL137" i="7"/>
  <c r="DB208" i="7"/>
  <c r="DB137" i="7"/>
  <c r="CD137" i="7"/>
  <c r="CD208" i="7"/>
  <c r="CX138" i="7"/>
  <c r="CX209" i="7"/>
  <c r="CH209" i="7"/>
  <c r="CH138" i="7"/>
  <c r="CT137" i="7"/>
  <c r="CT208" i="7"/>
  <c r="ED208" i="7"/>
  <c r="ED137" i="7"/>
  <c r="EI138" i="7"/>
  <c r="EI209" i="7"/>
  <c r="DN137" i="7"/>
  <c r="DN208" i="7"/>
  <c r="EG138" i="7"/>
  <c r="EG209" i="7"/>
  <c r="DP137" i="7"/>
  <c r="DP208" i="7"/>
  <c r="EP207" i="7"/>
  <c r="ES207" i="7" s="1"/>
  <c r="DV208" i="7"/>
  <c r="DV137" i="7"/>
  <c r="DF208" i="7"/>
  <c r="DF137" i="7"/>
  <c r="EM209" i="7"/>
  <c r="EM138" i="7"/>
  <c r="DJ137" i="7"/>
  <c r="DJ208" i="7"/>
  <c r="EH208" i="7"/>
  <c r="EH137" i="7"/>
  <c r="DL137" i="7"/>
  <c r="DL208" i="7"/>
  <c r="DK138" i="7"/>
  <c r="DK209" i="7"/>
  <c r="EK138" i="7"/>
  <c r="EK209" i="7"/>
  <c r="DM138" i="7"/>
  <c r="DM209" i="7"/>
  <c r="DI139" i="7"/>
  <c r="DI210" i="7"/>
  <c r="DW138" i="7"/>
  <c r="DW209" i="7"/>
  <c r="DX137" i="7"/>
  <c r="DX208" i="7"/>
  <c r="EB137" i="7"/>
  <c r="EB208" i="7"/>
  <c r="EC138" i="7"/>
  <c r="EC209" i="7"/>
  <c r="DT137" i="7"/>
  <c r="DT208" i="7"/>
  <c r="DZ137" i="7"/>
  <c r="DZ208" i="7"/>
  <c r="EF137" i="7"/>
  <c r="EF208" i="7"/>
  <c r="DO209" i="7"/>
  <c r="DO138" i="7"/>
  <c r="EN137" i="7"/>
  <c r="EN208" i="7"/>
  <c r="EE209" i="7"/>
  <c r="EE138" i="7"/>
  <c r="DH137" i="7"/>
  <c r="DH208" i="7"/>
  <c r="DR208" i="7"/>
  <c r="DR137" i="7"/>
  <c r="DU138" i="7"/>
  <c r="DU209" i="7"/>
  <c r="EL208" i="7"/>
  <c r="EL137" i="7"/>
  <c r="DY138" i="7"/>
  <c r="DY209" i="7"/>
  <c r="DS138" i="7"/>
  <c r="DS209" i="7"/>
  <c r="EJ137" i="7"/>
  <c r="EJ208" i="7"/>
  <c r="DG138" i="7"/>
  <c r="DG209" i="7"/>
  <c r="DQ138" i="7"/>
  <c r="DQ209" i="7"/>
  <c r="EA138" i="7"/>
  <c r="EA209" i="7"/>
  <c r="DA137" i="7"/>
  <c r="DA208" i="7"/>
  <c r="CN138" i="7"/>
  <c r="CN209" i="7"/>
  <c r="CA137" i="7"/>
  <c r="CA208" i="7"/>
  <c r="CM137" i="7"/>
  <c r="CM208" i="7"/>
  <c r="DC137" i="7"/>
  <c r="DC208" i="7"/>
  <c r="CC137" i="7"/>
  <c r="CC208" i="7"/>
  <c r="CF209" i="7"/>
  <c r="CF138" i="7"/>
  <c r="CI208" i="7"/>
  <c r="CI137" i="7"/>
  <c r="CZ209" i="7"/>
  <c r="CZ138" i="7"/>
  <c r="CY208" i="7"/>
  <c r="CY137" i="7"/>
  <c r="CS137" i="7"/>
  <c r="CS208" i="7"/>
  <c r="CJ209" i="7"/>
  <c r="CJ138" i="7"/>
  <c r="CW137" i="7"/>
  <c r="CW208" i="7"/>
  <c r="CR138" i="7"/>
  <c r="CR209" i="7"/>
  <c r="CG137" i="7"/>
  <c r="CG208" i="7"/>
  <c r="CB138" i="7"/>
  <c r="CB209" i="7"/>
  <c r="BZ210" i="7"/>
  <c r="BZ139" i="7"/>
  <c r="BW138" i="7"/>
  <c r="BW209" i="7"/>
  <c r="CU137" i="7"/>
  <c r="CU208" i="7"/>
  <c r="DD138" i="7"/>
  <c r="DD209" i="7"/>
  <c r="BY137" i="7"/>
  <c r="BY208" i="7"/>
  <c r="CV138" i="7"/>
  <c r="CV209" i="7"/>
  <c r="CE137" i="7"/>
  <c r="CE208" i="7"/>
  <c r="CQ137" i="7"/>
  <c r="CQ208" i="7"/>
  <c r="CO137" i="7"/>
  <c r="CO208" i="7"/>
  <c r="CK137" i="7"/>
  <c r="CK208" i="7"/>
  <c r="DE137" i="7"/>
  <c r="DE208" i="7"/>
  <c r="BX138" i="7"/>
  <c r="BX209" i="7"/>
  <c r="CD209" i="7" l="1"/>
  <c r="CD138" i="7"/>
  <c r="CH210" i="7"/>
  <c r="CH139" i="7"/>
  <c r="CL209" i="7"/>
  <c r="CL138" i="7"/>
  <c r="DB209" i="7"/>
  <c r="DB138" i="7"/>
  <c r="CT209" i="7"/>
  <c r="CT138" i="7"/>
  <c r="CX210" i="7"/>
  <c r="CX139" i="7"/>
  <c r="CP210" i="7"/>
  <c r="CP139" i="7"/>
  <c r="EP208" i="7"/>
  <c r="ES208" i="7" s="1"/>
  <c r="DQ139" i="7"/>
  <c r="DQ210" i="7"/>
  <c r="EJ138" i="7"/>
  <c r="EJ209" i="7"/>
  <c r="DY139" i="7"/>
  <c r="DY210" i="7"/>
  <c r="DU139" i="7"/>
  <c r="DU210" i="7"/>
  <c r="DH138" i="7"/>
  <c r="DH209" i="7"/>
  <c r="EN138" i="7"/>
  <c r="EN209" i="7"/>
  <c r="EF209" i="7"/>
  <c r="EF138" i="7"/>
  <c r="DT138" i="7"/>
  <c r="DT209" i="7"/>
  <c r="EB138" i="7"/>
  <c r="EB209" i="7"/>
  <c r="DW139" i="7"/>
  <c r="DW210" i="7"/>
  <c r="DM139" i="7"/>
  <c r="DM210" i="7"/>
  <c r="DK139" i="7"/>
  <c r="DK210" i="7"/>
  <c r="DR138" i="7"/>
  <c r="DR209" i="7"/>
  <c r="EE139" i="7"/>
  <c r="EE210" i="7"/>
  <c r="DO210" i="7"/>
  <c r="DO139" i="7"/>
  <c r="DF138" i="7"/>
  <c r="DF209" i="7"/>
  <c r="EG139" i="7"/>
  <c r="EG210" i="7"/>
  <c r="EI139" i="7"/>
  <c r="EI210" i="7"/>
  <c r="EA139" i="7"/>
  <c r="EA210" i="7"/>
  <c r="DG139" i="7"/>
  <c r="DG210" i="7"/>
  <c r="DS139" i="7"/>
  <c r="DS210" i="7"/>
  <c r="DZ138" i="7"/>
  <c r="DZ209" i="7"/>
  <c r="EC139" i="7"/>
  <c r="EC210" i="7"/>
  <c r="DX138" i="7"/>
  <c r="DX209" i="7"/>
  <c r="DI140" i="7"/>
  <c r="DI211" i="7"/>
  <c r="EK139" i="7"/>
  <c r="EK210" i="7"/>
  <c r="DL138" i="7"/>
  <c r="DL209" i="7"/>
  <c r="DJ138" i="7"/>
  <c r="DJ209" i="7"/>
  <c r="ED138" i="7"/>
  <c r="ED209" i="7"/>
  <c r="EL138" i="7"/>
  <c r="EL209" i="7"/>
  <c r="EH138" i="7"/>
  <c r="EH209" i="7"/>
  <c r="EM139" i="7"/>
  <c r="EM210" i="7"/>
  <c r="DV138" i="7"/>
  <c r="DV209" i="7"/>
  <c r="DP209" i="7"/>
  <c r="DP138" i="7"/>
  <c r="DN138" i="7"/>
  <c r="DN209" i="7"/>
  <c r="CK138" i="7"/>
  <c r="CK209" i="7"/>
  <c r="DD139" i="7"/>
  <c r="DD210" i="7"/>
  <c r="DC138" i="7"/>
  <c r="DC209" i="7"/>
  <c r="CA138" i="7"/>
  <c r="CA209" i="7"/>
  <c r="CN139" i="7"/>
  <c r="CN210" i="7"/>
  <c r="DE138" i="7"/>
  <c r="DE209" i="7"/>
  <c r="BW139" i="7"/>
  <c r="BW210" i="7"/>
  <c r="CR139" i="7"/>
  <c r="CR210" i="7"/>
  <c r="CY209" i="7"/>
  <c r="CY138" i="7"/>
  <c r="CF139" i="7"/>
  <c r="CF210" i="7"/>
  <c r="BZ140" i="7"/>
  <c r="BZ211" i="7"/>
  <c r="CJ139" i="7"/>
  <c r="CJ210" i="7"/>
  <c r="CO138" i="7"/>
  <c r="CO209" i="7"/>
  <c r="CE138" i="7"/>
  <c r="CE209" i="7"/>
  <c r="BY138" i="7"/>
  <c r="BY209" i="7"/>
  <c r="CU138" i="7"/>
  <c r="CU209" i="7"/>
  <c r="CG138" i="7"/>
  <c r="CG209" i="7"/>
  <c r="CW138" i="7"/>
  <c r="CW209" i="7"/>
  <c r="CZ139" i="7"/>
  <c r="CZ210" i="7"/>
  <c r="CI209" i="7"/>
  <c r="CI138" i="7"/>
  <c r="CQ138" i="7"/>
  <c r="CQ209" i="7"/>
  <c r="CV139" i="7"/>
  <c r="CV210" i="7"/>
  <c r="CB139" i="7"/>
  <c r="CB210" i="7"/>
  <c r="CS138" i="7"/>
  <c r="CS209" i="7"/>
  <c r="BX139" i="7"/>
  <c r="BX210" i="7"/>
  <c r="CC138" i="7"/>
  <c r="CC209" i="7"/>
  <c r="CM138" i="7"/>
  <c r="CM209" i="7"/>
  <c r="DA138" i="7"/>
  <c r="DA209" i="7"/>
  <c r="CX140" i="7" l="1"/>
  <c r="CX211" i="7"/>
  <c r="DB210" i="7"/>
  <c r="DB139" i="7"/>
  <c r="CH140" i="7"/>
  <c r="CH211" i="7"/>
  <c r="CP140" i="7"/>
  <c r="CP211" i="7"/>
  <c r="CT210" i="7"/>
  <c r="CT139" i="7"/>
  <c r="CL139" i="7"/>
  <c r="CL210" i="7"/>
  <c r="CD210" i="7"/>
  <c r="CD139" i="7"/>
  <c r="EP209" i="7"/>
  <c r="ES209" i="7" s="1"/>
  <c r="EM140" i="7"/>
  <c r="EM211" i="7"/>
  <c r="EL139" i="7"/>
  <c r="EL210" i="7"/>
  <c r="DJ139" i="7"/>
  <c r="DJ210" i="7"/>
  <c r="EK140" i="7"/>
  <c r="EK211" i="7"/>
  <c r="DX139" i="7"/>
  <c r="DX210" i="7"/>
  <c r="DZ210" i="7"/>
  <c r="DZ139" i="7"/>
  <c r="DG140" i="7"/>
  <c r="DG211" i="7"/>
  <c r="EI140" i="7"/>
  <c r="EI211" i="7"/>
  <c r="DF210" i="7"/>
  <c r="DF139" i="7"/>
  <c r="EE140" i="7"/>
  <c r="EE211" i="7"/>
  <c r="DK140" i="7"/>
  <c r="DK211" i="7"/>
  <c r="DW140" i="7"/>
  <c r="DW211" i="7"/>
  <c r="DT139" i="7"/>
  <c r="DT210" i="7"/>
  <c r="EN139" i="7"/>
  <c r="EN210" i="7"/>
  <c r="DU140" i="7"/>
  <c r="DU211" i="7"/>
  <c r="EJ139" i="7"/>
  <c r="EJ210" i="7"/>
  <c r="DO140" i="7"/>
  <c r="DO211" i="7"/>
  <c r="EF139" i="7"/>
  <c r="EF210" i="7"/>
  <c r="DN139" i="7"/>
  <c r="DN210" i="7"/>
  <c r="DV139" i="7"/>
  <c r="DV210" i="7"/>
  <c r="EH139" i="7"/>
  <c r="EH210" i="7"/>
  <c r="ED210" i="7"/>
  <c r="ED139" i="7"/>
  <c r="DL139" i="7"/>
  <c r="DL210" i="7"/>
  <c r="DI141" i="7"/>
  <c r="DI212" i="7"/>
  <c r="EC140" i="7"/>
  <c r="EC211" i="7"/>
  <c r="DS140" i="7"/>
  <c r="DS211" i="7"/>
  <c r="EA140" i="7"/>
  <c r="EA211" i="7"/>
  <c r="EG140" i="7"/>
  <c r="EG211" i="7"/>
  <c r="DR139" i="7"/>
  <c r="DR210" i="7"/>
  <c r="DM140" i="7"/>
  <c r="DM211" i="7"/>
  <c r="EB139" i="7"/>
  <c r="EB210" i="7"/>
  <c r="DH139" i="7"/>
  <c r="DH210" i="7"/>
  <c r="DY140" i="7"/>
  <c r="DY211" i="7"/>
  <c r="DQ140" i="7"/>
  <c r="DQ211" i="7"/>
  <c r="DP139" i="7"/>
  <c r="DP210" i="7"/>
  <c r="CB140" i="7"/>
  <c r="CB211" i="7"/>
  <c r="CC139" i="7"/>
  <c r="CC210" i="7"/>
  <c r="BX140" i="7"/>
  <c r="BX211" i="7"/>
  <c r="CZ211" i="7"/>
  <c r="CZ140" i="7"/>
  <c r="CE139" i="7"/>
  <c r="CE210" i="7"/>
  <c r="CF140" i="7"/>
  <c r="CF211" i="7"/>
  <c r="CM139" i="7"/>
  <c r="CM210" i="7"/>
  <c r="CI210" i="7"/>
  <c r="CI139" i="7"/>
  <c r="CY210" i="7"/>
  <c r="CY139" i="7"/>
  <c r="CQ139" i="7"/>
  <c r="CQ210" i="7"/>
  <c r="CW139" i="7"/>
  <c r="CW210" i="7"/>
  <c r="CU139" i="7"/>
  <c r="CU210" i="7"/>
  <c r="CJ211" i="7"/>
  <c r="CJ140" i="7"/>
  <c r="CR140" i="7"/>
  <c r="CR211" i="7"/>
  <c r="DE139" i="7"/>
  <c r="DE210" i="7"/>
  <c r="CA139" i="7"/>
  <c r="CA210" i="7"/>
  <c r="DD211" i="7"/>
  <c r="DD140" i="7"/>
  <c r="DA139" i="7"/>
  <c r="DA210" i="7"/>
  <c r="CS139" i="7"/>
  <c r="CS210" i="7"/>
  <c r="CV140" i="7"/>
  <c r="CV211" i="7"/>
  <c r="CG139" i="7"/>
  <c r="CG210" i="7"/>
  <c r="BY139" i="7"/>
  <c r="BY210" i="7"/>
  <c r="CO139" i="7"/>
  <c r="CO210" i="7"/>
  <c r="BZ141" i="7"/>
  <c r="BZ212" i="7"/>
  <c r="BW140" i="7"/>
  <c r="BW211" i="7"/>
  <c r="CN140" i="7"/>
  <c r="CN211" i="7"/>
  <c r="DC139" i="7"/>
  <c r="DC210" i="7"/>
  <c r="CK139" i="7"/>
  <c r="CK210" i="7"/>
  <c r="EP210" i="7" l="1"/>
  <c r="ES210" i="7" s="1"/>
  <c r="CL140" i="7"/>
  <c r="CL211" i="7"/>
  <c r="CP212" i="7"/>
  <c r="CP141" i="7"/>
  <c r="DB211" i="7"/>
  <c r="DB140" i="7"/>
  <c r="CD211" i="7"/>
  <c r="CD140" i="7"/>
  <c r="CT140" i="7"/>
  <c r="CT211" i="7"/>
  <c r="CH141" i="7"/>
  <c r="CH212" i="7"/>
  <c r="CX212" i="7"/>
  <c r="CX141" i="7"/>
  <c r="DM141" i="7"/>
  <c r="DM212" i="7"/>
  <c r="DP211" i="7"/>
  <c r="DP140" i="7"/>
  <c r="EB140" i="7"/>
  <c r="EB211" i="7"/>
  <c r="DR140" i="7"/>
  <c r="DR211" i="7"/>
  <c r="EA141" i="7"/>
  <c r="EA212" i="7"/>
  <c r="DL140" i="7"/>
  <c r="DL211" i="7"/>
  <c r="EH140" i="7"/>
  <c r="EH211" i="7"/>
  <c r="DO141" i="7"/>
  <c r="DO212" i="7"/>
  <c r="ED140" i="7"/>
  <c r="ED211" i="7"/>
  <c r="DZ140" i="7"/>
  <c r="DZ211" i="7"/>
  <c r="DQ141" i="7"/>
  <c r="DQ212" i="7"/>
  <c r="DH140" i="7"/>
  <c r="DH211" i="7"/>
  <c r="EG141" i="7"/>
  <c r="EG212" i="7"/>
  <c r="DS141" i="7"/>
  <c r="DS212" i="7"/>
  <c r="DI142" i="7"/>
  <c r="DI213" i="7"/>
  <c r="DV140" i="7"/>
  <c r="DV211" i="7"/>
  <c r="EF140" i="7"/>
  <c r="EF211" i="7"/>
  <c r="EJ211" i="7"/>
  <c r="EJ140" i="7"/>
  <c r="EN140" i="7"/>
  <c r="EN211" i="7"/>
  <c r="DW141" i="7"/>
  <c r="DW212" i="7"/>
  <c r="EE212" i="7"/>
  <c r="EE141" i="7"/>
  <c r="EI141" i="7"/>
  <c r="EI212" i="7"/>
  <c r="EK141" i="7"/>
  <c r="EK212" i="7"/>
  <c r="EL140" i="7"/>
  <c r="EL211" i="7"/>
  <c r="DF140" i="7"/>
  <c r="DF211" i="7"/>
  <c r="DY141" i="7"/>
  <c r="DY212" i="7"/>
  <c r="EC141" i="7"/>
  <c r="EC212" i="7"/>
  <c r="DN140" i="7"/>
  <c r="DN211" i="7"/>
  <c r="DU141" i="7"/>
  <c r="DU212" i="7"/>
  <c r="DT140" i="7"/>
  <c r="DT211" i="7"/>
  <c r="DK141" i="7"/>
  <c r="DK212" i="7"/>
  <c r="DG141" i="7"/>
  <c r="DG212" i="7"/>
  <c r="DX140" i="7"/>
  <c r="DX211" i="7"/>
  <c r="DJ140" i="7"/>
  <c r="DJ211" i="7"/>
  <c r="EM141" i="7"/>
  <c r="EM212" i="7"/>
  <c r="BY140" i="7"/>
  <c r="BY211" i="7"/>
  <c r="CS140" i="7"/>
  <c r="CS211" i="7"/>
  <c r="DE140" i="7"/>
  <c r="DE211" i="7"/>
  <c r="CY140" i="7"/>
  <c r="CY211" i="7"/>
  <c r="CM140" i="7"/>
  <c r="CM211" i="7"/>
  <c r="CF141" i="7"/>
  <c r="CF212" i="7"/>
  <c r="BZ142" i="7"/>
  <c r="BZ213" i="7"/>
  <c r="CZ141" i="7"/>
  <c r="CZ212" i="7"/>
  <c r="CK140" i="7"/>
  <c r="CK211" i="7"/>
  <c r="DC140" i="7"/>
  <c r="DC211" i="7"/>
  <c r="BW141" i="7"/>
  <c r="BW212" i="7"/>
  <c r="CO140" i="7"/>
  <c r="CO211" i="7"/>
  <c r="CG140" i="7"/>
  <c r="CG211" i="7"/>
  <c r="CV141" i="7"/>
  <c r="CV212" i="7"/>
  <c r="DA140" i="7"/>
  <c r="DA211" i="7"/>
  <c r="CA140" i="7"/>
  <c r="CA211" i="7"/>
  <c r="CR141" i="7"/>
  <c r="CR212" i="7"/>
  <c r="CU140" i="7"/>
  <c r="CU211" i="7"/>
  <c r="CQ140" i="7"/>
  <c r="CQ211" i="7"/>
  <c r="CI140" i="7"/>
  <c r="CI211" i="7"/>
  <c r="CN141" i="7"/>
  <c r="CN212" i="7"/>
  <c r="CW140" i="7"/>
  <c r="CW211" i="7"/>
  <c r="DD141" i="7"/>
  <c r="DD212" i="7"/>
  <c r="CJ141" i="7"/>
  <c r="CJ212" i="7"/>
  <c r="CE140" i="7"/>
  <c r="CE211" i="7"/>
  <c r="BX141" i="7"/>
  <c r="BX212" i="7"/>
  <c r="CC140" i="7"/>
  <c r="CC211" i="7"/>
  <c r="CB141" i="7"/>
  <c r="CB212" i="7"/>
  <c r="CD141" i="7" l="1"/>
  <c r="CD212" i="7"/>
  <c r="CP213" i="7"/>
  <c r="CP142" i="7"/>
  <c r="CX142" i="7"/>
  <c r="CX213" i="7"/>
  <c r="DB141" i="7"/>
  <c r="DB212" i="7"/>
  <c r="CH142" i="7"/>
  <c r="CH213" i="7"/>
  <c r="CT141" i="7"/>
  <c r="CT212" i="7"/>
  <c r="CL141" i="7"/>
  <c r="CL212" i="7"/>
  <c r="DJ141" i="7"/>
  <c r="DJ212" i="7"/>
  <c r="DU142" i="7"/>
  <c r="DU213" i="7"/>
  <c r="EP211" i="7"/>
  <c r="ES211" i="7" s="1"/>
  <c r="EJ141" i="7"/>
  <c r="EJ212" i="7"/>
  <c r="DP141" i="7"/>
  <c r="DP212" i="7"/>
  <c r="DG142" i="7"/>
  <c r="DG213" i="7"/>
  <c r="DT141" i="7"/>
  <c r="DT212" i="7"/>
  <c r="DN141" i="7"/>
  <c r="DN212" i="7"/>
  <c r="DY142" i="7"/>
  <c r="DY213" i="7"/>
  <c r="EL141" i="7"/>
  <c r="EL212" i="7"/>
  <c r="EI142" i="7"/>
  <c r="EI213" i="7"/>
  <c r="DW142" i="7"/>
  <c r="DW213" i="7"/>
  <c r="DV141" i="7"/>
  <c r="DV212" i="7"/>
  <c r="DS142" i="7"/>
  <c r="DS213" i="7"/>
  <c r="DH141" i="7"/>
  <c r="DH212" i="7"/>
  <c r="DZ141" i="7"/>
  <c r="DZ212" i="7"/>
  <c r="DO213" i="7"/>
  <c r="DO142" i="7"/>
  <c r="DL141" i="7"/>
  <c r="DL212" i="7"/>
  <c r="DR141" i="7"/>
  <c r="DR212" i="7"/>
  <c r="EE213" i="7"/>
  <c r="EE142" i="7"/>
  <c r="EM213" i="7"/>
  <c r="EM142" i="7"/>
  <c r="DX141" i="7"/>
  <c r="DX212" i="7"/>
  <c r="DK142" i="7"/>
  <c r="DK213" i="7"/>
  <c r="EC142" i="7"/>
  <c r="EC213" i="7"/>
  <c r="DF141" i="7"/>
  <c r="DF212" i="7"/>
  <c r="EK142" i="7"/>
  <c r="EK213" i="7"/>
  <c r="EN141" i="7"/>
  <c r="EN212" i="7"/>
  <c r="EF141" i="7"/>
  <c r="EF212" i="7"/>
  <c r="DI143" i="7"/>
  <c r="DI214" i="7"/>
  <c r="EG142" i="7"/>
  <c r="EG213" i="7"/>
  <c r="DQ142" i="7"/>
  <c r="DQ213" i="7"/>
  <c r="ED212" i="7"/>
  <c r="ED141" i="7"/>
  <c r="EH141" i="7"/>
  <c r="EH212" i="7"/>
  <c r="EA142" i="7"/>
  <c r="EA213" i="7"/>
  <c r="EB141" i="7"/>
  <c r="EB212" i="7"/>
  <c r="DM142" i="7"/>
  <c r="DM213" i="7"/>
  <c r="CC141" i="7"/>
  <c r="CC212" i="7"/>
  <c r="CE141" i="7"/>
  <c r="CE212" i="7"/>
  <c r="CJ142" i="7"/>
  <c r="CJ213" i="7"/>
  <c r="CW141" i="7"/>
  <c r="CW212" i="7"/>
  <c r="CN142" i="7"/>
  <c r="CN213" i="7"/>
  <c r="CQ141" i="7"/>
  <c r="CQ212" i="7"/>
  <c r="CR213" i="7"/>
  <c r="CR142" i="7"/>
  <c r="DA141" i="7"/>
  <c r="DA212" i="7"/>
  <c r="CV142" i="7"/>
  <c r="CV213" i="7"/>
  <c r="CO141" i="7"/>
  <c r="CO212" i="7"/>
  <c r="DC141" i="7"/>
  <c r="DC212" i="7"/>
  <c r="CS141" i="7"/>
  <c r="CS212" i="7"/>
  <c r="CI141" i="7"/>
  <c r="CI212" i="7"/>
  <c r="CA141" i="7"/>
  <c r="CA212" i="7"/>
  <c r="CG141" i="7"/>
  <c r="CG212" i="7"/>
  <c r="BW142" i="7"/>
  <c r="BW213" i="7"/>
  <c r="CK141" i="7"/>
  <c r="CK212" i="7"/>
  <c r="CZ142" i="7"/>
  <c r="CZ213" i="7"/>
  <c r="BZ214" i="7"/>
  <c r="BZ143" i="7"/>
  <c r="CM141" i="7"/>
  <c r="CM212" i="7"/>
  <c r="CY141" i="7"/>
  <c r="CY212" i="7"/>
  <c r="CB142" i="7"/>
  <c r="CB213" i="7"/>
  <c r="BX213" i="7"/>
  <c r="BX142" i="7"/>
  <c r="DD213" i="7"/>
  <c r="DD142" i="7"/>
  <c r="CU141" i="7"/>
  <c r="CU212" i="7"/>
  <c r="CF142" i="7"/>
  <c r="CF213" i="7"/>
  <c r="DE141" i="7"/>
  <c r="DE212" i="7"/>
  <c r="BY141" i="7"/>
  <c r="BY212" i="7"/>
  <c r="EP212" i="7" l="1"/>
  <c r="ES212" i="7" s="1"/>
  <c r="CT142" i="7"/>
  <c r="CT213" i="7"/>
  <c r="DB142" i="7"/>
  <c r="DB213" i="7"/>
  <c r="CP214" i="7"/>
  <c r="CP143" i="7"/>
  <c r="CL142" i="7"/>
  <c r="CL213" i="7"/>
  <c r="CH143" i="7"/>
  <c r="CH214" i="7"/>
  <c r="CX143" i="7"/>
  <c r="CX214" i="7"/>
  <c r="CD142" i="7"/>
  <c r="CD213" i="7"/>
  <c r="ED142" i="7"/>
  <c r="ED213" i="7"/>
  <c r="DO143" i="7"/>
  <c r="DO214" i="7"/>
  <c r="EB142" i="7"/>
  <c r="EB213" i="7"/>
  <c r="EH142" i="7"/>
  <c r="EH213" i="7"/>
  <c r="DQ143" i="7"/>
  <c r="DQ214" i="7"/>
  <c r="DI144" i="7"/>
  <c r="DI215" i="7"/>
  <c r="EN142" i="7"/>
  <c r="EN213" i="7"/>
  <c r="DF142" i="7"/>
  <c r="DF213" i="7"/>
  <c r="DK143" i="7"/>
  <c r="DK214" i="7"/>
  <c r="DR142" i="7"/>
  <c r="DR213" i="7"/>
  <c r="DH142" i="7"/>
  <c r="DH213" i="7"/>
  <c r="DV142" i="7"/>
  <c r="DV213" i="7"/>
  <c r="EI143" i="7"/>
  <c r="EI214" i="7"/>
  <c r="DY143" i="7"/>
  <c r="DY214" i="7"/>
  <c r="DT142" i="7"/>
  <c r="DT213" i="7"/>
  <c r="DP142" i="7"/>
  <c r="DP213" i="7"/>
  <c r="EE143" i="7"/>
  <c r="EE214" i="7"/>
  <c r="DU143" i="7"/>
  <c r="DU214" i="7"/>
  <c r="DM143" i="7"/>
  <c r="DM214" i="7"/>
  <c r="EA143" i="7"/>
  <c r="EA214" i="7"/>
  <c r="EG143" i="7"/>
  <c r="EG214" i="7"/>
  <c r="EF142" i="7"/>
  <c r="EF213" i="7"/>
  <c r="EK143" i="7"/>
  <c r="EK214" i="7"/>
  <c r="EC143" i="7"/>
  <c r="EC214" i="7"/>
  <c r="DX213" i="7"/>
  <c r="DX142" i="7"/>
  <c r="DL142" i="7"/>
  <c r="DL213" i="7"/>
  <c r="DZ142" i="7"/>
  <c r="DZ213" i="7"/>
  <c r="DS143" i="7"/>
  <c r="DS214" i="7"/>
  <c r="DW143" i="7"/>
  <c r="DW214" i="7"/>
  <c r="EL142" i="7"/>
  <c r="EL213" i="7"/>
  <c r="DN142" i="7"/>
  <c r="DN213" i="7"/>
  <c r="DG143" i="7"/>
  <c r="DG214" i="7"/>
  <c r="EJ213" i="7"/>
  <c r="EJ142" i="7"/>
  <c r="EM214" i="7"/>
  <c r="EM143" i="7"/>
  <c r="DJ142" i="7"/>
  <c r="DJ213" i="7"/>
  <c r="BX143" i="7"/>
  <c r="BX214" i="7"/>
  <c r="DE142" i="7"/>
  <c r="DE213" i="7"/>
  <c r="CF143" i="7"/>
  <c r="CF214" i="7"/>
  <c r="CB143" i="7"/>
  <c r="CB214" i="7"/>
  <c r="CM142" i="7"/>
  <c r="CM213" i="7"/>
  <c r="CZ143" i="7"/>
  <c r="CZ214" i="7"/>
  <c r="BZ215" i="7"/>
  <c r="BZ144" i="7"/>
  <c r="BW143" i="7"/>
  <c r="BW214" i="7"/>
  <c r="DA142" i="7"/>
  <c r="DA213" i="7"/>
  <c r="CE142" i="7"/>
  <c r="CE213" i="7"/>
  <c r="CU142" i="7"/>
  <c r="CU213" i="7"/>
  <c r="CY142" i="7"/>
  <c r="CY213" i="7"/>
  <c r="CR143" i="7"/>
  <c r="CR214" i="7"/>
  <c r="CI142" i="7"/>
  <c r="CI213" i="7"/>
  <c r="CO142" i="7"/>
  <c r="CO213" i="7"/>
  <c r="CQ142" i="7"/>
  <c r="CQ213" i="7"/>
  <c r="CW142" i="7"/>
  <c r="CW213" i="7"/>
  <c r="BY142" i="7"/>
  <c r="BY213" i="7"/>
  <c r="DD143" i="7"/>
  <c r="DD214" i="7"/>
  <c r="CK142" i="7"/>
  <c r="CK213" i="7"/>
  <c r="CG142" i="7"/>
  <c r="CG213" i="7"/>
  <c r="CA142" i="7"/>
  <c r="CA213" i="7"/>
  <c r="CS213" i="7"/>
  <c r="CS142" i="7"/>
  <c r="DC142" i="7"/>
  <c r="DC213" i="7"/>
  <c r="CV143" i="7"/>
  <c r="CV214" i="7"/>
  <c r="CN143" i="7"/>
  <c r="CN214" i="7"/>
  <c r="CJ143" i="7"/>
  <c r="CJ214" i="7"/>
  <c r="CC142" i="7"/>
  <c r="CC213" i="7"/>
  <c r="CX144" i="7" l="1"/>
  <c r="CX215" i="7"/>
  <c r="CL214" i="7"/>
  <c r="CL143" i="7"/>
  <c r="DB214" i="7"/>
  <c r="DB143" i="7"/>
  <c r="CD143" i="7"/>
  <c r="CD214" i="7"/>
  <c r="CH144" i="7"/>
  <c r="CH215" i="7"/>
  <c r="CT143" i="7"/>
  <c r="CT214" i="7"/>
  <c r="CP215" i="7"/>
  <c r="CP144" i="7"/>
  <c r="EP213" i="7"/>
  <c r="ES213" i="7" s="1"/>
  <c r="DJ143" i="7"/>
  <c r="DJ214" i="7"/>
  <c r="DN143" i="7"/>
  <c r="DN214" i="7"/>
  <c r="EM144" i="7"/>
  <c r="EM215" i="7"/>
  <c r="DG144" i="7"/>
  <c r="DG215" i="7"/>
  <c r="EL143" i="7"/>
  <c r="EL214" i="7"/>
  <c r="DS144" i="7"/>
  <c r="DS215" i="7"/>
  <c r="DL143" i="7"/>
  <c r="DL214" i="7"/>
  <c r="EC144" i="7"/>
  <c r="EC215" i="7"/>
  <c r="EF143" i="7"/>
  <c r="EF214" i="7"/>
  <c r="EA144" i="7"/>
  <c r="EA215" i="7"/>
  <c r="DU144" i="7"/>
  <c r="DU215" i="7"/>
  <c r="DP143" i="7"/>
  <c r="DP214" i="7"/>
  <c r="DY144" i="7"/>
  <c r="DY215" i="7"/>
  <c r="DV143" i="7"/>
  <c r="DV214" i="7"/>
  <c r="DR214" i="7"/>
  <c r="DR143" i="7"/>
  <c r="DF214" i="7"/>
  <c r="DF143" i="7"/>
  <c r="DI145" i="7"/>
  <c r="DI216" i="7"/>
  <c r="EH143" i="7"/>
  <c r="EH214" i="7"/>
  <c r="DO144" i="7"/>
  <c r="DO215" i="7"/>
  <c r="EJ143" i="7"/>
  <c r="EJ214" i="7"/>
  <c r="DX143" i="7"/>
  <c r="DX214" i="7"/>
  <c r="DW144" i="7"/>
  <c r="DW215" i="7"/>
  <c r="DZ143" i="7"/>
  <c r="DZ214" i="7"/>
  <c r="EK144" i="7"/>
  <c r="EK215" i="7"/>
  <c r="EG144" i="7"/>
  <c r="EG215" i="7"/>
  <c r="DM144" i="7"/>
  <c r="DM215" i="7"/>
  <c r="EE144" i="7"/>
  <c r="EE215" i="7"/>
  <c r="DT143" i="7"/>
  <c r="DT214" i="7"/>
  <c r="EI144" i="7"/>
  <c r="EI215" i="7"/>
  <c r="DH143" i="7"/>
  <c r="DH214" i="7"/>
  <c r="DK144" i="7"/>
  <c r="DK215" i="7"/>
  <c r="EN143" i="7"/>
  <c r="EN214" i="7"/>
  <c r="DQ144" i="7"/>
  <c r="DQ215" i="7"/>
  <c r="EB143" i="7"/>
  <c r="EB214" i="7"/>
  <c r="ED214" i="7"/>
  <c r="ED143" i="7"/>
  <c r="CJ144" i="7"/>
  <c r="CJ215" i="7"/>
  <c r="CA214" i="7"/>
  <c r="CA143" i="7"/>
  <c r="BY143" i="7"/>
  <c r="BY214" i="7"/>
  <c r="CI143" i="7"/>
  <c r="CI214" i="7"/>
  <c r="CZ215" i="7"/>
  <c r="CZ144" i="7"/>
  <c r="CB144" i="7"/>
  <c r="CB215" i="7"/>
  <c r="DE143" i="7"/>
  <c r="DE214" i="7"/>
  <c r="CV144" i="7"/>
  <c r="CV215" i="7"/>
  <c r="CQ143" i="7"/>
  <c r="CQ214" i="7"/>
  <c r="DA143" i="7"/>
  <c r="DA214" i="7"/>
  <c r="CN144" i="7"/>
  <c r="CN215" i="7"/>
  <c r="CG143" i="7"/>
  <c r="CG214" i="7"/>
  <c r="DD144" i="7"/>
  <c r="DD215" i="7"/>
  <c r="CW214" i="7"/>
  <c r="CW143" i="7"/>
  <c r="CO143" i="7"/>
  <c r="CO214" i="7"/>
  <c r="CR144" i="7"/>
  <c r="CR215" i="7"/>
  <c r="CU143" i="7"/>
  <c r="CU214" i="7"/>
  <c r="CE143" i="7"/>
  <c r="CE214" i="7"/>
  <c r="BW144" i="7"/>
  <c r="BW215" i="7"/>
  <c r="CK143" i="7"/>
  <c r="CK214" i="7"/>
  <c r="CY143" i="7"/>
  <c r="CY214" i="7"/>
  <c r="CC143" i="7"/>
  <c r="CC214" i="7"/>
  <c r="DC143" i="7"/>
  <c r="DC214" i="7"/>
  <c r="CS143" i="7"/>
  <c r="CS214" i="7"/>
  <c r="BZ216" i="7"/>
  <c r="BZ145" i="7"/>
  <c r="CM143" i="7"/>
  <c r="CM214" i="7"/>
  <c r="CF215" i="7"/>
  <c r="CF144" i="7"/>
  <c r="BX144" i="7"/>
  <c r="BX215" i="7"/>
  <c r="EP214" i="7" l="1"/>
  <c r="ES214" i="7" s="1"/>
  <c r="CL215" i="7"/>
  <c r="CL144" i="7"/>
  <c r="CT144" i="7"/>
  <c r="CT215" i="7"/>
  <c r="CP145" i="7"/>
  <c r="CP216" i="7"/>
  <c r="DB144" i="7"/>
  <c r="DB215" i="7"/>
  <c r="CD215" i="7"/>
  <c r="CD144" i="7"/>
  <c r="CH145" i="7"/>
  <c r="CH216" i="7"/>
  <c r="CX216" i="7"/>
  <c r="CX145" i="7"/>
  <c r="DK145" i="7"/>
  <c r="DK216" i="7"/>
  <c r="DX144" i="7"/>
  <c r="DX215" i="7"/>
  <c r="DF144" i="7"/>
  <c r="DF215" i="7"/>
  <c r="EB215" i="7"/>
  <c r="EB144" i="7"/>
  <c r="EN144" i="7"/>
  <c r="EN215" i="7"/>
  <c r="DH144" i="7"/>
  <c r="DH215" i="7"/>
  <c r="DT144" i="7"/>
  <c r="DT215" i="7"/>
  <c r="DM145" i="7"/>
  <c r="DM216" i="7"/>
  <c r="EK145" i="7"/>
  <c r="EK216" i="7"/>
  <c r="DW145" i="7"/>
  <c r="DW216" i="7"/>
  <c r="EJ144" i="7"/>
  <c r="EJ215" i="7"/>
  <c r="EH144" i="7"/>
  <c r="EH215" i="7"/>
  <c r="DV215" i="7"/>
  <c r="DV144" i="7"/>
  <c r="DP144" i="7"/>
  <c r="DP215" i="7"/>
  <c r="EA145" i="7"/>
  <c r="EA216" i="7"/>
  <c r="EC145" i="7"/>
  <c r="EC216" i="7"/>
  <c r="DS145" i="7"/>
  <c r="DS216" i="7"/>
  <c r="DG145" i="7"/>
  <c r="DG216" i="7"/>
  <c r="DN144" i="7"/>
  <c r="DN215" i="7"/>
  <c r="ED144" i="7"/>
  <c r="ED215" i="7"/>
  <c r="DR144" i="7"/>
  <c r="DR215" i="7"/>
  <c r="DQ145" i="7"/>
  <c r="DQ216" i="7"/>
  <c r="EI145" i="7"/>
  <c r="EI216" i="7"/>
  <c r="EE145" i="7"/>
  <c r="EE216" i="7"/>
  <c r="EG145" i="7"/>
  <c r="EG216" i="7"/>
  <c r="DZ144" i="7"/>
  <c r="DZ215" i="7"/>
  <c r="DO145" i="7"/>
  <c r="DO216" i="7"/>
  <c r="DI146" i="7"/>
  <c r="DI217" i="7"/>
  <c r="DY145" i="7"/>
  <c r="DY216" i="7"/>
  <c r="DU145" i="7"/>
  <c r="DU216" i="7"/>
  <c r="EF144" i="7"/>
  <c r="EF215" i="7"/>
  <c r="DL215" i="7"/>
  <c r="DL144" i="7"/>
  <c r="EL215" i="7"/>
  <c r="EL144" i="7"/>
  <c r="EM145" i="7"/>
  <c r="EM216" i="7"/>
  <c r="DJ144" i="7"/>
  <c r="DJ215" i="7"/>
  <c r="CC144" i="7"/>
  <c r="CC215" i="7"/>
  <c r="CY144" i="7"/>
  <c r="CY215" i="7"/>
  <c r="CU144" i="7"/>
  <c r="CU215" i="7"/>
  <c r="CO144" i="7"/>
  <c r="CO215" i="7"/>
  <c r="CG144" i="7"/>
  <c r="CG215" i="7"/>
  <c r="DA144" i="7"/>
  <c r="DA215" i="7"/>
  <c r="DE144" i="7"/>
  <c r="DE215" i="7"/>
  <c r="CA144" i="7"/>
  <c r="CA215" i="7"/>
  <c r="CW144" i="7"/>
  <c r="CW215" i="7"/>
  <c r="CI144" i="7"/>
  <c r="CI215" i="7"/>
  <c r="CM144" i="7"/>
  <c r="CM215" i="7"/>
  <c r="DC144" i="7"/>
  <c r="DC215" i="7"/>
  <c r="CK144" i="7"/>
  <c r="CK215" i="7"/>
  <c r="BW145" i="7"/>
  <c r="BW216" i="7"/>
  <c r="CE144" i="7"/>
  <c r="CE215" i="7"/>
  <c r="CR145" i="7"/>
  <c r="CR216" i="7"/>
  <c r="DD145" i="7"/>
  <c r="DD216" i="7"/>
  <c r="CN145" i="7"/>
  <c r="CN216" i="7"/>
  <c r="CQ144" i="7"/>
  <c r="CQ215" i="7"/>
  <c r="CV145" i="7"/>
  <c r="CV216" i="7"/>
  <c r="CB145" i="7"/>
  <c r="CB216" i="7"/>
  <c r="BX145" i="7"/>
  <c r="BX216" i="7"/>
  <c r="CS144" i="7"/>
  <c r="CS215" i="7"/>
  <c r="CF145" i="7"/>
  <c r="CF216" i="7"/>
  <c r="BZ146" i="7"/>
  <c r="BZ217" i="7"/>
  <c r="CZ216" i="7"/>
  <c r="CZ145" i="7"/>
  <c r="BY144" i="7"/>
  <c r="BY215" i="7"/>
  <c r="CJ145" i="7"/>
  <c r="CJ216" i="7"/>
  <c r="EP215" i="7" l="1"/>
  <c r="ES215" i="7" s="1"/>
  <c r="CH217" i="7"/>
  <c r="CH146" i="7"/>
  <c r="CT216" i="7"/>
  <c r="CT145" i="7"/>
  <c r="CX146" i="7"/>
  <c r="CX217" i="7"/>
  <c r="CD216" i="7"/>
  <c r="CD145" i="7"/>
  <c r="CL216" i="7"/>
  <c r="CL145" i="7"/>
  <c r="DB216" i="7"/>
  <c r="DB145" i="7"/>
  <c r="CP217" i="7"/>
  <c r="CP146" i="7"/>
  <c r="DJ145" i="7"/>
  <c r="DJ216" i="7"/>
  <c r="DY146" i="7"/>
  <c r="DY217" i="7"/>
  <c r="EI146" i="7"/>
  <c r="EI217" i="7"/>
  <c r="DL145" i="7"/>
  <c r="DL216" i="7"/>
  <c r="EB145" i="7"/>
  <c r="EB216" i="7"/>
  <c r="EM146" i="7"/>
  <c r="EM217" i="7"/>
  <c r="DU146" i="7"/>
  <c r="DU217" i="7"/>
  <c r="DI147" i="7"/>
  <c r="DI218" i="7"/>
  <c r="DZ145" i="7"/>
  <c r="DZ216" i="7"/>
  <c r="EE146" i="7"/>
  <c r="EE217" i="7"/>
  <c r="DQ146" i="7"/>
  <c r="DQ217" i="7"/>
  <c r="ED145" i="7"/>
  <c r="ED216" i="7"/>
  <c r="DG146" i="7"/>
  <c r="DG217" i="7"/>
  <c r="EC146" i="7"/>
  <c r="EC217" i="7"/>
  <c r="DP216" i="7"/>
  <c r="DP145" i="7"/>
  <c r="EH145" i="7"/>
  <c r="EH216" i="7"/>
  <c r="DW146" i="7"/>
  <c r="DW217" i="7"/>
  <c r="DM146" i="7"/>
  <c r="DM217" i="7"/>
  <c r="DH145" i="7"/>
  <c r="DH216" i="7"/>
  <c r="DX145" i="7"/>
  <c r="DX216" i="7"/>
  <c r="EL216" i="7"/>
  <c r="EL145" i="7"/>
  <c r="DV216" i="7"/>
  <c r="DV145" i="7"/>
  <c r="EF145" i="7"/>
  <c r="EF216" i="7"/>
  <c r="DO146" i="7"/>
  <c r="DO217" i="7"/>
  <c r="EG146" i="7"/>
  <c r="EG217" i="7"/>
  <c r="DR145" i="7"/>
  <c r="DR216" i="7"/>
  <c r="DN145" i="7"/>
  <c r="DN216" i="7"/>
  <c r="DS146" i="7"/>
  <c r="DS217" i="7"/>
  <c r="EA146" i="7"/>
  <c r="EA217" i="7"/>
  <c r="EJ145" i="7"/>
  <c r="EJ216" i="7"/>
  <c r="EK146" i="7"/>
  <c r="EK217" i="7"/>
  <c r="DT145" i="7"/>
  <c r="DT216" i="7"/>
  <c r="EN145" i="7"/>
  <c r="EN216" i="7"/>
  <c r="DF145" i="7"/>
  <c r="DF216" i="7"/>
  <c r="DK146" i="7"/>
  <c r="DK217" i="7"/>
  <c r="BY145" i="7"/>
  <c r="BY216" i="7"/>
  <c r="CF146" i="7"/>
  <c r="CF217" i="7"/>
  <c r="CS145" i="7"/>
  <c r="CS216" i="7"/>
  <c r="CB146" i="7"/>
  <c r="CB217" i="7"/>
  <c r="CQ145" i="7"/>
  <c r="CQ216" i="7"/>
  <c r="DD146" i="7"/>
  <c r="DD217" i="7"/>
  <c r="CE145" i="7"/>
  <c r="CE216" i="7"/>
  <c r="CK145" i="7"/>
  <c r="CK216" i="7"/>
  <c r="CM145" i="7"/>
  <c r="CM216" i="7"/>
  <c r="CW145" i="7"/>
  <c r="CW216" i="7"/>
  <c r="DE145" i="7"/>
  <c r="DE216" i="7"/>
  <c r="CN146" i="7"/>
  <c r="CN217" i="7"/>
  <c r="BW146" i="7"/>
  <c r="BW217" i="7"/>
  <c r="DC145" i="7"/>
  <c r="DC216" i="7"/>
  <c r="CI145" i="7"/>
  <c r="CI216" i="7"/>
  <c r="DA145" i="7"/>
  <c r="DA216" i="7"/>
  <c r="CU145" i="7"/>
  <c r="CU216" i="7"/>
  <c r="CC145" i="7"/>
  <c r="CC216" i="7"/>
  <c r="CJ146" i="7"/>
  <c r="CJ217" i="7"/>
  <c r="BZ147" i="7"/>
  <c r="BZ218" i="7"/>
  <c r="BX146" i="7"/>
  <c r="BX217" i="7"/>
  <c r="CV146" i="7"/>
  <c r="CV217" i="7"/>
  <c r="CR146" i="7"/>
  <c r="CR217" i="7"/>
  <c r="CZ146" i="7"/>
  <c r="CZ217" i="7"/>
  <c r="CA145" i="7"/>
  <c r="CA216" i="7"/>
  <c r="CG145" i="7"/>
  <c r="CG216" i="7"/>
  <c r="CO145" i="7"/>
  <c r="CO216" i="7"/>
  <c r="CY145" i="7"/>
  <c r="CY216" i="7"/>
  <c r="CP218" i="7" l="1"/>
  <c r="CP147" i="7"/>
  <c r="CL146" i="7"/>
  <c r="CL217" i="7"/>
  <c r="CH147" i="7"/>
  <c r="CH218" i="7"/>
  <c r="CX147" i="7"/>
  <c r="CX218" i="7"/>
  <c r="DB146" i="7"/>
  <c r="DB217" i="7"/>
  <c r="CD217" i="7"/>
  <c r="CD146" i="7"/>
  <c r="CT217" i="7"/>
  <c r="CT146" i="7"/>
  <c r="DK147" i="7"/>
  <c r="DK218" i="7"/>
  <c r="EK147" i="7"/>
  <c r="EK218" i="7"/>
  <c r="DN146" i="7"/>
  <c r="DN217" i="7"/>
  <c r="EG147" i="7"/>
  <c r="EG218" i="7"/>
  <c r="EF146" i="7"/>
  <c r="EF217" i="7"/>
  <c r="DH146" i="7"/>
  <c r="DH217" i="7"/>
  <c r="DW147" i="7"/>
  <c r="DW218" i="7"/>
  <c r="DQ147" i="7"/>
  <c r="DQ218" i="7"/>
  <c r="EP216" i="7"/>
  <c r="ES216" i="7" s="1"/>
  <c r="DV146" i="7"/>
  <c r="DV217" i="7"/>
  <c r="DF146" i="7"/>
  <c r="DF217" i="7"/>
  <c r="DT146" i="7"/>
  <c r="DT217" i="7"/>
  <c r="EJ146" i="7"/>
  <c r="EJ217" i="7"/>
  <c r="DS147" i="7"/>
  <c r="DS218" i="7"/>
  <c r="DR146" i="7"/>
  <c r="DR217" i="7"/>
  <c r="DO218" i="7"/>
  <c r="DO147" i="7"/>
  <c r="DX146" i="7"/>
  <c r="DX217" i="7"/>
  <c r="DM147" i="7"/>
  <c r="DM218" i="7"/>
  <c r="EH146" i="7"/>
  <c r="EH217" i="7"/>
  <c r="EC147" i="7"/>
  <c r="EC218" i="7"/>
  <c r="ED146" i="7"/>
  <c r="ED217" i="7"/>
  <c r="EE218" i="7"/>
  <c r="EE147" i="7"/>
  <c r="DI219" i="7"/>
  <c r="DI148" i="7"/>
  <c r="EM147" i="7"/>
  <c r="EM218" i="7"/>
  <c r="DL146" i="7"/>
  <c r="DL217" i="7"/>
  <c r="DY147" i="7"/>
  <c r="DY218" i="7"/>
  <c r="EL146" i="7"/>
  <c r="EL217" i="7"/>
  <c r="DP217" i="7"/>
  <c r="DP146" i="7"/>
  <c r="EN146" i="7"/>
  <c r="EN217" i="7"/>
  <c r="EA147" i="7"/>
  <c r="EA218" i="7"/>
  <c r="DG147" i="7"/>
  <c r="DG218" i="7"/>
  <c r="DZ217" i="7"/>
  <c r="DZ146" i="7"/>
  <c r="DU147" i="7"/>
  <c r="DU218" i="7"/>
  <c r="EB146" i="7"/>
  <c r="EB217" i="7"/>
  <c r="EI147" i="7"/>
  <c r="EI218" i="7"/>
  <c r="DJ146" i="7"/>
  <c r="DJ217" i="7"/>
  <c r="CV147" i="7"/>
  <c r="CV218" i="7"/>
  <c r="CI146" i="7"/>
  <c r="CI217" i="7"/>
  <c r="DE146" i="7"/>
  <c r="DE217" i="7"/>
  <c r="CW146" i="7"/>
  <c r="CW217" i="7"/>
  <c r="CK146" i="7"/>
  <c r="CK217" i="7"/>
  <c r="DD218" i="7"/>
  <c r="DD147" i="7"/>
  <c r="CB147" i="7"/>
  <c r="CB218" i="7"/>
  <c r="CF147" i="7"/>
  <c r="CF218" i="7"/>
  <c r="CY146" i="7"/>
  <c r="CY217" i="7"/>
  <c r="CZ147" i="7"/>
  <c r="CZ218" i="7"/>
  <c r="CC146" i="7"/>
  <c r="CC217" i="7"/>
  <c r="CG146" i="7"/>
  <c r="CG217" i="7"/>
  <c r="CA146" i="7"/>
  <c r="CA217" i="7"/>
  <c r="CR147" i="7"/>
  <c r="CR218" i="7"/>
  <c r="BX218" i="7"/>
  <c r="BX147" i="7"/>
  <c r="CJ147" i="7"/>
  <c r="CJ218" i="7"/>
  <c r="CU146" i="7"/>
  <c r="CU217" i="7"/>
  <c r="DC146" i="7"/>
  <c r="DC217" i="7"/>
  <c r="CN218" i="7"/>
  <c r="CN147" i="7"/>
  <c r="CO146" i="7"/>
  <c r="CO217" i="7"/>
  <c r="BZ219" i="7"/>
  <c r="BZ148" i="7"/>
  <c r="DA146" i="7"/>
  <c r="DA217" i="7"/>
  <c r="BW147" i="7"/>
  <c r="BW218" i="7"/>
  <c r="CM146" i="7"/>
  <c r="CM217" i="7"/>
  <c r="CE146" i="7"/>
  <c r="CE217" i="7"/>
  <c r="CQ146" i="7"/>
  <c r="CQ217" i="7"/>
  <c r="CS146" i="7"/>
  <c r="CS217" i="7"/>
  <c r="BY146" i="7"/>
  <c r="BY217" i="7"/>
  <c r="CD147" i="7" l="1"/>
  <c r="CD218" i="7"/>
  <c r="CX148" i="7"/>
  <c r="CX219" i="7"/>
  <c r="CL218" i="7"/>
  <c r="CL147" i="7"/>
  <c r="CT147" i="7"/>
  <c r="CT218" i="7"/>
  <c r="CP219" i="7"/>
  <c r="CP148" i="7"/>
  <c r="DB218" i="7"/>
  <c r="DB147" i="7"/>
  <c r="CH219" i="7"/>
  <c r="CH148" i="7"/>
  <c r="EP217" i="7"/>
  <c r="ES217" i="7" s="1"/>
  <c r="EI219" i="7"/>
  <c r="EI148" i="7"/>
  <c r="DU219" i="7"/>
  <c r="DU148" i="7"/>
  <c r="DG219" i="7"/>
  <c r="DG148" i="7"/>
  <c r="EN147" i="7"/>
  <c r="EN218" i="7"/>
  <c r="EL147" i="7"/>
  <c r="EL218" i="7"/>
  <c r="DL147" i="7"/>
  <c r="DL218" i="7"/>
  <c r="ED218" i="7"/>
  <c r="ED147" i="7"/>
  <c r="EH147" i="7"/>
  <c r="EH218" i="7"/>
  <c r="DX147" i="7"/>
  <c r="DX218" i="7"/>
  <c r="DR147" i="7"/>
  <c r="DR218" i="7"/>
  <c r="EJ218" i="7"/>
  <c r="EJ147" i="7"/>
  <c r="DF147" i="7"/>
  <c r="DF218" i="7"/>
  <c r="DZ218" i="7"/>
  <c r="DZ147" i="7"/>
  <c r="DP147" i="7"/>
  <c r="DP218" i="7"/>
  <c r="EE219" i="7"/>
  <c r="EE148" i="7"/>
  <c r="DO219" i="7"/>
  <c r="DO148" i="7"/>
  <c r="DQ219" i="7"/>
  <c r="DQ148" i="7"/>
  <c r="DH147" i="7"/>
  <c r="DH218" i="7"/>
  <c r="EG219" i="7"/>
  <c r="EG148" i="7"/>
  <c r="EK219" i="7"/>
  <c r="EK148" i="7"/>
  <c r="DJ147" i="7"/>
  <c r="DJ218" i="7"/>
  <c r="EB147" i="7"/>
  <c r="EB218" i="7"/>
  <c r="EA219" i="7"/>
  <c r="EA148" i="7"/>
  <c r="DY219" i="7"/>
  <c r="DY148" i="7"/>
  <c r="EM219" i="7"/>
  <c r="EM148" i="7"/>
  <c r="EC219" i="7"/>
  <c r="EC148" i="7"/>
  <c r="DM219" i="7"/>
  <c r="DM148" i="7"/>
  <c r="DS148" i="7"/>
  <c r="DS219" i="7"/>
  <c r="DT218" i="7"/>
  <c r="DT147" i="7"/>
  <c r="DV147" i="7"/>
  <c r="DV218" i="7"/>
  <c r="DI149" i="7"/>
  <c r="DI221" i="7" s="1"/>
  <c r="DI220" i="7"/>
  <c r="DW219" i="7"/>
  <c r="DW148" i="7"/>
  <c r="EF147" i="7"/>
  <c r="EF218" i="7"/>
  <c r="DN147" i="7"/>
  <c r="DN218" i="7"/>
  <c r="DK219" i="7"/>
  <c r="DK148" i="7"/>
  <c r="CS147" i="7"/>
  <c r="CS218" i="7"/>
  <c r="CE147" i="7"/>
  <c r="CE218" i="7"/>
  <c r="BZ220" i="7"/>
  <c r="BZ149" i="7"/>
  <c r="BZ221" i="7" s="1"/>
  <c r="BX219" i="7"/>
  <c r="BX148" i="7"/>
  <c r="DD219" i="7"/>
  <c r="DD148" i="7"/>
  <c r="BW219" i="7"/>
  <c r="BW148" i="7"/>
  <c r="CO147" i="7"/>
  <c r="CO218" i="7"/>
  <c r="CU147" i="7"/>
  <c r="CU218" i="7"/>
  <c r="CM147" i="7"/>
  <c r="CM218" i="7"/>
  <c r="DC147" i="7"/>
  <c r="DC218" i="7"/>
  <c r="CA147" i="7"/>
  <c r="CA218" i="7"/>
  <c r="CZ219" i="7"/>
  <c r="CZ148" i="7"/>
  <c r="CF219" i="7"/>
  <c r="CF148" i="7"/>
  <c r="CW147" i="7"/>
  <c r="CW218" i="7"/>
  <c r="CI147" i="7"/>
  <c r="CI218" i="7"/>
  <c r="BY147" i="7"/>
  <c r="BY218" i="7"/>
  <c r="CQ147" i="7"/>
  <c r="CQ218" i="7"/>
  <c r="CN219" i="7"/>
  <c r="CN148" i="7"/>
  <c r="DA147" i="7"/>
  <c r="DA218" i="7"/>
  <c r="CJ219" i="7"/>
  <c r="CJ148" i="7"/>
  <c r="CR219" i="7"/>
  <c r="CR148" i="7"/>
  <c r="CG147" i="7"/>
  <c r="CG218" i="7"/>
  <c r="CC147" i="7"/>
  <c r="CC218" i="7"/>
  <c r="CY147" i="7"/>
  <c r="CY218" i="7"/>
  <c r="CB219" i="7"/>
  <c r="CB148" i="7"/>
  <c r="CK147" i="7"/>
  <c r="CK218" i="7"/>
  <c r="DE147" i="7"/>
  <c r="DE218" i="7"/>
  <c r="CV219" i="7"/>
  <c r="CV148" i="7"/>
  <c r="DB148" i="7" l="1"/>
  <c r="DB219" i="7"/>
  <c r="CT148" i="7"/>
  <c r="CT219" i="7"/>
  <c r="CH149" i="7"/>
  <c r="CH221" i="7" s="1"/>
  <c r="CH220" i="7"/>
  <c r="CP220" i="7"/>
  <c r="CP149" i="7"/>
  <c r="CP221" i="7" s="1"/>
  <c r="CL219" i="7"/>
  <c r="CL148" i="7"/>
  <c r="CX220" i="7"/>
  <c r="CX149" i="7"/>
  <c r="CX221" i="7" s="1"/>
  <c r="CD219" i="7"/>
  <c r="CD148" i="7"/>
  <c r="DK149" i="7"/>
  <c r="DK221" i="7" s="1"/>
  <c r="DK220" i="7"/>
  <c r="EP218" i="7"/>
  <c r="ES218" i="7" s="1"/>
  <c r="DW220" i="7"/>
  <c r="DW149" i="7"/>
  <c r="DW221" i="7" s="1"/>
  <c r="EC149" i="7"/>
  <c r="EC221" i="7" s="1"/>
  <c r="EC220" i="7"/>
  <c r="DY149" i="7"/>
  <c r="DY221" i="7" s="1"/>
  <c r="DY220" i="7"/>
  <c r="EK149" i="7"/>
  <c r="EK221" i="7" s="1"/>
  <c r="EK220" i="7"/>
  <c r="DO149" i="7"/>
  <c r="DO221" i="7" s="1"/>
  <c r="DO220" i="7"/>
  <c r="DU149" i="7"/>
  <c r="DU221" i="7" s="1"/>
  <c r="DU220" i="7"/>
  <c r="DN148" i="7"/>
  <c r="DN219" i="7"/>
  <c r="DV219" i="7"/>
  <c r="DV148" i="7"/>
  <c r="DS220" i="7"/>
  <c r="DS149" i="7"/>
  <c r="DS221" i="7" s="1"/>
  <c r="EB219" i="7"/>
  <c r="EB148" i="7"/>
  <c r="DH219" i="7"/>
  <c r="DH148" i="7"/>
  <c r="DP219" i="7"/>
  <c r="DP148" i="7"/>
  <c r="DF148" i="7"/>
  <c r="DF219" i="7"/>
  <c r="DR219" i="7"/>
  <c r="DR148" i="7"/>
  <c r="EH219" i="7"/>
  <c r="EH148" i="7"/>
  <c r="DL219" i="7"/>
  <c r="DL148" i="7"/>
  <c r="EN219" i="7"/>
  <c r="EN148" i="7"/>
  <c r="DT219" i="7"/>
  <c r="DT148" i="7"/>
  <c r="DM149" i="7"/>
  <c r="DM221" i="7" s="1"/>
  <c r="DM220" i="7"/>
  <c r="EM220" i="7"/>
  <c r="EM149" i="7"/>
  <c r="EM221" i="7" s="1"/>
  <c r="EA220" i="7"/>
  <c r="EA149" i="7"/>
  <c r="EA221" i="7" s="1"/>
  <c r="EG149" i="7"/>
  <c r="EG221" i="7" s="1"/>
  <c r="EG220" i="7"/>
  <c r="DQ149" i="7"/>
  <c r="DQ221" i="7" s="1"/>
  <c r="DQ220" i="7"/>
  <c r="EE149" i="7"/>
  <c r="EE221" i="7" s="1"/>
  <c r="EE220" i="7"/>
  <c r="DZ219" i="7"/>
  <c r="DZ148" i="7"/>
  <c r="EJ219" i="7"/>
  <c r="EJ148" i="7"/>
  <c r="ED148" i="7"/>
  <c r="ED219" i="7"/>
  <c r="DG149" i="7"/>
  <c r="DG221" i="7" s="1"/>
  <c r="DG220" i="7"/>
  <c r="EI220" i="7"/>
  <c r="EI149" i="7"/>
  <c r="EI221" i="7" s="1"/>
  <c r="EF219" i="7"/>
  <c r="EF148" i="7"/>
  <c r="DJ148" i="7"/>
  <c r="DJ219" i="7"/>
  <c r="DX219" i="7"/>
  <c r="DX148" i="7"/>
  <c r="EL219" i="7"/>
  <c r="EL148" i="7"/>
  <c r="CG219" i="7"/>
  <c r="CG148" i="7"/>
  <c r="CI219" i="7"/>
  <c r="CI148" i="7"/>
  <c r="CM219" i="7"/>
  <c r="CM148" i="7"/>
  <c r="BW220" i="7"/>
  <c r="BW149" i="7"/>
  <c r="BW221" i="7" s="1"/>
  <c r="CE148" i="7"/>
  <c r="CE219" i="7"/>
  <c r="CQ148" i="7"/>
  <c r="CQ219" i="7"/>
  <c r="CZ149" i="7"/>
  <c r="CZ221" i="7" s="1"/>
  <c r="CZ220" i="7"/>
  <c r="DE219" i="7"/>
  <c r="DE148" i="7"/>
  <c r="CC219" i="7"/>
  <c r="CC148" i="7"/>
  <c r="BY219" i="7"/>
  <c r="BY148" i="7"/>
  <c r="DC219" i="7"/>
  <c r="DC148" i="7"/>
  <c r="CU219" i="7"/>
  <c r="CU148" i="7"/>
  <c r="CK219" i="7"/>
  <c r="CK148" i="7"/>
  <c r="CY219" i="7"/>
  <c r="CY148" i="7"/>
  <c r="CA148" i="7"/>
  <c r="CA219" i="7"/>
  <c r="CO219" i="7"/>
  <c r="CO148" i="7"/>
  <c r="CB149" i="7"/>
  <c r="CB221" i="7" s="1"/>
  <c r="CB220" i="7"/>
  <c r="CR149" i="7"/>
  <c r="CR221" i="7" s="1"/>
  <c r="CR220" i="7"/>
  <c r="CN149" i="7"/>
  <c r="CN221" i="7" s="1"/>
  <c r="CN220" i="7"/>
  <c r="DA219" i="7"/>
  <c r="DA148" i="7"/>
  <c r="CW219" i="7"/>
  <c r="CW148" i="7"/>
  <c r="CV149" i="7"/>
  <c r="CV221" i="7" s="1"/>
  <c r="CV220" i="7"/>
  <c r="CJ149" i="7"/>
  <c r="CJ221" i="7" s="1"/>
  <c r="CJ220" i="7"/>
  <c r="CF149" i="7"/>
  <c r="CF221" i="7" s="1"/>
  <c r="CF220" i="7"/>
  <c r="DD149" i="7"/>
  <c r="DD221" i="7" s="1"/>
  <c r="DD220" i="7"/>
  <c r="BX149" i="7"/>
  <c r="BX221" i="7" s="1"/>
  <c r="BX220" i="7"/>
  <c r="CS219" i="7"/>
  <c r="CS148" i="7"/>
  <c r="CT149" i="7" l="1"/>
  <c r="CT221" i="7" s="1"/>
  <c r="CT220" i="7"/>
  <c r="CD149" i="7"/>
  <c r="CD221" i="7" s="1"/>
  <c r="CD220" i="7"/>
  <c r="CL220" i="7"/>
  <c r="CL149" i="7"/>
  <c r="CL221" i="7" s="1"/>
  <c r="DB220" i="7"/>
  <c r="DB149" i="7"/>
  <c r="DB221" i="7" s="1"/>
  <c r="EL220" i="7"/>
  <c r="EL149" i="7"/>
  <c r="EL221" i="7" s="1"/>
  <c r="EP219" i="7"/>
  <c r="ES219" i="7" s="1"/>
  <c r="DJ220" i="7"/>
  <c r="DJ149" i="7"/>
  <c r="DJ221" i="7" s="1"/>
  <c r="ED220" i="7"/>
  <c r="ED149" i="7"/>
  <c r="ED221" i="7" s="1"/>
  <c r="DF220" i="7"/>
  <c r="DF149" i="7"/>
  <c r="DF221" i="7" s="1"/>
  <c r="DN220" i="7"/>
  <c r="DN149" i="7"/>
  <c r="DN221" i="7" s="1"/>
  <c r="EJ149" i="7"/>
  <c r="EJ221" i="7" s="1"/>
  <c r="EJ220" i="7"/>
  <c r="DT149" i="7"/>
  <c r="DT221" i="7" s="1"/>
  <c r="DT220" i="7"/>
  <c r="DL149" i="7"/>
  <c r="DL221" i="7" s="1"/>
  <c r="DL220" i="7"/>
  <c r="DR220" i="7"/>
  <c r="DR149" i="7"/>
  <c r="DR221" i="7" s="1"/>
  <c r="DP149" i="7"/>
  <c r="DP221" i="7" s="1"/>
  <c r="DP220" i="7"/>
  <c r="EB149" i="7"/>
  <c r="EB221" i="7" s="1"/>
  <c r="EB220" i="7"/>
  <c r="DV220" i="7"/>
  <c r="DV149" i="7"/>
  <c r="DV221" i="7" s="1"/>
  <c r="DX149" i="7"/>
  <c r="DX221" i="7" s="1"/>
  <c r="DX220" i="7"/>
  <c r="EF149" i="7"/>
  <c r="EF221" i="7" s="1"/>
  <c r="EF220" i="7"/>
  <c r="DZ220" i="7"/>
  <c r="DZ149" i="7"/>
  <c r="DZ221" i="7" s="1"/>
  <c r="EN149" i="7"/>
  <c r="EN221" i="7" s="1"/>
  <c r="EN220" i="7"/>
  <c r="EH220" i="7"/>
  <c r="EH149" i="7"/>
  <c r="EH221" i="7" s="1"/>
  <c r="DH149" i="7"/>
  <c r="DH221" i="7" s="1"/>
  <c r="DH220" i="7"/>
  <c r="CU220" i="7"/>
  <c r="CU149" i="7"/>
  <c r="CU221" i="7" s="1"/>
  <c r="BY149" i="7"/>
  <c r="BY221" i="7" s="1"/>
  <c r="BY220" i="7"/>
  <c r="DE149" i="7"/>
  <c r="DE221" i="7" s="1"/>
  <c r="DE220" i="7"/>
  <c r="CI220" i="7"/>
  <c r="CI149" i="7"/>
  <c r="CI221" i="7" s="1"/>
  <c r="CW149" i="7"/>
  <c r="CW221" i="7" s="1"/>
  <c r="CW220" i="7"/>
  <c r="CK149" i="7"/>
  <c r="CK221" i="7" s="1"/>
  <c r="CK220" i="7"/>
  <c r="CA220" i="7"/>
  <c r="CA149" i="7"/>
  <c r="CA221" i="7" s="1"/>
  <c r="DC220" i="7"/>
  <c r="DC149" i="7"/>
  <c r="DC221" i="7" s="1"/>
  <c r="CC149" i="7"/>
  <c r="CC221" i="7" s="1"/>
  <c r="CC220" i="7"/>
  <c r="CM220" i="7"/>
  <c r="CM149" i="7"/>
  <c r="CM221" i="7" s="1"/>
  <c r="CG149" i="7"/>
  <c r="CG221" i="7" s="1"/>
  <c r="CG220" i="7"/>
  <c r="CS149" i="7"/>
  <c r="CS221" i="7" s="1"/>
  <c r="CS220" i="7"/>
  <c r="CQ220" i="7"/>
  <c r="CQ149" i="7"/>
  <c r="CQ221" i="7" s="1"/>
  <c r="DA149" i="7"/>
  <c r="DA221" i="7" s="1"/>
  <c r="DA220" i="7"/>
  <c r="CO149" i="7"/>
  <c r="CO221" i="7" s="1"/>
  <c r="CO220" i="7"/>
  <c r="CY220" i="7"/>
  <c r="CY149" i="7"/>
  <c r="CY221" i="7" s="1"/>
  <c r="CE220" i="7"/>
  <c r="CE149" i="7"/>
  <c r="CE221" i="7" s="1"/>
  <c r="EP221" i="7" l="1"/>
  <c r="ES221" i="7" s="1"/>
  <c r="EP220" i="7"/>
  <c r="ES220" i="7" s="1"/>
  <c r="AC76" i="6" l="1"/>
  <c r="D29" i="6"/>
  <c r="Q29" i="6" s="1"/>
  <c r="D28" i="6" l="1"/>
  <c r="Q28" i="6" s="1"/>
  <c r="D23" i="6"/>
  <c r="Q23" i="6" s="1"/>
  <c r="D25" i="6"/>
  <c r="Q25" i="6" s="1"/>
  <c r="D30" i="6"/>
  <c r="Q30" i="6" s="1"/>
  <c r="D27" i="6"/>
  <c r="Q27" i="6" s="1"/>
  <c r="D24" i="6"/>
  <c r="Q24" i="6" s="1"/>
  <c r="D26" i="6"/>
  <c r="Q26" i="6" s="1"/>
  <c r="D22" i="6"/>
  <c r="Q22" i="6" s="1"/>
  <c r="AC77" i="6"/>
  <c r="AH76" i="6"/>
  <c r="AD76" i="6"/>
  <c r="AF76" i="6"/>
  <c r="AG76" i="6"/>
  <c r="H28" i="6"/>
  <c r="U28" i="6" s="1"/>
  <c r="AE76" i="6"/>
  <c r="G22" i="6"/>
  <c r="T22" i="6" s="1"/>
  <c r="F27" i="6"/>
  <c r="S27" i="6" s="1"/>
  <c r="H22" i="6"/>
  <c r="U22" i="6" s="1"/>
  <c r="J28" i="6"/>
  <c r="W28" i="6" s="1"/>
  <c r="K27" i="6"/>
  <c r="X27" i="6" s="1"/>
  <c r="L24" i="6"/>
  <c r="Y24" i="6" s="1"/>
  <c r="I25" i="6"/>
  <c r="V25" i="6" s="1"/>
  <c r="E28" i="6"/>
  <c r="R28" i="6" s="1"/>
  <c r="K25" i="6" l="1"/>
  <c r="X25" i="6" s="1"/>
  <c r="K22" i="6"/>
  <c r="X22" i="6" s="1"/>
  <c r="K24" i="6"/>
  <c r="X24" i="6" s="1"/>
  <c r="I23" i="6"/>
  <c r="V23" i="6" s="1"/>
  <c r="I22" i="6"/>
  <c r="V22" i="6" s="1"/>
  <c r="I26" i="6"/>
  <c r="V26" i="6" s="1"/>
  <c r="G29" i="6"/>
  <c r="T29" i="6" s="1"/>
  <c r="G28" i="6"/>
  <c r="T28" i="6" s="1"/>
  <c r="G23" i="6"/>
  <c r="T23" i="6" s="1"/>
  <c r="AF77" i="6"/>
  <c r="F25" i="6"/>
  <c r="S25" i="6" s="1"/>
  <c r="F22" i="6"/>
  <c r="S22" i="6" s="1"/>
  <c r="E22" i="6"/>
  <c r="R22" i="6" s="1"/>
  <c r="G26" i="6"/>
  <c r="T26" i="6" s="1"/>
  <c r="G24" i="6"/>
  <c r="T24" i="6" s="1"/>
  <c r="E27" i="6"/>
  <c r="R27" i="6" s="1"/>
  <c r="L27" i="6"/>
  <c r="Y27" i="6" s="1"/>
  <c r="AG77" i="6"/>
  <c r="L28" i="6"/>
  <c r="Y28" i="6" s="1"/>
  <c r="E26" i="6"/>
  <c r="R26" i="6" s="1"/>
  <c r="K23" i="6"/>
  <c r="X23" i="6" s="1"/>
  <c r="AD77" i="6"/>
  <c r="J30" i="6"/>
  <c r="W30" i="6" s="1"/>
  <c r="I29" i="6"/>
  <c r="V29" i="6" s="1"/>
  <c r="H29" i="6"/>
  <c r="U29" i="6" s="1"/>
  <c r="K28" i="6"/>
  <c r="X28" i="6" s="1"/>
  <c r="I28" i="6"/>
  <c r="V28" i="6" s="1"/>
  <c r="I24" i="6"/>
  <c r="V24" i="6" s="1"/>
  <c r="L25" i="6"/>
  <c r="Y25" i="6" s="1"/>
  <c r="H25" i="6"/>
  <c r="U25" i="6" s="1"/>
  <c r="F24" i="6"/>
  <c r="S24" i="6" s="1"/>
  <c r="H27" i="6"/>
  <c r="U27" i="6" s="1"/>
  <c r="J29" i="6"/>
  <c r="W29" i="6" s="1"/>
  <c r="H30" i="6"/>
  <c r="U30" i="6" s="1"/>
  <c r="E29" i="6"/>
  <c r="R29" i="6" s="1"/>
  <c r="J24" i="6"/>
  <c r="W24" i="6" s="1"/>
  <c r="J25" i="6"/>
  <c r="W25" i="6" s="1"/>
  <c r="L22" i="6"/>
  <c r="Y22" i="6" s="1"/>
  <c r="G25" i="6"/>
  <c r="T25" i="6" s="1"/>
  <c r="E30" i="6"/>
  <c r="R30" i="6" s="1"/>
  <c r="K30" i="6"/>
  <c r="X30" i="6" s="1"/>
  <c r="E25" i="6"/>
  <c r="R25" i="6" s="1"/>
  <c r="G30" i="6"/>
  <c r="T30" i="6" s="1"/>
  <c r="H23" i="6"/>
  <c r="U23" i="6" s="1"/>
  <c r="I27" i="6"/>
  <c r="V27" i="6" s="1"/>
  <c r="F29" i="6"/>
  <c r="S29" i="6" s="1"/>
  <c r="J22" i="6"/>
  <c r="W22" i="6" s="1"/>
  <c r="AH77" i="6"/>
  <c r="E24" i="6"/>
  <c r="R24" i="6" s="1"/>
  <c r="G27" i="6"/>
  <c r="T27" i="6" s="1"/>
  <c r="J23" i="6"/>
  <c r="W23" i="6" s="1"/>
  <c r="F28" i="6"/>
  <c r="S28" i="6" s="1"/>
  <c r="L29" i="6"/>
  <c r="Y29" i="6" s="1"/>
  <c r="I30" i="6"/>
  <c r="V30" i="6" s="1"/>
  <c r="K26" i="6"/>
  <c r="X26" i="6" s="1"/>
  <c r="L26" i="6"/>
  <c r="Y26" i="6" s="1"/>
  <c r="H26" i="6"/>
  <c r="U26" i="6" s="1"/>
  <c r="H24" i="6"/>
  <c r="U24" i="6" s="1"/>
  <c r="F26" i="6"/>
  <c r="S26" i="6" s="1"/>
  <c r="L30" i="6"/>
  <c r="Y30" i="6" s="1"/>
  <c r="K29" i="6"/>
  <c r="X29" i="6" s="1"/>
  <c r="E23" i="6"/>
  <c r="R23" i="6" s="1"/>
  <c r="J27" i="6"/>
  <c r="W27" i="6" s="1"/>
  <c r="L23" i="6"/>
  <c r="Y23" i="6" s="1"/>
  <c r="F30" i="6"/>
  <c r="S30" i="6" s="1"/>
  <c r="F23" i="6"/>
  <c r="S23" i="6" s="1"/>
  <c r="AE77" i="6"/>
  <c r="J26" i="6"/>
  <c r="W26" i="6" s="1"/>
  <c r="D38" i="6" l="1" a="1"/>
  <c r="G43" i="6" s="1"/>
  <c r="T43" i="6" s="1"/>
  <c r="K44" i="6" l="1"/>
  <c r="X44" i="6" s="1"/>
  <c r="K38" i="6"/>
  <c r="X38" i="6" s="1"/>
  <c r="I38" i="6"/>
  <c r="V38" i="6" s="1"/>
  <c r="I41" i="6"/>
  <c r="V41" i="6" s="1"/>
  <c r="J38" i="6"/>
  <c r="W38" i="6" s="1"/>
  <c r="G41" i="6"/>
  <c r="T41" i="6" s="1"/>
  <c r="L46" i="6"/>
  <c r="Y46" i="6" s="1"/>
  <c r="G45" i="6"/>
  <c r="T45" i="6" s="1"/>
  <c r="F41" i="6"/>
  <c r="S41" i="6" s="1"/>
  <c r="I45" i="6"/>
  <c r="V45" i="6" s="1"/>
  <c r="E44" i="6"/>
  <c r="R44" i="6" s="1"/>
  <c r="F43" i="6"/>
  <c r="S43" i="6" s="1"/>
  <c r="H45" i="6"/>
  <c r="U45" i="6" s="1"/>
  <c r="D40" i="6"/>
  <c r="Q40" i="6" s="1"/>
  <c r="F39" i="6"/>
  <c r="S39" i="6" s="1"/>
  <c r="AD60" i="6" s="1"/>
  <c r="F46" i="6"/>
  <c r="S46" i="6" s="1"/>
  <c r="F40" i="6"/>
  <c r="S40" i="6" s="1"/>
  <c r="L39" i="6"/>
  <c r="Y39" i="6" s="1"/>
  <c r="F45" i="6"/>
  <c r="S45" i="6" s="1"/>
  <c r="K39" i="6"/>
  <c r="X39" i="6" s="1"/>
  <c r="H43" i="6"/>
  <c r="U43" i="6" s="1"/>
  <c r="K41" i="6"/>
  <c r="X41" i="6" s="1"/>
  <c r="D44" i="6"/>
  <c r="Q44" i="6" s="1"/>
  <c r="J42" i="6"/>
  <c r="W42" i="6" s="1"/>
  <c r="J45" i="6"/>
  <c r="W45" i="6" s="1"/>
  <c r="D43" i="6"/>
  <c r="Q43" i="6" s="1"/>
  <c r="K43" i="6"/>
  <c r="X43" i="6" s="1"/>
  <c r="E40" i="6"/>
  <c r="R40" i="6" s="1"/>
  <c r="F42" i="6"/>
  <c r="S42" i="6" s="1"/>
  <c r="G39" i="6"/>
  <c r="T39" i="6" s="1"/>
  <c r="G42" i="6"/>
  <c r="T42" i="6" s="1"/>
  <c r="J46" i="6"/>
  <c r="W46" i="6" s="1"/>
  <c r="F38" i="6"/>
  <c r="S38" i="6" s="1"/>
  <c r="H39" i="6"/>
  <c r="U39" i="6" s="1"/>
  <c r="H40" i="6"/>
  <c r="U40" i="6" s="1"/>
  <c r="D45" i="6"/>
  <c r="Q45" i="6" s="1"/>
  <c r="H41" i="6"/>
  <c r="U41" i="6" s="1"/>
  <c r="H44" i="6"/>
  <c r="U44" i="6" s="1"/>
  <c r="J39" i="6"/>
  <c r="W39" i="6" s="1"/>
  <c r="G46" i="6"/>
  <c r="T46" i="6" s="1"/>
  <c r="D39" i="6"/>
  <c r="Q39" i="6" s="1"/>
  <c r="I39" i="6"/>
  <c r="V39" i="6" s="1"/>
  <c r="L40" i="6"/>
  <c r="Y40" i="6" s="1"/>
  <c r="L44" i="6"/>
  <c r="Y44" i="6" s="1"/>
  <c r="I42" i="6"/>
  <c r="V42" i="6" s="1"/>
  <c r="K45" i="6"/>
  <c r="X45" i="6" s="1"/>
  <c r="Z45" i="6" s="1"/>
  <c r="G40" i="6"/>
  <c r="T40" i="6" s="1"/>
  <c r="J41" i="6"/>
  <c r="W41" i="6" s="1"/>
  <c r="AA41" i="6" s="1"/>
  <c r="E41" i="6"/>
  <c r="R41" i="6" s="1"/>
  <c r="E39" i="6"/>
  <c r="R39" i="6" s="1"/>
  <c r="K40" i="6"/>
  <c r="X40" i="6" s="1"/>
  <c r="D38" i="6"/>
  <c r="Q38" i="6" s="1"/>
  <c r="D42" i="6"/>
  <c r="Q42" i="6" s="1"/>
  <c r="J43" i="6"/>
  <c r="W43" i="6" s="1"/>
  <c r="L43" i="6"/>
  <c r="Y43" i="6" s="1"/>
  <c r="F44" i="6"/>
  <c r="S44" i="6" s="1"/>
  <c r="D41" i="6"/>
  <c r="Q41" i="6" s="1"/>
  <c r="L41" i="6"/>
  <c r="Y41" i="6" s="1"/>
  <c r="G44" i="6"/>
  <c r="T44" i="6" s="1"/>
  <c r="G38" i="6"/>
  <c r="T38" i="6" s="1"/>
  <c r="L42" i="6"/>
  <c r="Y42" i="6" s="1"/>
  <c r="J44" i="6"/>
  <c r="W44" i="6" s="1"/>
  <c r="I40" i="6"/>
  <c r="V40" i="6" s="1"/>
  <c r="I43" i="6"/>
  <c r="V43" i="6" s="1"/>
  <c r="H46" i="6"/>
  <c r="U46" i="6" s="1"/>
  <c r="H42" i="6"/>
  <c r="U42" i="6" s="1"/>
  <c r="K42" i="6"/>
  <c r="X42" i="6" s="1"/>
  <c r="L45" i="6"/>
  <c r="Y45" i="6" s="1"/>
  <c r="I46" i="6"/>
  <c r="V46" i="6" s="1"/>
  <c r="E42" i="6"/>
  <c r="R42" i="6" s="1"/>
  <c r="E38" i="6"/>
  <c r="R38" i="6" s="1"/>
  <c r="J40" i="6"/>
  <c r="W40" i="6" s="1"/>
  <c r="L38" i="6"/>
  <c r="Y38" i="6" s="1"/>
  <c r="E43" i="6"/>
  <c r="R43" i="6" s="1"/>
  <c r="E45" i="6"/>
  <c r="R45" i="6" s="1"/>
  <c r="K46" i="6"/>
  <c r="X46" i="6" s="1"/>
  <c r="H38" i="6"/>
  <c r="U38" i="6" s="1"/>
  <c r="I44" i="6"/>
  <c r="V44" i="6" s="1"/>
  <c r="D46" i="6"/>
  <c r="Q46" i="6" s="1"/>
  <c r="E46" i="6"/>
  <c r="R46" i="6" s="1"/>
  <c r="AD62" i="6" l="1"/>
  <c r="Z46" i="6"/>
  <c r="Z38" i="6"/>
  <c r="Z40" i="6"/>
  <c r="AA43" i="6"/>
  <c r="AA45" i="6"/>
  <c r="AD63" i="6"/>
  <c r="Z44" i="6"/>
  <c r="Z39" i="6"/>
  <c r="AA44" i="6"/>
  <c r="Z43" i="6"/>
  <c r="AA39" i="6"/>
  <c r="AA46" i="6"/>
  <c r="AD61" i="6"/>
  <c r="AA40" i="6"/>
  <c r="AD59" i="6"/>
  <c r="AA42" i="6"/>
  <c r="Z42" i="6"/>
  <c r="Z41" i="6"/>
  <c r="AD64" i="6"/>
  <c r="AA38" i="6"/>
</calcChain>
</file>

<file path=xl/sharedStrings.xml><?xml version="1.0" encoding="utf-8"?>
<sst xmlns="http://schemas.openxmlformats.org/spreadsheetml/2006/main" count="570" uniqueCount="125">
  <si>
    <t>A</t>
  </si>
  <si>
    <t>I</t>
  </si>
  <si>
    <t>S</t>
  </si>
  <si>
    <t>G</t>
  </si>
  <si>
    <t>C</t>
  </si>
  <si>
    <t>VA</t>
  </si>
  <si>
    <t>P</t>
  </si>
  <si>
    <t>INVERSA</t>
  </si>
  <si>
    <t>F2</t>
  </si>
  <si>
    <t>CTRL+SHIFT+ENTER</t>
  </si>
  <si>
    <t>1/ Matriz de valores monterarios INICIALES</t>
  </si>
  <si>
    <t>2/ Matriz A</t>
  </si>
  <si>
    <t>3/ Matriz (I-A)</t>
  </si>
  <si>
    <t>4/ Inversa de Leontief</t>
  </si>
  <si>
    <t>5/Nueva demanda</t>
  </si>
  <si>
    <t>6/ Nuevos empleos. Inversa de Leontief*Nueva Demanda</t>
  </si>
  <si>
    <t>Cuando se modifica G en 5/, los VA y P no se pueden tomar como válidos hasta llegar a 7/</t>
  </si>
  <si>
    <t>7/ IOT FINAL</t>
  </si>
  <si>
    <t>% Variación resultado</t>
  </si>
  <si>
    <r>
      <t xml:space="preserve">Al cambiar la columna de demanda final (G) </t>
    </r>
    <r>
      <rPr>
        <b/>
        <sz val="11"/>
        <color theme="1"/>
        <rFont val="Calibri"/>
        <family val="2"/>
        <scheme val="minor"/>
      </rPr>
      <t>a través de la Columna "%Variación"</t>
    </r>
    <r>
      <rPr>
        <sz val="11"/>
        <color theme="1"/>
        <rFont val="Calibri"/>
        <family val="2"/>
        <scheme val="minor"/>
      </rPr>
      <t xml:space="preserve"> se inicia la variación de la IOT.</t>
    </r>
  </si>
  <si>
    <t>% Variación</t>
  </si>
  <si>
    <t>Intensidad energética</t>
  </si>
  <si>
    <t>Intensidad</t>
  </si>
  <si>
    <t>Intensidad ini</t>
  </si>
  <si>
    <t>Energía inicial</t>
  </si>
  <si>
    <t>Energía final</t>
  </si>
  <si>
    <t>Var. Energía</t>
  </si>
  <si>
    <t>EXPECTED DEMAND</t>
  </si>
  <si>
    <t>EXPECTED PRODUCTION</t>
  </si>
  <si>
    <t>Energía requerida</t>
  </si>
  <si>
    <t>Inicial</t>
  </si>
  <si>
    <t>Final</t>
  </si>
  <si>
    <t>Variación</t>
  </si>
  <si>
    <t>Si ER&lt;ED</t>
  </si>
  <si>
    <t>Producción</t>
  </si>
  <si>
    <t>Si ER&gt;ED</t>
  </si>
  <si>
    <t>ENERGY REQUIRED</t>
  </si>
  <si>
    <t>PRODUCTION</t>
  </si>
  <si>
    <t>PRODUCTION'</t>
  </si>
  <si>
    <t>5/Nueva PRODUCCIÓN</t>
  </si>
  <si>
    <t>6/ Nuevos recursos. (I-A)*Nueva Producción</t>
  </si>
  <si>
    <t>DEMAND</t>
  </si>
  <si>
    <t>Final (ejemplo al 5% inferior)</t>
  </si>
  <si>
    <t>Esta IOT es con la que se empieza en el año t+1 (salvo modificaciones de la trend demand)</t>
  </si>
  <si>
    <t>X</t>
  </si>
  <si>
    <t>Variación P</t>
  </si>
  <si>
    <t>Una idea sería ponderar por la intensidad energética para aplicar esta reducción</t>
  </si>
  <si>
    <t xml:space="preserve">La producción es independiente de la intensidad. </t>
  </si>
  <si>
    <t>Región A</t>
  </si>
  <si>
    <t>Región B</t>
  </si>
  <si>
    <t>Región C</t>
  </si>
  <si>
    <t>Sec_1</t>
  </si>
  <si>
    <t>Sec_2</t>
  </si>
  <si>
    <t>Región A+B</t>
  </si>
  <si>
    <t>Región D</t>
  </si>
  <si>
    <t>DF_D</t>
  </si>
  <si>
    <t>Región A+B+C</t>
  </si>
  <si>
    <t>DF_A+B+C</t>
  </si>
  <si>
    <t>Sec_3</t>
  </si>
  <si>
    <t>DF_A_1</t>
  </si>
  <si>
    <t>DF_A_2</t>
  </si>
  <si>
    <t>DF_B_2</t>
  </si>
  <si>
    <t>DF_C_1</t>
  </si>
  <si>
    <t>DF_C_2</t>
  </si>
  <si>
    <t>DF_A+B_1</t>
  </si>
  <si>
    <t>DF_B_1</t>
  </si>
  <si>
    <t>DF_A+B_2</t>
  </si>
  <si>
    <t>Región C+D</t>
  </si>
  <si>
    <t>DF_D_1</t>
  </si>
  <si>
    <t>DF_D_2</t>
  </si>
  <si>
    <t>DF_C+DF_D_1</t>
  </si>
  <si>
    <t>DF_C+DF_D_2</t>
  </si>
  <si>
    <t>EU</t>
  </si>
  <si>
    <t>ROW</t>
  </si>
  <si>
    <t>FD</t>
  </si>
  <si>
    <t>demand</t>
  </si>
  <si>
    <t>initial demand</t>
  </si>
  <si>
    <t>Variation</t>
  </si>
  <si>
    <t>sector</t>
  </si>
  <si>
    <t>RoW</t>
  </si>
  <si>
    <t>RoEU</t>
  </si>
  <si>
    <t>Domestic transactions</t>
  </si>
  <si>
    <t>Foreign transactions</t>
  </si>
  <si>
    <t>Transactions between other regions</t>
  </si>
  <si>
    <t>DOMESTIC</t>
  </si>
  <si>
    <t>DOM</t>
  </si>
  <si>
    <t>Sectors</t>
  </si>
  <si>
    <t>REG</t>
  </si>
  <si>
    <t>SEC</t>
  </si>
  <si>
    <t>D</t>
  </si>
  <si>
    <t>X: Output</t>
  </si>
  <si>
    <t>D: Final Demand</t>
  </si>
  <si>
    <t>A: Agriculture</t>
  </si>
  <si>
    <t>I: Industry</t>
  </si>
  <si>
    <t>S: Services</t>
  </si>
  <si>
    <t>VA: Value Added</t>
  </si>
  <si>
    <t>Initial</t>
  </si>
  <si>
    <t>RES demand</t>
  </si>
  <si>
    <t>NRES demand</t>
  </si>
  <si>
    <t>RES intensity</t>
  </si>
  <si>
    <t>NRES intensity</t>
  </si>
  <si>
    <t xml:space="preserve">I-A </t>
  </si>
  <si>
    <t>Leontief (I-A)^-1</t>
  </si>
  <si>
    <t>Final Output calculations matrix</t>
  </si>
  <si>
    <t>A Matrix</t>
  </si>
  <si>
    <t>PRUEBAS MATLAB --&gt; VENSIM</t>
  </si>
  <si>
    <t>CYL</t>
  </si>
  <si>
    <t>RoESP</t>
  </si>
  <si>
    <t>PT</t>
  </si>
  <si>
    <t>nuestra tabla</t>
  </si>
  <si>
    <t>su  tabla</t>
  </si>
  <si>
    <t>tabla de correpondencia</t>
  </si>
  <si>
    <t>tabla final</t>
  </si>
  <si>
    <t>País1-S1</t>
  </si>
  <si>
    <t>País1-S2</t>
  </si>
  <si>
    <t>País2-S1</t>
  </si>
  <si>
    <t>País2-S2</t>
  </si>
  <si>
    <t>País3-S1</t>
  </si>
  <si>
    <t>País3-S2</t>
  </si>
  <si>
    <t>País1-S3</t>
  </si>
  <si>
    <t>País2-S3</t>
  </si>
  <si>
    <t>País3-S3</t>
  </si>
  <si>
    <t>tabla de correpondencia (w1)</t>
  </si>
  <si>
    <t>nuestra tabla (w0)</t>
  </si>
  <si>
    <t>su  tabla (matriz_unizar)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</si>
</sst>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#,##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 applyAlignment="1">
      <alignment horizontal="center" vertical="center"/>
    </xf>
    <xf numFmtId="164" fontId="0" fillId="0" borderId="8" xfId="0" applyNumberForma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4" xfId="0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0" fontId="0" fillId="0" borderId="17" xfId="0" applyBorder="1"/>
    <xf numFmtId="10" fontId="0" fillId="0" borderId="1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2" fontId="0" fillId="0" borderId="0" xfId="0" applyNumberFormat="1"/>
    <xf numFmtId="10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1" fillId="0" borderId="0" xfId="0" applyFont="1"/>
    <xf numFmtId="0" fontId="0" fillId="3" borderId="0" xfId="0" applyFill="1"/>
    <xf numFmtId="0" fontId="1" fillId="3" borderId="0" xfId="0" applyFont="1" applyFill="1"/>
    <xf numFmtId="2" fontId="0" fillId="3" borderId="0" xfId="0" applyNumberFormat="1" applyFill="1"/>
    <xf numFmtId="2" fontId="1" fillId="3" borderId="0" xfId="0" applyNumberFormat="1" applyFont="1" applyFill="1"/>
    <xf numFmtId="0" fontId="0" fillId="0" borderId="17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39" xfId="0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56" xfId="0" applyFon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5" borderId="42" xfId="0" applyFill="1" applyBorder="1" applyAlignment="1">
      <alignment horizontal="center" vertical="center"/>
    </xf>
    <xf numFmtId="165" fontId="0" fillId="0" borderId="0" xfId="0" applyNumberFormat="1"/>
    <xf numFmtId="0" fontId="0" fillId="7" borderId="0" xfId="0" applyFill="1"/>
    <xf numFmtId="0" fontId="0" fillId="8" borderId="0" xfId="0" applyFill="1"/>
    <xf numFmtId="166" fontId="0" fillId="0" borderId="20" xfId="0" applyNumberFormat="1" applyBorder="1"/>
    <xf numFmtId="166" fontId="0" fillId="0" borderId="21" xfId="0" applyNumberFormat="1" applyBorder="1"/>
    <xf numFmtId="166" fontId="0" fillId="0" borderId="5" xfId="0" applyNumberFormat="1" applyBorder="1"/>
    <xf numFmtId="166" fontId="0" fillId="0" borderId="6" xfId="0" applyNumberFormat="1" applyBorder="1"/>
    <xf numFmtId="166" fontId="0" fillId="0" borderId="0" xfId="0" applyNumberFormat="1"/>
    <xf numFmtId="166" fontId="0" fillId="0" borderId="2" xfId="0" applyNumberFormat="1" applyBorder="1"/>
    <xf numFmtId="166" fontId="0" fillId="0" borderId="4" xfId="0" applyNumberFormat="1" applyBorder="1"/>
    <xf numFmtId="166" fontId="0" fillId="0" borderId="1" xfId="0" applyNumberFormat="1" applyBorder="1"/>
    <xf numFmtId="166" fontId="0" fillId="0" borderId="3" xfId="0" applyNumberFormat="1" applyBorder="1"/>
    <xf numFmtId="167" fontId="0" fillId="9" borderId="0" xfId="0" applyNumberFormat="1" applyFill="1"/>
    <xf numFmtId="167" fontId="0" fillId="10" borderId="0" xfId="0" applyNumberFormat="1" applyFill="1"/>
    <xf numFmtId="167" fontId="0" fillId="0" borderId="0" xfId="0" applyNumberFormat="1"/>
    <xf numFmtId="10" fontId="0" fillId="0" borderId="0" xfId="1" applyNumberFormat="1" applyFont="1"/>
    <xf numFmtId="10" fontId="0" fillId="4" borderId="42" xfId="1" applyNumberFormat="1" applyFont="1" applyFill="1" applyBorder="1" applyAlignment="1">
      <alignment horizontal="center" vertical="center"/>
    </xf>
    <xf numFmtId="10" fontId="1" fillId="0" borderId="42" xfId="1" applyNumberFormat="1" applyFont="1" applyBorder="1" applyAlignment="1">
      <alignment horizontal="center" vertical="center"/>
    </xf>
    <xf numFmtId="10" fontId="0" fillId="0" borderId="19" xfId="1" applyNumberFormat="1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5" borderId="4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0" fillId="5" borderId="7" xfId="0" applyNumberFormat="1" applyFill="1" applyBorder="1" applyAlignment="1">
      <alignment horizontal="center" vertical="center"/>
    </xf>
    <xf numFmtId="165" fontId="0" fillId="5" borderId="8" xfId="0" applyNumberFormat="1" applyFill="1" applyBorder="1" applyAlignment="1">
      <alignment horizontal="center" vertical="center"/>
    </xf>
    <xf numFmtId="165" fontId="0" fillId="5" borderId="10" xfId="0" applyNumberFormat="1" applyFill="1" applyBorder="1" applyAlignment="1">
      <alignment horizontal="center" vertical="center"/>
    </xf>
    <xf numFmtId="165" fontId="0" fillId="5" borderId="11" xfId="0" applyNumberFormat="1" applyFill="1" applyBorder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5" fontId="0" fillId="5" borderId="12" xfId="0" applyNumberFormat="1" applyFill="1" applyBorder="1" applyAlignment="1">
      <alignment horizontal="center" vertical="center"/>
    </xf>
    <xf numFmtId="165" fontId="0" fillId="11" borderId="7" xfId="0" applyNumberFormat="1" applyFill="1" applyBorder="1" applyAlignment="1">
      <alignment horizontal="center" vertical="center"/>
    </xf>
    <xf numFmtId="165" fontId="0" fillId="11" borderId="8" xfId="0" applyNumberFormat="1" applyFill="1" applyBorder="1" applyAlignment="1">
      <alignment horizontal="center" vertical="center"/>
    </xf>
    <xf numFmtId="165" fontId="0" fillId="11" borderId="10" xfId="0" applyNumberFormat="1" applyFill="1" applyBorder="1" applyAlignment="1">
      <alignment horizontal="center" vertical="center"/>
    </xf>
    <xf numFmtId="165" fontId="0" fillId="11" borderId="11" xfId="0" applyNumberFormat="1" applyFill="1" applyBorder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65" fontId="0" fillId="11" borderId="12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6" borderId="8" xfId="0" applyNumberFormat="1" applyFill="1" applyBorder="1" applyAlignment="1">
      <alignment horizontal="center" vertical="center"/>
    </xf>
    <xf numFmtId="165" fontId="0" fillId="6" borderId="10" xfId="0" applyNumberFormat="1" applyFill="1" applyBorder="1" applyAlignment="1">
      <alignment horizontal="center" vertical="center"/>
    </xf>
    <xf numFmtId="165" fontId="0" fillId="6" borderId="11" xfId="0" applyNumberFormat="1" applyFill="1" applyBorder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5" fontId="0" fillId="6" borderId="12" xfId="0" applyNumberFormat="1" applyFill="1" applyBorder="1" applyAlignment="1">
      <alignment horizontal="center" vertical="center"/>
    </xf>
    <xf numFmtId="0" fontId="0" fillId="11" borderId="42" xfId="0" applyFill="1" applyBorder="1" applyAlignment="1">
      <alignment horizontal="center" vertical="center"/>
    </xf>
    <xf numFmtId="0" fontId="0" fillId="6" borderId="42" xfId="0" applyFill="1" applyBorder="1" applyAlignment="1">
      <alignment horizontal="center" vertical="center"/>
    </xf>
    <xf numFmtId="0" fontId="1" fillId="11" borderId="42" xfId="0" applyFont="1" applyFill="1" applyBorder="1" applyAlignment="1">
      <alignment horizontal="center" vertical="center"/>
    </xf>
    <xf numFmtId="0" fontId="0" fillId="6" borderId="42" xfId="0" applyFill="1" applyBorder="1"/>
    <xf numFmtId="0" fontId="1" fillId="0" borderId="0" xfId="0" applyFont="1" applyAlignment="1">
      <alignment horizontal="left" vertical="center"/>
    </xf>
    <xf numFmtId="165" fontId="0" fillId="5" borderId="14" xfId="0" applyNumberFormat="1" applyFill="1" applyBorder="1" applyAlignment="1">
      <alignment horizontal="center" vertical="center"/>
    </xf>
    <xf numFmtId="165" fontId="0" fillId="5" borderId="15" xfId="0" applyNumberFormat="1" applyFill="1" applyBorder="1" applyAlignment="1">
      <alignment horizontal="center" vertical="center"/>
    </xf>
    <xf numFmtId="165" fontId="0" fillId="5" borderId="16" xfId="0" applyNumberFormat="1" applyFill="1" applyBorder="1" applyAlignment="1">
      <alignment horizontal="center" vertical="center"/>
    </xf>
    <xf numFmtId="165" fontId="0" fillId="6" borderId="14" xfId="0" applyNumberFormat="1" applyFill="1" applyBorder="1" applyAlignment="1">
      <alignment horizontal="center" vertical="center"/>
    </xf>
    <xf numFmtId="165" fontId="0" fillId="6" borderId="15" xfId="0" applyNumberFormat="1" applyFill="1" applyBorder="1" applyAlignment="1">
      <alignment horizontal="center" vertical="center"/>
    </xf>
    <xf numFmtId="165" fontId="0" fillId="6" borderId="16" xfId="0" applyNumberFormat="1" applyFill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57" xfId="0" applyFont="1" applyBorder="1"/>
    <xf numFmtId="1" fontId="0" fillId="11" borderId="7" xfId="0" applyNumberFormat="1" applyFill="1" applyBorder="1" applyAlignment="1">
      <alignment horizontal="center" vertical="center"/>
    </xf>
    <xf numFmtId="1" fontId="0" fillId="11" borderId="8" xfId="0" applyNumberFormat="1" applyFill="1" applyBorder="1" applyAlignment="1">
      <alignment horizontal="center" vertical="center"/>
    </xf>
    <xf numFmtId="1" fontId="0" fillId="11" borderId="10" xfId="0" applyNumberFormat="1" applyFill="1" applyBorder="1" applyAlignment="1">
      <alignment horizontal="center" vertical="center"/>
    </xf>
    <xf numFmtId="1" fontId="0" fillId="5" borderId="7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10" xfId="0" applyNumberFormat="1" applyFill="1" applyBorder="1" applyAlignment="1">
      <alignment horizontal="center" vertical="center"/>
    </xf>
    <xf numFmtId="1" fontId="0" fillId="11" borderId="11" xfId="0" applyNumberFormat="1" applyFill="1" applyBorder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" fontId="0" fillId="11" borderId="12" xfId="0" applyNumberFormat="1" applyFill="1" applyBorder="1" applyAlignment="1">
      <alignment horizontal="center" vertical="center"/>
    </xf>
    <xf numFmtId="1" fontId="0" fillId="5" borderId="11" xfId="0" applyNumberFormat="1" applyFill="1" applyBorder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5" borderId="12" xfId="0" applyNumberFormat="1" applyFill="1" applyBorder="1" applyAlignment="1">
      <alignment horizontal="center" vertical="center"/>
    </xf>
    <xf numFmtId="1" fontId="0" fillId="6" borderId="7" xfId="0" applyNumberFormat="1" applyFill="1" applyBorder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1" fontId="0" fillId="6" borderId="10" xfId="0" applyNumberFormat="1" applyFill="1" applyBorder="1" applyAlignment="1">
      <alignment horizontal="center" vertical="center"/>
    </xf>
    <xf numFmtId="1" fontId="0" fillId="6" borderId="11" xfId="0" applyNumberFormat="1" applyFill="1" applyBorder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1" fontId="0" fillId="6" borderId="12" xfId="0" applyNumberFormat="1" applyFill="1" applyBorder="1" applyAlignment="1">
      <alignment horizontal="center" vertical="center"/>
    </xf>
    <xf numFmtId="1" fontId="0" fillId="5" borderId="14" xfId="0" applyNumberFormat="1" applyFill="1" applyBorder="1" applyAlignment="1">
      <alignment horizontal="center" vertical="center"/>
    </xf>
    <xf numFmtId="1" fontId="0" fillId="5" borderId="15" xfId="0" applyNumberFormat="1" applyFill="1" applyBorder="1" applyAlignment="1">
      <alignment horizontal="center" vertical="center"/>
    </xf>
    <xf numFmtId="1" fontId="0" fillId="5" borderId="16" xfId="0" applyNumberFormat="1" applyFill="1" applyBorder="1" applyAlignment="1">
      <alignment horizontal="center" vertical="center"/>
    </xf>
    <xf numFmtId="1" fontId="0" fillId="6" borderId="14" xfId="0" applyNumberFormat="1" applyFill="1" applyBorder="1" applyAlignment="1">
      <alignment horizontal="center" vertical="center"/>
    </xf>
    <xf numFmtId="1" fontId="0" fillId="6" borderId="15" xfId="0" applyNumberFormat="1" applyFill="1" applyBorder="1" applyAlignment="1">
      <alignment horizontal="center" vertical="center"/>
    </xf>
    <xf numFmtId="1" fontId="0" fillId="6" borderId="16" xfId="0" applyNumberFormat="1" applyFill="1" applyBorder="1" applyAlignment="1">
      <alignment horizontal="center" vertical="center"/>
    </xf>
    <xf numFmtId="1" fontId="0" fillId="11" borderId="14" xfId="0" applyNumberFormat="1" applyFill="1" applyBorder="1" applyAlignment="1">
      <alignment horizontal="center" vertical="center"/>
    </xf>
    <xf numFmtId="1" fontId="0" fillId="11" borderId="16" xfId="0" applyNumberForma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1" fillId="12" borderId="42" xfId="0" applyFont="1" applyFill="1" applyBorder="1" applyAlignment="1">
      <alignment horizontal="center"/>
    </xf>
    <xf numFmtId="0" fontId="1" fillId="0" borderId="42" xfId="0" applyFont="1" applyBorder="1"/>
    <xf numFmtId="10" fontId="0" fillId="12" borderId="18" xfId="0" applyNumberFormat="1" applyFill="1" applyBorder="1" applyAlignment="1">
      <alignment horizontal="center" vertical="center"/>
    </xf>
    <xf numFmtId="10" fontId="0" fillId="12" borderId="19" xfId="0" applyNumberFormat="1" applyFill="1" applyBorder="1" applyAlignment="1">
      <alignment horizontal="center" vertical="center"/>
    </xf>
    <xf numFmtId="0" fontId="1" fillId="12" borderId="1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10" fontId="0" fillId="13" borderId="0" xfId="0" applyNumberFormat="1" applyFill="1" applyAlignment="1">
      <alignment horizontal="center" vertical="center"/>
    </xf>
    <xf numFmtId="0" fontId="0" fillId="13" borderId="42" xfId="0" applyFill="1" applyBorder="1" applyAlignment="1">
      <alignment horizontal="center"/>
    </xf>
    <xf numFmtId="0" fontId="0" fillId="13" borderId="2" xfId="0" applyFill="1" applyBorder="1" applyAlignment="1">
      <alignment horizontal="center" vertical="center"/>
    </xf>
    <xf numFmtId="164" fontId="0" fillId="13" borderId="0" xfId="0" applyNumberFormat="1" applyFill="1" applyAlignment="1">
      <alignment horizontal="center" vertical="center"/>
    </xf>
    <xf numFmtId="0" fontId="1" fillId="14" borderId="42" xfId="0" applyFont="1" applyFill="1" applyBorder="1" applyAlignment="1">
      <alignment horizontal="center" vertical="center"/>
    </xf>
    <xf numFmtId="0" fontId="4" fillId="5" borderId="4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42" xfId="0" applyFont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2" borderId="42" xfId="0" applyFont="1" applyFill="1" applyBorder="1" applyAlignment="1">
      <alignment horizontal="center"/>
    </xf>
    <xf numFmtId="0" fontId="1" fillId="13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164" fontId="1" fillId="13" borderId="0" xfId="0" applyNumberFormat="1" applyFont="1" applyFill="1" applyAlignment="1">
      <alignment horizontal="center" vertical="center"/>
    </xf>
    <xf numFmtId="164" fontId="1" fillId="13" borderId="12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1" fillId="5" borderId="12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1" fillId="6" borderId="42" xfId="0" applyFont="1" applyFill="1" applyBorder="1" applyAlignment="1">
      <alignment horizontal="center" vertical="center"/>
    </xf>
    <xf numFmtId="10" fontId="1" fillId="6" borderId="42" xfId="1" applyNumberFormat="1" applyFont="1" applyFill="1" applyBorder="1" applyAlignment="1">
      <alignment horizontal="center" vertical="center"/>
    </xf>
    <xf numFmtId="10" fontId="1" fillId="6" borderId="56" xfId="1" applyNumberFormat="1" applyFont="1" applyFill="1" applyBorder="1" applyAlignment="1">
      <alignment horizontal="center" vertical="center"/>
    </xf>
    <xf numFmtId="0" fontId="1" fillId="4" borderId="42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55" xfId="0" applyFont="1" applyBorder="1" applyAlignment="1">
      <alignment horizontal="center" vertical="center"/>
    </xf>
    <xf numFmtId="0" fontId="1" fillId="11" borderId="42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0" fontId="1" fillId="4" borderId="17" xfId="1" applyNumberFormat="1" applyFont="1" applyFill="1" applyBorder="1" applyAlignment="1">
      <alignment horizontal="center" vertical="center"/>
    </xf>
    <xf numFmtId="10" fontId="1" fillId="4" borderId="18" xfId="1" applyNumberFormat="1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/>
    </xf>
    <xf numFmtId="0" fontId="1" fillId="11" borderId="18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  <xf numFmtId="164" fontId="1" fillId="3" borderId="1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5" borderId="42" xfId="0" applyFont="1" applyFill="1" applyBorder="1" applyAlignment="1">
      <alignment horizontal="center" vertical="center"/>
    </xf>
    <xf numFmtId="0" fontId="1" fillId="11" borderId="20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5" borderId="2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Q54"/>
  <sheetViews>
    <sheetView zoomScale="70" zoomScaleNormal="70" workbookViewId="0">
      <selection activeCell="I6" sqref="I6"/>
    </sheetView>
  </sheetViews>
  <sheetFormatPr baseColWidth="10" defaultColWidth="11.453125" defaultRowHeight="14.5" x14ac:dyDescent="0.35"/>
  <cols>
    <col min="1" max="1" width="3.453125" customWidth="1"/>
    <col min="3" max="3" width="20.54296875" customWidth="1"/>
  </cols>
  <sheetData>
    <row r="3" spans="4:17" x14ac:dyDescent="0.35">
      <c r="D3" s="191" t="s">
        <v>10</v>
      </c>
      <c r="E3" s="191"/>
      <c r="F3" s="191"/>
      <c r="G3" s="191"/>
      <c r="H3" s="191"/>
      <c r="I3" s="191"/>
      <c r="L3" t="s">
        <v>92</v>
      </c>
    </row>
    <row r="4" spans="4:17" x14ac:dyDescent="0.35">
      <c r="L4" t="s">
        <v>93</v>
      </c>
    </row>
    <row r="5" spans="4:17" x14ac:dyDescent="0.35">
      <c r="D5" s="4"/>
      <c r="E5" s="2" t="s">
        <v>0</v>
      </c>
      <c r="F5" s="2" t="s">
        <v>1</v>
      </c>
      <c r="G5" s="4" t="s">
        <v>2</v>
      </c>
      <c r="H5" s="2" t="s">
        <v>89</v>
      </c>
      <c r="I5" s="2" t="s">
        <v>44</v>
      </c>
      <c r="L5" s="1" t="s">
        <v>94</v>
      </c>
    </row>
    <row r="6" spans="4:17" x14ac:dyDescent="0.35">
      <c r="D6" s="3" t="s">
        <v>0</v>
      </c>
      <c r="E6" s="1">
        <v>20</v>
      </c>
      <c r="F6" s="1">
        <v>20</v>
      </c>
      <c r="G6" s="3">
        <v>10</v>
      </c>
      <c r="H6" s="1">
        <v>13</v>
      </c>
      <c r="I6" s="1">
        <f>SUM(E6:H6)</f>
        <v>63</v>
      </c>
      <c r="L6" t="s">
        <v>95</v>
      </c>
    </row>
    <row r="7" spans="4:17" x14ac:dyDescent="0.35">
      <c r="D7" s="3" t="s">
        <v>1</v>
      </c>
      <c r="E7" s="1">
        <v>5</v>
      </c>
      <c r="F7" s="1">
        <v>12</v>
      </c>
      <c r="G7" s="3">
        <v>9</v>
      </c>
      <c r="H7" s="1">
        <v>34</v>
      </c>
      <c r="I7" s="1">
        <f>SUM(E7:H7)</f>
        <v>60</v>
      </c>
      <c r="L7" t="s">
        <v>90</v>
      </c>
    </row>
    <row r="8" spans="4:17" x14ac:dyDescent="0.35">
      <c r="D8" s="4" t="s">
        <v>2</v>
      </c>
      <c r="E8" s="2">
        <v>1</v>
      </c>
      <c r="F8" s="2">
        <v>4</v>
      </c>
      <c r="G8" s="4">
        <v>7</v>
      </c>
      <c r="H8" s="2">
        <v>22</v>
      </c>
      <c r="I8" s="2">
        <f>SUM(E8:H8)</f>
        <v>34</v>
      </c>
      <c r="L8" t="s">
        <v>91</v>
      </c>
    </row>
    <row r="9" spans="4:17" x14ac:dyDescent="0.35">
      <c r="D9" s="3" t="s">
        <v>5</v>
      </c>
      <c r="E9" s="1">
        <f>I6-SUM(E6:E8)</f>
        <v>37</v>
      </c>
      <c r="F9" s="1">
        <f>I7-SUM(F6:F8)</f>
        <v>24</v>
      </c>
      <c r="G9" s="1">
        <f>I8-SUM(G6:G8)</f>
        <v>8</v>
      </c>
      <c r="H9" s="1"/>
      <c r="I9" s="1"/>
    </row>
    <row r="10" spans="4:17" x14ac:dyDescent="0.35">
      <c r="D10" s="3" t="s">
        <v>44</v>
      </c>
      <c r="E10" s="1">
        <f>SUM(E6:E9)</f>
        <v>63</v>
      </c>
      <c r="F10" s="1">
        <f>SUM(F6:F9)</f>
        <v>60</v>
      </c>
      <c r="G10" s="3">
        <f>SUM(G6:G9)</f>
        <v>34</v>
      </c>
      <c r="H10" s="1"/>
      <c r="I10" s="1"/>
    </row>
    <row r="12" spans="4:17" x14ac:dyDescent="0.35">
      <c r="D12" s="191" t="s">
        <v>11</v>
      </c>
      <c r="E12" s="191"/>
      <c r="F12" s="191"/>
      <c r="G12" s="191"/>
      <c r="H12" s="191"/>
      <c r="I12" s="191"/>
    </row>
    <row r="13" spans="4:17" x14ac:dyDescent="0.35">
      <c r="D13" s="4"/>
      <c r="E13" s="2" t="s">
        <v>0</v>
      </c>
      <c r="F13" s="2" t="s">
        <v>1</v>
      </c>
      <c r="G13" s="4" t="s">
        <v>2</v>
      </c>
      <c r="H13" s="2" t="s">
        <v>3</v>
      </c>
      <c r="I13" s="2" t="s">
        <v>4</v>
      </c>
      <c r="K13" s="4"/>
      <c r="L13" s="2" t="s">
        <v>0</v>
      </c>
      <c r="M13" s="2" t="s">
        <v>1</v>
      </c>
      <c r="N13" s="4" t="s">
        <v>2</v>
      </c>
      <c r="Q13" s="1"/>
    </row>
    <row r="14" spans="4:17" x14ac:dyDescent="0.35">
      <c r="D14" s="3" t="s">
        <v>0</v>
      </c>
      <c r="E14" s="5">
        <f t="shared" ref="E14:G16" si="0">E6/E$10</f>
        <v>0.31746031746031744</v>
      </c>
      <c r="F14" s="5">
        <f t="shared" si="0"/>
        <v>0.33333333333333331</v>
      </c>
      <c r="G14" s="10">
        <f t="shared" si="0"/>
        <v>0.29411764705882354</v>
      </c>
      <c r="H14" s="5">
        <v>13</v>
      </c>
      <c r="I14" s="5">
        <f>SUM(E14:H14)</f>
        <v>13.944911297852475</v>
      </c>
      <c r="K14" s="3" t="s">
        <v>0</v>
      </c>
      <c r="L14" s="5">
        <v>1</v>
      </c>
      <c r="M14" s="5">
        <v>0</v>
      </c>
      <c r="N14" s="10">
        <v>0</v>
      </c>
    </row>
    <row r="15" spans="4:17" x14ac:dyDescent="0.35">
      <c r="D15" s="3" t="s">
        <v>1</v>
      </c>
      <c r="E15" s="11">
        <f t="shared" si="0"/>
        <v>7.9365079365079361E-2</v>
      </c>
      <c r="F15" s="5">
        <f t="shared" si="0"/>
        <v>0.2</v>
      </c>
      <c r="G15" s="6">
        <f t="shared" si="0"/>
        <v>0.26470588235294118</v>
      </c>
      <c r="H15" s="5">
        <v>34</v>
      </c>
      <c r="I15" s="5">
        <f>SUM(E15:H15)</f>
        <v>34.54407096171802</v>
      </c>
      <c r="K15" s="3" t="s">
        <v>1</v>
      </c>
      <c r="L15" s="11">
        <v>0</v>
      </c>
      <c r="M15" s="5">
        <v>1</v>
      </c>
      <c r="N15" s="6">
        <v>0</v>
      </c>
    </row>
    <row r="16" spans="4:17" x14ac:dyDescent="0.35">
      <c r="D16" s="4" t="s">
        <v>2</v>
      </c>
      <c r="E16" s="9">
        <f t="shared" si="0"/>
        <v>1.5873015873015872E-2</v>
      </c>
      <c r="F16" s="7">
        <f t="shared" si="0"/>
        <v>6.6666666666666666E-2</v>
      </c>
      <c r="G16" s="8">
        <f t="shared" si="0"/>
        <v>0.20588235294117646</v>
      </c>
      <c r="H16" s="7">
        <v>22</v>
      </c>
      <c r="I16" s="7">
        <f>SUM(E16:H16)</f>
        <v>22.28842203548086</v>
      </c>
      <c r="K16" s="4" t="s">
        <v>2</v>
      </c>
      <c r="L16" s="9">
        <v>0</v>
      </c>
      <c r="M16" s="7">
        <v>0</v>
      </c>
      <c r="N16" s="8">
        <v>1</v>
      </c>
    </row>
    <row r="17" spans="2:16" x14ac:dyDescent="0.35">
      <c r="D17" s="3" t="s">
        <v>5</v>
      </c>
      <c r="E17" s="5">
        <v>11</v>
      </c>
      <c r="F17" s="5">
        <v>41</v>
      </c>
      <c r="G17" s="6">
        <v>17</v>
      </c>
      <c r="H17" s="5"/>
      <c r="I17" s="5"/>
    </row>
    <row r="18" spans="2:16" x14ac:dyDescent="0.35">
      <c r="D18" s="3" t="s">
        <v>44</v>
      </c>
      <c r="E18" s="5">
        <f>SUM(E14:E17)</f>
        <v>11.412698412698413</v>
      </c>
      <c r="F18" s="5">
        <f>SUM(F14:F17)</f>
        <v>41.6</v>
      </c>
      <c r="G18" s="6">
        <f>SUM(G14:G17)</f>
        <v>17.764705882352942</v>
      </c>
      <c r="H18" s="5"/>
      <c r="I18" s="5"/>
    </row>
    <row r="20" spans="2:16" x14ac:dyDescent="0.35">
      <c r="D20" s="191" t="s">
        <v>12</v>
      </c>
      <c r="E20" s="191"/>
      <c r="F20" s="191"/>
      <c r="G20" s="191"/>
      <c r="H20" s="191"/>
      <c r="I20" s="191"/>
    </row>
    <row r="21" spans="2:16" x14ac:dyDescent="0.35">
      <c r="D21" s="4"/>
      <c r="E21" s="2" t="s">
        <v>0</v>
      </c>
      <c r="F21" s="2" t="s">
        <v>1</v>
      </c>
      <c r="G21" s="4" t="s">
        <v>2</v>
      </c>
      <c r="K21" s="1"/>
      <c r="L21" s="1"/>
      <c r="M21" s="1"/>
      <c r="N21" s="1"/>
    </row>
    <row r="22" spans="2:16" x14ac:dyDescent="0.35">
      <c r="D22" s="3" t="s">
        <v>0</v>
      </c>
      <c r="E22" s="31">
        <f t="shared" ref="E22:G24" si="1">L14-E14</f>
        <v>0.68253968253968256</v>
      </c>
      <c r="F22" s="32">
        <f t="shared" si="1"/>
        <v>-0.33333333333333331</v>
      </c>
      <c r="G22" s="10">
        <f t="shared" si="1"/>
        <v>-0.29411764705882354</v>
      </c>
      <c r="K22" s="1"/>
      <c r="L22" s="5"/>
      <c r="M22" s="5"/>
      <c r="N22" s="5"/>
    </row>
    <row r="23" spans="2:16" x14ac:dyDescent="0.35">
      <c r="D23" s="3" t="s">
        <v>1</v>
      </c>
      <c r="E23" s="11">
        <f t="shared" si="1"/>
        <v>-7.9365079365079361E-2</v>
      </c>
      <c r="F23" s="5">
        <f t="shared" si="1"/>
        <v>0.8</v>
      </c>
      <c r="G23" s="6">
        <f t="shared" si="1"/>
        <v>-0.26470588235294118</v>
      </c>
      <c r="K23" s="1"/>
      <c r="L23" s="5"/>
      <c r="M23" s="5"/>
      <c r="N23" s="5"/>
    </row>
    <row r="24" spans="2:16" x14ac:dyDescent="0.35">
      <c r="D24" s="4" t="s">
        <v>2</v>
      </c>
      <c r="E24" s="9">
        <f t="shared" si="1"/>
        <v>-1.5873015873015872E-2</v>
      </c>
      <c r="F24" s="7">
        <f t="shared" si="1"/>
        <v>-6.6666666666666666E-2</v>
      </c>
      <c r="G24" s="8">
        <f t="shared" si="1"/>
        <v>0.79411764705882359</v>
      </c>
      <c r="K24" s="1"/>
      <c r="L24" s="5"/>
      <c r="M24" s="5"/>
      <c r="N24" s="5"/>
    </row>
    <row r="26" spans="2:16" x14ac:dyDescent="0.35">
      <c r="D26" s="191" t="s">
        <v>13</v>
      </c>
      <c r="E26" s="191"/>
      <c r="F26" s="191"/>
      <c r="G26" s="191"/>
      <c r="H26" s="191"/>
      <c r="I26" s="191"/>
      <c r="K26" s="191" t="s">
        <v>15</v>
      </c>
      <c r="L26" s="191"/>
      <c r="M26" s="191"/>
      <c r="N26" s="191"/>
      <c r="O26" s="191"/>
      <c r="P26" s="191"/>
    </row>
    <row r="27" spans="2:16" x14ac:dyDescent="0.35">
      <c r="B27" t="s">
        <v>7</v>
      </c>
      <c r="C27" t="s">
        <v>8</v>
      </c>
      <c r="D27" s="4"/>
      <c r="E27" s="2" t="s">
        <v>0</v>
      </c>
      <c r="F27" s="2" t="s">
        <v>1</v>
      </c>
      <c r="G27" s="4" t="s">
        <v>2</v>
      </c>
      <c r="K27" s="4"/>
      <c r="L27" s="2" t="s">
        <v>0</v>
      </c>
      <c r="M27" s="2" t="s">
        <v>1</v>
      </c>
      <c r="N27" s="4" t="s">
        <v>2</v>
      </c>
      <c r="O27" s="1" t="s">
        <v>3</v>
      </c>
      <c r="P27" s="1" t="s">
        <v>4</v>
      </c>
    </row>
    <row r="28" spans="2:16" x14ac:dyDescent="0.35">
      <c r="C28" t="s">
        <v>9</v>
      </c>
      <c r="D28" s="3" t="s">
        <v>0</v>
      </c>
      <c r="E28" s="31">
        <f t="array" ref="E28:G30">MINVERSE(E22:G24)</f>
        <v>1.5681548794942708</v>
      </c>
      <c r="F28" s="32">
        <v>0.72184907151323585</v>
      </c>
      <c r="G28" s="10">
        <v>0.82141446068747503</v>
      </c>
      <c r="K28" s="3" t="s">
        <v>0</v>
      </c>
      <c r="L28" s="5">
        <f>E28*H36</f>
        <v>20.386013433425521</v>
      </c>
      <c r="M28" s="5">
        <f>H37*F28</f>
        <v>24.542868431450017</v>
      </c>
      <c r="N28" s="5">
        <f>H38*G28</f>
        <v>18.071118135124451</v>
      </c>
      <c r="O28" s="1">
        <f>H36</f>
        <v>13</v>
      </c>
      <c r="P28" s="12">
        <f>SUM(L28:N28)</f>
        <v>62.999999999999986</v>
      </c>
    </row>
    <row r="29" spans="2:16" x14ac:dyDescent="0.35">
      <c r="D29" s="3" t="s">
        <v>1</v>
      </c>
      <c r="E29" s="11">
        <v>0.17068352429869613</v>
      </c>
      <c r="F29" s="5">
        <v>1.364282892137495</v>
      </c>
      <c r="G29" s="6">
        <v>0.51797708415645971</v>
      </c>
      <c r="K29" s="3" t="s">
        <v>1</v>
      </c>
      <c r="L29" s="5">
        <f>E29*H36</f>
        <v>2.2188858158830498</v>
      </c>
      <c r="M29" s="5">
        <f>H37*F29</f>
        <v>46.385618332674831</v>
      </c>
      <c r="N29" s="5">
        <f>H38*G29</f>
        <v>11.395495851442114</v>
      </c>
      <c r="O29" s="1">
        <f>H37</f>
        <v>34</v>
      </c>
      <c r="P29" s="12">
        <f>SUM(L29:N29)</f>
        <v>59.999999999999993</v>
      </c>
    </row>
    <row r="30" spans="2:16" x14ac:dyDescent="0.35">
      <c r="D30" s="4" t="s">
        <v>2</v>
      </c>
      <c r="E30" s="9">
        <v>4.567364677992887E-2</v>
      </c>
      <c r="F30" s="7">
        <v>0.12896088502568151</v>
      </c>
      <c r="G30" s="8">
        <v>1.319162386408534</v>
      </c>
      <c r="K30" s="4" t="s">
        <v>2</v>
      </c>
      <c r="L30" s="5">
        <f>E30*H36</f>
        <v>0.59375740813907529</v>
      </c>
      <c r="M30" s="5">
        <f>H37*F30</f>
        <v>4.3846700908731711</v>
      </c>
      <c r="N30" s="5">
        <f>H38*G30</f>
        <v>29.021572500987748</v>
      </c>
      <c r="O30" s="1">
        <f>H38</f>
        <v>22</v>
      </c>
      <c r="P30" s="12">
        <f>SUM(L30:N30)</f>
        <v>33.999999999999993</v>
      </c>
    </row>
    <row r="31" spans="2:16" ht="15" thickBot="1" x14ac:dyDescent="0.4">
      <c r="K31" s="3" t="s">
        <v>5</v>
      </c>
    </row>
    <row r="32" spans="2:16" x14ac:dyDescent="0.35">
      <c r="B32" s="13"/>
      <c r="C32" s="14"/>
      <c r="D32" s="14"/>
      <c r="E32" s="14"/>
      <c r="F32" s="14"/>
      <c r="G32" s="14"/>
      <c r="H32" s="14"/>
      <c r="I32" s="14"/>
      <c r="J32" s="14"/>
      <c r="K32" s="15" t="s">
        <v>6</v>
      </c>
      <c r="L32" s="16">
        <f>P28</f>
        <v>62.999999999999986</v>
      </c>
      <c r="M32" s="16">
        <f>P29</f>
        <v>59.999999999999993</v>
      </c>
      <c r="N32" s="16">
        <f>P30</f>
        <v>33.999999999999993</v>
      </c>
      <c r="O32" s="14"/>
      <c r="P32" s="17"/>
    </row>
    <row r="33" spans="2:16" x14ac:dyDescent="0.35">
      <c r="B33" s="18"/>
      <c r="P33" s="19"/>
    </row>
    <row r="34" spans="2:16" x14ac:dyDescent="0.35">
      <c r="B34" s="18"/>
      <c r="D34" s="191" t="s">
        <v>14</v>
      </c>
      <c r="E34" s="191"/>
      <c r="F34" s="191"/>
      <c r="G34" s="191"/>
      <c r="H34" s="191"/>
      <c r="I34" s="191"/>
      <c r="J34" s="28"/>
      <c r="K34" s="191" t="s">
        <v>17</v>
      </c>
      <c r="L34" s="191"/>
      <c r="M34" s="191"/>
      <c r="N34" s="191"/>
      <c r="O34" s="191"/>
      <c r="P34" s="196"/>
    </row>
    <row r="35" spans="2:16" x14ac:dyDescent="0.35">
      <c r="B35" s="194" t="s">
        <v>19</v>
      </c>
      <c r="C35" s="195"/>
      <c r="D35" s="4"/>
      <c r="E35" s="2" t="s">
        <v>0</v>
      </c>
      <c r="F35" s="2" t="s">
        <v>1</v>
      </c>
      <c r="G35" s="4" t="s">
        <v>2</v>
      </c>
      <c r="H35" s="35" t="s">
        <v>89</v>
      </c>
      <c r="I35" s="2" t="s">
        <v>44</v>
      </c>
      <c r="J35" s="176" t="s">
        <v>20</v>
      </c>
      <c r="K35" s="4"/>
      <c r="L35" s="2" t="s">
        <v>0</v>
      </c>
      <c r="M35" s="2" t="s">
        <v>1</v>
      </c>
      <c r="N35" s="4" t="s">
        <v>2</v>
      </c>
      <c r="O35" s="2" t="s">
        <v>89</v>
      </c>
      <c r="P35" s="20" t="s">
        <v>44</v>
      </c>
    </row>
    <row r="36" spans="2:16" x14ac:dyDescent="0.35">
      <c r="B36" s="194"/>
      <c r="C36" s="195"/>
      <c r="D36" s="3" t="s">
        <v>0</v>
      </c>
      <c r="E36" s="1">
        <f t="shared" ref="E36:G39" si="2">E6</f>
        <v>20</v>
      </c>
      <c r="F36" s="1">
        <f t="shared" si="2"/>
        <v>20</v>
      </c>
      <c r="G36" s="30">
        <f t="shared" si="2"/>
        <v>10</v>
      </c>
      <c r="H36" s="36">
        <f>H6*(1+J36)</f>
        <v>13</v>
      </c>
      <c r="I36" s="1">
        <f>SUM(E36:H36)</f>
        <v>63</v>
      </c>
      <c r="J36" s="174">
        <v>0</v>
      </c>
      <c r="K36" s="3" t="s">
        <v>0</v>
      </c>
      <c r="L36" s="5">
        <f>$L$40*E14</f>
        <v>19.999999999999993</v>
      </c>
      <c r="M36" s="5">
        <f>$M$40*F14</f>
        <v>19.999999999999996</v>
      </c>
      <c r="N36" s="5">
        <f>$N$40*G14</f>
        <v>9.9999999999999982</v>
      </c>
      <c r="O36" s="5">
        <f t="shared" ref="O36:P38" si="3">O28</f>
        <v>13</v>
      </c>
      <c r="P36" s="21">
        <f t="shared" si="3"/>
        <v>62.999999999999986</v>
      </c>
    </row>
    <row r="37" spans="2:16" x14ac:dyDescent="0.35">
      <c r="B37" s="194"/>
      <c r="C37" s="195"/>
      <c r="D37" s="3" t="s">
        <v>1</v>
      </c>
      <c r="E37" s="1">
        <f t="shared" si="2"/>
        <v>5</v>
      </c>
      <c r="F37" s="1">
        <f t="shared" si="2"/>
        <v>12</v>
      </c>
      <c r="G37" s="3">
        <f t="shared" si="2"/>
        <v>9</v>
      </c>
      <c r="H37" s="36">
        <f>H7*(1+J37)</f>
        <v>34</v>
      </c>
      <c r="I37" s="1">
        <f>SUM(E37:H37)</f>
        <v>60</v>
      </c>
      <c r="J37" s="174">
        <v>0</v>
      </c>
      <c r="K37" s="3" t="s">
        <v>1</v>
      </c>
      <c r="L37" s="5">
        <f>$L$40*E15</f>
        <v>4.9999999999999982</v>
      </c>
      <c r="M37" s="5">
        <f>$M$40*F15</f>
        <v>12</v>
      </c>
      <c r="N37" s="5">
        <f>$N$40*G15</f>
        <v>8.9999999999999982</v>
      </c>
      <c r="O37" s="5">
        <f t="shared" si="3"/>
        <v>34</v>
      </c>
      <c r="P37" s="21">
        <f t="shared" si="3"/>
        <v>59.999999999999993</v>
      </c>
    </row>
    <row r="38" spans="2:16" x14ac:dyDescent="0.35">
      <c r="B38" s="194"/>
      <c r="C38" s="195"/>
      <c r="D38" s="4" t="s">
        <v>2</v>
      </c>
      <c r="E38" s="26">
        <f t="shared" si="2"/>
        <v>1</v>
      </c>
      <c r="F38" s="2">
        <f t="shared" si="2"/>
        <v>4</v>
      </c>
      <c r="G38" s="4">
        <f t="shared" si="2"/>
        <v>7</v>
      </c>
      <c r="H38" s="37">
        <f>H8*(1+J38)</f>
        <v>22</v>
      </c>
      <c r="I38" s="2">
        <f>SUM(E38:H38)</f>
        <v>34</v>
      </c>
      <c r="J38" s="175">
        <v>0</v>
      </c>
      <c r="K38" s="4" t="s">
        <v>2</v>
      </c>
      <c r="L38" s="7">
        <f>$L$40*E16</f>
        <v>0.99999999999999967</v>
      </c>
      <c r="M38" s="7">
        <f>$M$40*F16</f>
        <v>3.9999999999999996</v>
      </c>
      <c r="N38" s="7">
        <f>$N$40*G16</f>
        <v>6.9999999999999982</v>
      </c>
      <c r="O38" s="7">
        <f t="shared" si="3"/>
        <v>22</v>
      </c>
      <c r="P38" s="27">
        <f t="shared" si="3"/>
        <v>33.999999999999993</v>
      </c>
    </row>
    <row r="39" spans="2:16" x14ac:dyDescent="0.35">
      <c r="B39" s="194"/>
      <c r="C39" s="195"/>
      <c r="D39" s="3" t="s">
        <v>5</v>
      </c>
      <c r="E39" s="1">
        <f t="shared" si="2"/>
        <v>37</v>
      </c>
      <c r="F39" s="1">
        <f t="shared" si="2"/>
        <v>24</v>
      </c>
      <c r="G39" s="30">
        <f t="shared" si="2"/>
        <v>8</v>
      </c>
      <c r="H39" s="197" t="s">
        <v>27</v>
      </c>
      <c r="I39" s="198"/>
      <c r="K39" s="3" t="s">
        <v>5</v>
      </c>
      <c r="L39" s="5">
        <f>L40-(SUM(L36:L38))</f>
        <v>36.999999999999993</v>
      </c>
      <c r="M39" s="5">
        <f>M40-(SUM(M36:M38))</f>
        <v>24</v>
      </c>
      <c r="N39" s="5">
        <f>N40-(SUM(N36:N38))</f>
        <v>8</v>
      </c>
      <c r="O39" s="5"/>
      <c r="P39" s="22"/>
    </row>
    <row r="40" spans="2:16" x14ac:dyDescent="0.35">
      <c r="B40" s="18"/>
      <c r="D40" s="3" t="s">
        <v>44</v>
      </c>
      <c r="E40" s="1">
        <f>SUM(E36:E39)</f>
        <v>63</v>
      </c>
      <c r="F40" s="1">
        <f>SUM(F36:F39)</f>
        <v>60</v>
      </c>
      <c r="G40" s="3">
        <f>SUM(G36:G39)</f>
        <v>34</v>
      </c>
      <c r="H40" s="1"/>
      <c r="I40" s="1"/>
      <c r="K40" s="180" t="s">
        <v>44</v>
      </c>
      <c r="L40" s="181">
        <f>L32</f>
        <v>62.999999999999986</v>
      </c>
      <c r="M40" s="181">
        <f>M32</f>
        <v>59.999999999999993</v>
      </c>
      <c r="N40" s="181">
        <f>N32</f>
        <v>33.999999999999993</v>
      </c>
      <c r="O40" s="192" t="s">
        <v>28</v>
      </c>
      <c r="P40" s="193"/>
    </row>
    <row r="41" spans="2:16" x14ac:dyDescent="0.35">
      <c r="B41" s="18"/>
      <c r="P41" s="19"/>
    </row>
    <row r="42" spans="2:16" x14ac:dyDescent="0.35">
      <c r="B42" s="18" t="s">
        <v>16</v>
      </c>
      <c r="M42" s="177" t="s">
        <v>0</v>
      </c>
      <c r="N42" s="177" t="s">
        <v>1</v>
      </c>
      <c r="O42" s="177" t="s">
        <v>2</v>
      </c>
      <c r="P42" s="19"/>
    </row>
    <row r="43" spans="2:16" x14ac:dyDescent="0.35">
      <c r="B43" s="18"/>
      <c r="J43" s="190" t="s">
        <v>18</v>
      </c>
      <c r="K43" s="190"/>
      <c r="L43" s="190"/>
      <c r="M43" s="178">
        <f>(L40-E10)/E10</f>
        <v>-2.2556912246352386E-16</v>
      </c>
      <c r="N43" s="178">
        <f>(M40-F10)/F10</f>
        <v>-1.1842378929335003E-16</v>
      </c>
      <c r="O43" s="178">
        <f>(N40-G10)/G10</f>
        <v>-2.0898315757650005E-16</v>
      </c>
      <c r="P43" s="19"/>
    </row>
    <row r="44" spans="2:16" ht="15" thickBot="1" x14ac:dyDescent="0.4">
      <c r="B44" s="23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5"/>
    </row>
    <row r="46" spans="2:16" x14ac:dyDescent="0.35">
      <c r="K46" s="1"/>
      <c r="L46" s="1"/>
      <c r="M46" s="1"/>
      <c r="N46" s="1"/>
      <c r="O46" s="1"/>
      <c r="P46" s="1"/>
    </row>
    <row r="48" spans="2:16" x14ac:dyDescent="0.35">
      <c r="D48" s="187" t="s">
        <v>96</v>
      </c>
      <c r="E48" s="187"/>
      <c r="F48" s="187"/>
      <c r="G48" s="188" t="s">
        <v>31</v>
      </c>
      <c r="H48" s="188"/>
      <c r="I48" s="188"/>
    </row>
    <row r="49" spans="3:9" x14ac:dyDescent="0.35">
      <c r="C49" s="173" t="s">
        <v>97</v>
      </c>
      <c r="D49" s="171">
        <v>10</v>
      </c>
      <c r="E49" s="171">
        <v>15</v>
      </c>
      <c r="F49" s="171">
        <v>30</v>
      </c>
      <c r="G49" s="179">
        <f>G53*L40</f>
        <v>18.52941176470588</v>
      </c>
      <c r="H49" s="179">
        <f>H53*M40</f>
        <v>30.000000000000004</v>
      </c>
      <c r="I49" s="179">
        <f>I53*N40</f>
        <v>40</v>
      </c>
    </row>
    <row r="50" spans="3:9" x14ac:dyDescent="0.35">
      <c r="C50" s="173" t="s">
        <v>98</v>
      </c>
      <c r="D50" s="171">
        <v>25</v>
      </c>
      <c r="E50" s="171">
        <v>35</v>
      </c>
      <c r="F50" s="171">
        <v>50</v>
      </c>
      <c r="G50" s="179">
        <f>G54*L40</f>
        <v>11.117647058823527</v>
      </c>
      <c r="H50" s="179">
        <f t="shared" ref="H50:I50" si="4">H54*M40</f>
        <v>20</v>
      </c>
      <c r="I50" s="179">
        <f t="shared" si="4"/>
        <v>5</v>
      </c>
    </row>
    <row r="52" spans="3:9" x14ac:dyDescent="0.35">
      <c r="D52" s="187" t="s">
        <v>96</v>
      </c>
      <c r="E52" s="187"/>
      <c r="F52" s="187"/>
      <c r="G52" s="189" t="s">
        <v>31</v>
      </c>
      <c r="H52" s="189"/>
      <c r="I52" s="189"/>
    </row>
    <row r="53" spans="3:9" x14ac:dyDescent="0.35">
      <c r="C53" s="173" t="s">
        <v>99</v>
      </c>
      <c r="D53" s="171">
        <f>D49/E10</f>
        <v>0.15873015873015872</v>
      </c>
      <c r="E53" s="171">
        <f t="shared" ref="E53:F53" si="5">E49/M40</f>
        <v>0.25000000000000006</v>
      </c>
      <c r="F53" s="171">
        <f t="shared" si="5"/>
        <v>0.88235294117647078</v>
      </c>
      <c r="G53" s="172">
        <v>0.29411764705882354</v>
      </c>
      <c r="H53" s="172">
        <v>0.50000000000000011</v>
      </c>
      <c r="I53" s="172">
        <v>1.1764705882352944</v>
      </c>
    </row>
    <row r="54" spans="3:9" x14ac:dyDescent="0.35">
      <c r="C54" s="173" t="s">
        <v>100</v>
      </c>
      <c r="D54" s="171">
        <f>D50/L40</f>
        <v>0.39682539682539691</v>
      </c>
      <c r="E54" s="171">
        <f t="shared" ref="E54:F54" si="6">E50/M40</f>
        <v>0.58333333333333337</v>
      </c>
      <c r="F54" s="171">
        <f t="shared" si="6"/>
        <v>1.470588235294118</v>
      </c>
      <c r="G54" s="172">
        <v>0.17647058823529413</v>
      </c>
      <c r="H54" s="172">
        <v>0.33333333333333337</v>
      </c>
      <c r="I54" s="172">
        <v>0.1470588235294118</v>
      </c>
    </row>
  </sheetData>
  <mergeCells count="15">
    <mergeCell ref="D3:I3"/>
    <mergeCell ref="D12:I12"/>
    <mergeCell ref="D20:I20"/>
    <mergeCell ref="D26:I26"/>
    <mergeCell ref="K26:P26"/>
    <mergeCell ref="D34:I34"/>
    <mergeCell ref="O40:P40"/>
    <mergeCell ref="B35:C39"/>
    <mergeCell ref="K34:P34"/>
    <mergeCell ref="H39:I39"/>
    <mergeCell ref="D48:F48"/>
    <mergeCell ref="G48:I48"/>
    <mergeCell ref="D52:F52"/>
    <mergeCell ref="G52:I52"/>
    <mergeCell ref="J43:L43"/>
  </mergeCells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K120"/>
  <sheetViews>
    <sheetView showGridLines="0" topLeftCell="B1" zoomScale="70" zoomScaleNormal="70" workbookViewId="0">
      <selection activeCell="B2" sqref="B2:O15"/>
    </sheetView>
  </sheetViews>
  <sheetFormatPr baseColWidth="10" defaultColWidth="11.453125" defaultRowHeight="14.5" x14ac:dyDescent="0.35"/>
  <cols>
    <col min="1" max="1" width="15.36328125" customWidth="1"/>
    <col min="2" max="2" width="9.54296875" bestFit="1" customWidth="1"/>
    <col min="3" max="3" width="7.08984375" customWidth="1"/>
    <col min="4" max="12" width="9.54296875" customWidth="1"/>
    <col min="13" max="13" width="6.6328125" customWidth="1"/>
    <col min="14" max="14" width="7" customWidth="1"/>
    <col min="15" max="23" width="9.54296875" customWidth="1"/>
    <col min="35" max="35" width="15.453125" customWidth="1"/>
    <col min="37" max="37" width="12.54296875" bestFit="1" customWidth="1"/>
  </cols>
  <sheetData>
    <row r="2" spans="2:37" x14ac:dyDescent="0.35">
      <c r="D2" s="220" t="s">
        <v>106</v>
      </c>
      <c r="E2" s="220"/>
      <c r="F2" s="220"/>
      <c r="G2" s="202" t="s">
        <v>107</v>
      </c>
      <c r="H2" s="202"/>
      <c r="I2" s="202"/>
      <c r="J2" s="202" t="s">
        <v>108</v>
      </c>
      <c r="K2" s="202"/>
      <c r="L2" s="202"/>
      <c r="Q2">
        <v>0.2</v>
      </c>
      <c r="R2">
        <v>0.8</v>
      </c>
    </row>
    <row r="3" spans="2:37" x14ac:dyDescent="0.35">
      <c r="D3" s="220"/>
      <c r="E3" s="220"/>
      <c r="F3" s="220"/>
      <c r="G3" s="202"/>
      <c r="H3" s="202"/>
      <c r="I3" s="202"/>
      <c r="J3" s="202"/>
      <c r="K3" s="202"/>
      <c r="L3" s="202"/>
      <c r="X3" s="127"/>
      <c r="Y3" s="221" t="s">
        <v>81</v>
      </c>
      <c r="Z3" s="221"/>
      <c r="AA3" s="221"/>
      <c r="AB3" s="106"/>
      <c r="AC3" s="106"/>
    </row>
    <row r="4" spans="2:37" x14ac:dyDescent="0.35">
      <c r="C4" s="1"/>
      <c r="D4" s="78">
        <v>1</v>
      </c>
      <c r="E4" s="78">
        <v>2</v>
      </c>
      <c r="F4" s="78">
        <v>3</v>
      </c>
      <c r="G4" s="78">
        <v>1</v>
      </c>
      <c r="H4" s="78">
        <v>2</v>
      </c>
      <c r="I4" s="78">
        <v>3</v>
      </c>
      <c r="J4" s="104">
        <v>1</v>
      </c>
      <c r="K4" s="104">
        <v>2</v>
      </c>
      <c r="L4" s="104">
        <v>3</v>
      </c>
      <c r="M4" s="218" t="s">
        <v>74</v>
      </c>
      <c r="N4" s="219"/>
      <c r="O4" s="78" t="s">
        <v>44</v>
      </c>
      <c r="X4" s="105"/>
      <c r="Y4" s="221" t="s">
        <v>82</v>
      </c>
      <c r="Z4" s="221"/>
      <c r="AA4" s="221"/>
      <c r="AB4" s="106"/>
      <c r="AC4" s="106"/>
    </row>
    <row r="5" spans="2:37" ht="15" thickBot="1" x14ac:dyDescent="0.4">
      <c r="B5" s="220" t="s">
        <v>106</v>
      </c>
      <c r="C5" s="78">
        <v>1</v>
      </c>
      <c r="D5" s="125">
        <v>15</v>
      </c>
      <c r="E5" s="125">
        <v>9</v>
      </c>
      <c r="F5" s="125">
        <v>4</v>
      </c>
      <c r="G5" s="83">
        <v>8</v>
      </c>
      <c r="H5" s="83">
        <v>3</v>
      </c>
      <c r="I5" s="83">
        <v>1</v>
      </c>
      <c r="J5" s="83">
        <v>3</v>
      </c>
      <c r="K5" s="83">
        <v>2</v>
      </c>
      <c r="L5" s="83">
        <v>2</v>
      </c>
      <c r="M5" s="64">
        <v>35</v>
      </c>
      <c r="N5" s="224" t="s">
        <v>72</v>
      </c>
      <c r="O5" s="78">
        <f t="shared" ref="O5:O13" si="0">SUM(D5:M5)</f>
        <v>82</v>
      </c>
      <c r="Q5" s="64">
        <f>O5</f>
        <v>82</v>
      </c>
      <c r="R5" s="64">
        <f>O6</f>
        <v>91</v>
      </c>
      <c r="S5" s="64">
        <f>O7</f>
        <v>79</v>
      </c>
      <c r="T5" s="64">
        <f>O8</f>
        <v>424</v>
      </c>
      <c r="U5" s="64">
        <f>O9</f>
        <v>448</v>
      </c>
      <c r="V5" s="82">
        <f>O10</f>
        <v>340</v>
      </c>
      <c r="X5" s="128"/>
      <c r="Y5" s="221" t="s">
        <v>83</v>
      </c>
      <c r="Z5" s="221"/>
      <c r="AA5" s="221"/>
      <c r="AB5" s="221"/>
      <c r="AC5" s="125">
        <v>15</v>
      </c>
      <c r="AD5" s="125">
        <v>9</v>
      </c>
      <c r="AE5" s="125">
        <v>4</v>
      </c>
      <c r="AF5" s="83">
        <v>8</v>
      </c>
      <c r="AG5" s="83">
        <v>3</v>
      </c>
      <c r="AH5" s="83">
        <v>1</v>
      </c>
      <c r="AI5" s="83">
        <v>3</v>
      </c>
      <c r="AJ5" s="83">
        <v>2</v>
      </c>
      <c r="AK5" s="83">
        <v>2</v>
      </c>
    </row>
    <row r="6" spans="2:37" ht="15" thickTop="1" x14ac:dyDescent="0.35">
      <c r="B6" s="220"/>
      <c r="C6" s="78">
        <v>2</v>
      </c>
      <c r="D6" s="125">
        <v>5</v>
      </c>
      <c r="E6" s="125">
        <v>12</v>
      </c>
      <c r="F6" s="125">
        <v>9</v>
      </c>
      <c r="G6" s="83">
        <v>1</v>
      </c>
      <c r="H6" s="83">
        <v>9</v>
      </c>
      <c r="I6" s="83">
        <v>2</v>
      </c>
      <c r="J6" s="83">
        <v>4</v>
      </c>
      <c r="K6" s="83">
        <v>3</v>
      </c>
      <c r="L6" s="83">
        <v>1</v>
      </c>
      <c r="M6" s="64">
        <v>45</v>
      </c>
      <c r="N6" s="225"/>
      <c r="O6" s="78">
        <f t="shared" si="0"/>
        <v>91</v>
      </c>
      <c r="Q6" s="78">
        <f>Q5*(1-$Q$2)</f>
        <v>65.600000000000009</v>
      </c>
      <c r="R6" s="78">
        <f t="shared" ref="R6:S6" si="1">R5*(1-$Q$2)</f>
        <v>72.8</v>
      </c>
      <c r="S6" s="78">
        <f t="shared" si="1"/>
        <v>63.2</v>
      </c>
      <c r="T6" s="78">
        <f>T5*(1-$R$2)</f>
        <v>84.799999999999983</v>
      </c>
      <c r="U6" s="78">
        <f t="shared" ref="U6:V6" si="2">U5*(1-$R$2)</f>
        <v>89.59999999999998</v>
      </c>
      <c r="V6" s="78">
        <f t="shared" si="2"/>
        <v>67.999999999999986</v>
      </c>
      <c r="AC6" s="125">
        <v>5</v>
      </c>
      <c r="AD6" s="125">
        <v>12</v>
      </c>
      <c r="AE6" s="125">
        <v>9</v>
      </c>
      <c r="AF6" s="83">
        <v>1</v>
      </c>
      <c r="AG6" s="83">
        <v>9</v>
      </c>
      <c r="AH6" s="83">
        <v>2</v>
      </c>
      <c r="AI6" s="83">
        <v>4</v>
      </c>
      <c r="AJ6" s="83">
        <v>3</v>
      </c>
      <c r="AK6" s="83">
        <v>1</v>
      </c>
    </row>
    <row r="7" spans="2:37" x14ac:dyDescent="0.35">
      <c r="B7" s="220"/>
      <c r="C7" s="78">
        <v>3</v>
      </c>
      <c r="D7" s="125">
        <v>1</v>
      </c>
      <c r="E7" s="125">
        <v>4</v>
      </c>
      <c r="F7" s="125">
        <v>7</v>
      </c>
      <c r="G7" s="83">
        <v>1</v>
      </c>
      <c r="H7" s="83">
        <v>2</v>
      </c>
      <c r="I7" s="83">
        <v>10</v>
      </c>
      <c r="J7" s="83">
        <v>5</v>
      </c>
      <c r="K7" s="83">
        <v>6</v>
      </c>
      <c r="L7" s="83">
        <v>3</v>
      </c>
      <c r="M7" s="64">
        <v>40</v>
      </c>
      <c r="N7" s="225"/>
      <c r="O7" s="78">
        <f t="shared" si="0"/>
        <v>79</v>
      </c>
      <c r="Q7" s="78">
        <f>Q6</f>
        <v>65.600000000000009</v>
      </c>
      <c r="R7" s="78">
        <f t="shared" ref="R7:V10" si="3">R6</f>
        <v>72.8</v>
      </c>
      <c r="S7" s="78">
        <f t="shared" si="3"/>
        <v>63.2</v>
      </c>
      <c r="T7" s="78">
        <f t="shared" si="3"/>
        <v>84.799999999999983</v>
      </c>
      <c r="U7" s="78">
        <f t="shared" si="3"/>
        <v>89.59999999999998</v>
      </c>
      <c r="V7" s="78">
        <f t="shared" si="3"/>
        <v>67.999999999999986</v>
      </c>
      <c r="AC7" s="125">
        <v>1</v>
      </c>
      <c r="AD7" s="125">
        <v>4</v>
      </c>
      <c r="AE7" s="125">
        <v>7</v>
      </c>
      <c r="AF7" s="83">
        <v>1</v>
      </c>
      <c r="AG7" s="83">
        <v>2</v>
      </c>
      <c r="AH7" s="83">
        <v>10</v>
      </c>
      <c r="AI7" s="83">
        <v>5</v>
      </c>
      <c r="AJ7" s="83">
        <v>6</v>
      </c>
      <c r="AK7" s="83">
        <v>3</v>
      </c>
    </row>
    <row r="8" spans="2:37" x14ac:dyDescent="0.35">
      <c r="B8" s="202" t="s">
        <v>107</v>
      </c>
      <c r="C8" s="78">
        <v>1</v>
      </c>
      <c r="D8" s="83">
        <v>6</v>
      </c>
      <c r="E8" s="83">
        <v>2</v>
      </c>
      <c r="F8" s="83">
        <v>2</v>
      </c>
      <c r="G8" s="126">
        <v>120</v>
      </c>
      <c r="H8" s="126">
        <v>100</v>
      </c>
      <c r="I8" s="126">
        <v>53</v>
      </c>
      <c r="J8" s="126">
        <v>3</v>
      </c>
      <c r="K8" s="126">
        <v>2</v>
      </c>
      <c r="L8" s="126">
        <v>1</v>
      </c>
      <c r="M8" s="64">
        <v>135</v>
      </c>
      <c r="N8" s="215" t="s">
        <v>73</v>
      </c>
      <c r="O8" s="78">
        <f t="shared" si="0"/>
        <v>424</v>
      </c>
      <c r="Q8" s="78">
        <f t="shared" ref="Q8:Q10" si="4">Q7</f>
        <v>65.600000000000009</v>
      </c>
      <c r="R8" s="78">
        <f t="shared" si="3"/>
        <v>72.8</v>
      </c>
      <c r="S8" s="78">
        <f t="shared" si="3"/>
        <v>63.2</v>
      </c>
      <c r="T8" s="78">
        <f t="shared" si="3"/>
        <v>84.799999999999983</v>
      </c>
      <c r="U8" s="78">
        <f t="shared" si="3"/>
        <v>89.59999999999998</v>
      </c>
      <c r="V8" s="78">
        <f t="shared" si="3"/>
        <v>67.999999999999986</v>
      </c>
      <c r="AC8" s="83">
        <v>6</v>
      </c>
      <c r="AD8" s="83">
        <v>2</v>
      </c>
      <c r="AE8" s="83">
        <v>2</v>
      </c>
      <c r="AF8" s="126">
        <v>120</v>
      </c>
      <c r="AG8" s="126">
        <v>100</v>
      </c>
      <c r="AH8" s="126">
        <v>53</v>
      </c>
      <c r="AI8" s="126">
        <v>3</v>
      </c>
      <c r="AJ8" s="126">
        <v>2</v>
      </c>
      <c r="AK8" s="126">
        <v>1</v>
      </c>
    </row>
    <row r="9" spans="2:37" x14ac:dyDescent="0.35">
      <c r="B9" s="202"/>
      <c r="C9" s="78">
        <v>2</v>
      </c>
      <c r="D9" s="83">
        <v>5</v>
      </c>
      <c r="E9" s="83">
        <v>10</v>
      </c>
      <c r="F9" s="83">
        <v>1</v>
      </c>
      <c r="G9" s="126">
        <v>25</v>
      </c>
      <c r="H9" s="126">
        <v>60</v>
      </c>
      <c r="I9" s="126">
        <v>52</v>
      </c>
      <c r="J9" s="126">
        <v>2</v>
      </c>
      <c r="K9" s="126">
        <v>2</v>
      </c>
      <c r="L9" s="126">
        <v>3</v>
      </c>
      <c r="M9" s="64">
        <v>288</v>
      </c>
      <c r="N9" s="216"/>
      <c r="O9" s="78">
        <f t="shared" si="0"/>
        <v>448</v>
      </c>
      <c r="Q9" s="78">
        <f t="shared" si="4"/>
        <v>65.600000000000009</v>
      </c>
      <c r="R9" s="78">
        <f t="shared" si="3"/>
        <v>72.8</v>
      </c>
      <c r="S9" s="78">
        <f t="shared" si="3"/>
        <v>63.2</v>
      </c>
      <c r="T9" s="78">
        <f t="shared" si="3"/>
        <v>84.799999999999983</v>
      </c>
      <c r="U9" s="78">
        <f t="shared" si="3"/>
        <v>89.59999999999998</v>
      </c>
      <c r="V9" s="78">
        <f t="shared" si="3"/>
        <v>67.999999999999986</v>
      </c>
      <c r="AC9" s="83">
        <f>D9/(D9+D10)</f>
        <v>0.625</v>
      </c>
      <c r="AD9" s="83">
        <f t="shared" ref="AD9:AK9" si="5">E9/(E9+E10)</f>
        <v>0.625</v>
      </c>
      <c r="AE9" s="83">
        <f t="shared" si="5"/>
        <v>8.3333333333333329E-2</v>
      </c>
      <c r="AF9" s="83">
        <f t="shared" si="5"/>
        <v>0.67567567567567566</v>
      </c>
      <c r="AG9" s="183">
        <f t="shared" si="5"/>
        <v>0.68965517241379315</v>
      </c>
      <c r="AH9" s="183">
        <f t="shared" si="5"/>
        <v>0.53608247422680411</v>
      </c>
      <c r="AI9" s="83">
        <f t="shared" si="5"/>
        <v>0.33333333333333331</v>
      </c>
      <c r="AJ9" s="83">
        <f t="shared" si="5"/>
        <v>0.66666666666666663</v>
      </c>
      <c r="AK9" s="83">
        <f t="shared" si="5"/>
        <v>0.75</v>
      </c>
    </row>
    <row r="10" spans="2:37" x14ac:dyDescent="0.35">
      <c r="B10" s="202"/>
      <c r="C10" s="78">
        <v>3</v>
      </c>
      <c r="D10" s="83">
        <v>3</v>
      </c>
      <c r="E10" s="83">
        <v>6</v>
      </c>
      <c r="F10" s="83">
        <v>11</v>
      </c>
      <c r="G10" s="126">
        <v>12</v>
      </c>
      <c r="H10" s="126">
        <v>27</v>
      </c>
      <c r="I10" s="126">
        <v>45</v>
      </c>
      <c r="J10" s="126">
        <v>4</v>
      </c>
      <c r="K10" s="126">
        <v>1</v>
      </c>
      <c r="L10" s="126">
        <v>1</v>
      </c>
      <c r="M10" s="64">
        <v>230</v>
      </c>
      <c r="N10" s="217"/>
      <c r="O10" s="78">
        <f t="shared" si="0"/>
        <v>340</v>
      </c>
      <c r="Q10" s="78">
        <f t="shared" si="4"/>
        <v>65.600000000000009</v>
      </c>
      <c r="R10" s="78">
        <f t="shared" si="3"/>
        <v>72.8</v>
      </c>
      <c r="S10" s="78">
        <f t="shared" si="3"/>
        <v>63.2</v>
      </c>
      <c r="T10" s="78">
        <f t="shared" si="3"/>
        <v>84.799999999999983</v>
      </c>
      <c r="U10" s="78">
        <f t="shared" si="3"/>
        <v>89.59999999999998</v>
      </c>
      <c r="V10" s="78">
        <f t="shared" si="3"/>
        <v>67.999999999999986</v>
      </c>
      <c r="AC10" s="83">
        <f>1-AC9</f>
        <v>0.375</v>
      </c>
      <c r="AD10" s="83">
        <f t="shared" ref="AD10:AK10" si="6">1-AD9</f>
        <v>0.375</v>
      </c>
      <c r="AE10" s="83">
        <f t="shared" si="6"/>
        <v>0.91666666666666663</v>
      </c>
      <c r="AF10" s="83">
        <f t="shared" si="6"/>
        <v>0.32432432432432434</v>
      </c>
      <c r="AG10" s="183">
        <f t="shared" si="6"/>
        <v>0.31034482758620685</v>
      </c>
      <c r="AH10" s="183">
        <f t="shared" si="6"/>
        <v>0.46391752577319589</v>
      </c>
      <c r="AI10" s="83">
        <f t="shared" si="6"/>
        <v>0.66666666666666674</v>
      </c>
      <c r="AJ10" s="83">
        <f t="shared" si="6"/>
        <v>0.33333333333333337</v>
      </c>
      <c r="AK10" s="83">
        <f t="shared" si="6"/>
        <v>0.25</v>
      </c>
    </row>
    <row r="11" spans="2:37" x14ac:dyDescent="0.35">
      <c r="B11" s="202" t="s">
        <v>108</v>
      </c>
      <c r="C11" s="78">
        <v>1</v>
      </c>
      <c r="D11" s="83">
        <v>8</v>
      </c>
      <c r="E11" s="83">
        <v>1</v>
      </c>
      <c r="F11" s="83">
        <v>1</v>
      </c>
      <c r="G11" s="126">
        <v>6</v>
      </c>
      <c r="H11" s="126">
        <v>5</v>
      </c>
      <c r="I11" s="126">
        <v>3</v>
      </c>
      <c r="J11" s="126">
        <v>160</v>
      </c>
      <c r="K11" s="126">
        <v>120</v>
      </c>
      <c r="L11" s="126">
        <v>70</v>
      </c>
      <c r="M11" s="64">
        <v>212</v>
      </c>
      <c r="N11" s="215" t="s">
        <v>80</v>
      </c>
      <c r="O11" s="78">
        <f t="shared" si="0"/>
        <v>586</v>
      </c>
      <c r="Q11" s="78"/>
      <c r="R11" s="78"/>
      <c r="S11" s="78"/>
      <c r="T11" s="78"/>
      <c r="U11" s="78"/>
      <c r="V11" s="78"/>
      <c r="AC11" s="83">
        <v>8</v>
      </c>
      <c r="AD11" s="83">
        <v>1</v>
      </c>
      <c r="AE11" s="83">
        <v>1</v>
      </c>
      <c r="AF11" s="126">
        <v>6</v>
      </c>
      <c r="AG11" s="126">
        <v>5</v>
      </c>
      <c r="AH11" s="126">
        <v>3</v>
      </c>
      <c r="AI11" s="126">
        <v>160</v>
      </c>
      <c r="AJ11" s="126">
        <v>120</v>
      </c>
      <c r="AK11" s="126">
        <v>70</v>
      </c>
    </row>
    <row r="12" spans="2:37" x14ac:dyDescent="0.35">
      <c r="B12" s="202"/>
      <c r="C12" s="78">
        <v>2</v>
      </c>
      <c r="D12" s="83">
        <v>3</v>
      </c>
      <c r="E12" s="83">
        <v>9</v>
      </c>
      <c r="F12" s="83">
        <v>2</v>
      </c>
      <c r="G12" s="126">
        <v>2</v>
      </c>
      <c r="H12" s="126">
        <v>10</v>
      </c>
      <c r="I12" s="126">
        <v>6</v>
      </c>
      <c r="J12" s="126">
        <v>40</v>
      </c>
      <c r="K12" s="126">
        <v>85</v>
      </c>
      <c r="L12" s="126">
        <v>76</v>
      </c>
      <c r="M12" s="64">
        <v>350</v>
      </c>
      <c r="N12" s="216"/>
      <c r="O12" s="78">
        <f t="shared" si="0"/>
        <v>583</v>
      </c>
      <c r="Q12" s="78"/>
      <c r="R12" s="78"/>
      <c r="S12" s="78"/>
      <c r="T12" s="78"/>
      <c r="U12" s="78"/>
      <c r="V12" s="78"/>
      <c r="AC12" s="83">
        <v>3</v>
      </c>
      <c r="AD12" s="83">
        <v>9</v>
      </c>
      <c r="AE12" s="83">
        <v>2</v>
      </c>
      <c r="AF12" s="126">
        <v>2</v>
      </c>
      <c r="AG12" s="126">
        <v>10</v>
      </c>
      <c r="AH12" s="126">
        <v>6</v>
      </c>
      <c r="AI12" s="126">
        <v>40</v>
      </c>
      <c r="AJ12" s="126">
        <v>85</v>
      </c>
      <c r="AK12" s="126">
        <v>76</v>
      </c>
    </row>
    <row r="13" spans="2:37" x14ac:dyDescent="0.35">
      <c r="B13" s="202"/>
      <c r="C13" s="78">
        <v>3</v>
      </c>
      <c r="D13" s="83">
        <v>1</v>
      </c>
      <c r="E13" s="83">
        <v>2</v>
      </c>
      <c r="F13" s="83">
        <v>10</v>
      </c>
      <c r="G13" s="126">
        <v>2</v>
      </c>
      <c r="H13" s="126">
        <v>1</v>
      </c>
      <c r="I13" s="126">
        <v>11</v>
      </c>
      <c r="J13" s="126">
        <v>21</v>
      </c>
      <c r="K13" s="126">
        <v>37</v>
      </c>
      <c r="L13" s="126">
        <v>63</v>
      </c>
      <c r="M13" s="64">
        <v>280</v>
      </c>
      <c r="N13" s="217"/>
      <c r="O13" s="78">
        <f t="shared" si="0"/>
        <v>428</v>
      </c>
      <c r="Q13" s="78"/>
      <c r="R13" s="78"/>
      <c r="S13" s="78"/>
      <c r="T13" s="78"/>
      <c r="U13" s="78"/>
      <c r="V13" s="78"/>
      <c r="AC13" s="83">
        <v>1</v>
      </c>
      <c r="AD13" s="83">
        <v>2</v>
      </c>
      <c r="AE13" s="83">
        <v>10</v>
      </c>
      <c r="AF13" s="126">
        <v>2</v>
      </c>
      <c r="AG13" s="126">
        <v>1</v>
      </c>
      <c r="AH13" s="126">
        <v>11</v>
      </c>
      <c r="AI13" s="126">
        <v>21</v>
      </c>
      <c r="AJ13" s="126">
        <v>37</v>
      </c>
      <c r="AK13" s="126">
        <v>63</v>
      </c>
    </row>
    <row r="14" spans="2:37" x14ac:dyDescent="0.35">
      <c r="C14" s="78" t="s">
        <v>5</v>
      </c>
      <c r="D14" s="79">
        <f>O5-SUM(D5:D13)</f>
        <v>35</v>
      </c>
      <c r="E14" s="79">
        <f>O6-SUM(E5:E13)</f>
        <v>36</v>
      </c>
      <c r="F14" s="79">
        <f>O7-SUM(F5:F13)</f>
        <v>32</v>
      </c>
      <c r="G14" s="79">
        <f>O8-SUM(G5:G13)</f>
        <v>247</v>
      </c>
      <c r="H14" s="79">
        <f>O9-SUM(H5:H13)</f>
        <v>231</v>
      </c>
      <c r="I14" s="79">
        <f>O10-SUM(I5:I13)</f>
        <v>157</v>
      </c>
      <c r="J14" s="79">
        <f>O11-SUM(J5:J13)</f>
        <v>344</v>
      </c>
      <c r="K14" s="79">
        <f>O12-SUM(K5:K13)</f>
        <v>325</v>
      </c>
      <c r="L14" s="79">
        <f>O13-SUM(L5:L13)</f>
        <v>208</v>
      </c>
      <c r="M14" s="1"/>
      <c r="N14" s="1"/>
      <c r="O14" s="1"/>
      <c r="Q14" s="78">
        <f t="shared" ref="Q14:V14" si="7">Q10</f>
        <v>65.600000000000009</v>
      </c>
      <c r="R14" s="78">
        <f t="shared" si="7"/>
        <v>72.8</v>
      </c>
      <c r="S14" s="78">
        <f t="shared" si="7"/>
        <v>63.2</v>
      </c>
      <c r="T14" s="78">
        <f t="shared" si="7"/>
        <v>84.799999999999983</v>
      </c>
      <c r="U14" s="78">
        <f t="shared" si="7"/>
        <v>89.59999999999998</v>
      </c>
      <c r="V14" s="78">
        <f t="shared" si="7"/>
        <v>67.999999999999986</v>
      </c>
    </row>
    <row r="15" spans="2:37" x14ac:dyDescent="0.35">
      <c r="C15" s="78" t="s">
        <v>44</v>
      </c>
      <c r="D15" s="78">
        <f t="shared" ref="D15:L15" si="8">SUM(D5:D14)</f>
        <v>82</v>
      </c>
      <c r="E15" s="78">
        <f t="shared" si="8"/>
        <v>91</v>
      </c>
      <c r="F15" s="78">
        <f t="shared" si="8"/>
        <v>79</v>
      </c>
      <c r="G15" s="78">
        <f t="shared" si="8"/>
        <v>424</v>
      </c>
      <c r="H15" s="78">
        <f t="shared" si="8"/>
        <v>448</v>
      </c>
      <c r="I15" s="78">
        <f t="shared" si="8"/>
        <v>340</v>
      </c>
      <c r="J15" s="78">
        <f t="shared" si="8"/>
        <v>586</v>
      </c>
      <c r="K15" s="78">
        <f t="shared" si="8"/>
        <v>583</v>
      </c>
      <c r="L15" s="78">
        <f t="shared" si="8"/>
        <v>428</v>
      </c>
    </row>
    <row r="16" spans="2:37" ht="15" thickBot="1" x14ac:dyDescent="0.4">
      <c r="C16" s="106"/>
      <c r="J16" s="106"/>
      <c r="K16" s="106"/>
      <c r="L16" s="106"/>
      <c r="AC16" s="83"/>
      <c r="AD16" s="83"/>
      <c r="AE16" s="83"/>
      <c r="AF16" s="126"/>
      <c r="AG16" s="126"/>
      <c r="AH16" s="126"/>
      <c r="AI16" s="126"/>
      <c r="AJ16" s="126"/>
    </row>
    <row r="17" spans="2:36" x14ac:dyDescent="0.35">
      <c r="B17" s="209" t="s">
        <v>104</v>
      </c>
      <c r="C17" s="210"/>
      <c r="D17" s="210"/>
      <c r="E17" s="210"/>
      <c r="F17" s="210"/>
      <c r="G17" s="210"/>
      <c r="H17" s="210"/>
      <c r="I17" s="210"/>
      <c r="J17" s="210"/>
      <c r="K17" s="210"/>
      <c r="L17" s="211"/>
      <c r="O17" s="209" t="s">
        <v>101</v>
      </c>
      <c r="P17" s="210"/>
      <c r="Q17" s="210"/>
      <c r="R17" s="210"/>
      <c r="S17" s="210"/>
      <c r="T17" s="210"/>
      <c r="U17" s="210"/>
      <c r="V17" s="210"/>
      <c r="W17" s="210"/>
      <c r="X17" s="210"/>
      <c r="Y17" s="211"/>
      <c r="AC17" s="83">
        <v>7</v>
      </c>
      <c r="AD17" s="83">
        <v>5</v>
      </c>
      <c r="AE17" s="83">
        <v>3</v>
      </c>
      <c r="AF17" s="126">
        <v>21</v>
      </c>
      <c r="AG17" s="126">
        <v>23</v>
      </c>
      <c r="AH17" s="126">
        <v>12</v>
      </c>
      <c r="AI17" s="126">
        <v>12</v>
      </c>
      <c r="AJ17" s="126">
        <v>56</v>
      </c>
    </row>
    <row r="18" spans="2:36" ht="15" thickBot="1" x14ac:dyDescent="0.4">
      <c r="B18" s="212"/>
      <c r="C18" s="213"/>
      <c r="D18" s="213"/>
      <c r="E18" s="213"/>
      <c r="F18" s="213"/>
      <c r="G18" s="213"/>
      <c r="H18" s="213"/>
      <c r="I18" s="213"/>
      <c r="J18" s="213"/>
      <c r="K18" s="213"/>
      <c r="L18" s="214"/>
      <c r="O18" s="212"/>
      <c r="P18" s="213"/>
      <c r="Q18" s="213"/>
      <c r="R18" s="213"/>
      <c r="S18" s="213"/>
      <c r="T18" s="213"/>
      <c r="U18" s="213"/>
      <c r="V18" s="213"/>
      <c r="W18" s="213"/>
      <c r="X18" s="213"/>
      <c r="Y18" s="214"/>
      <c r="AC18" s="83"/>
      <c r="AD18" s="83"/>
      <c r="AE18" s="83"/>
      <c r="AF18" s="126"/>
      <c r="AG18" s="126"/>
      <c r="AH18" s="126"/>
      <c r="AI18" s="126"/>
      <c r="AJ18" s="126"/>
    </row>
    <row r="19" spans="2:36" ht="15" thickBot="1" x14ac:dyDescent="0.4">
      <c r="F19" s="129"/>
      <c r="G19" s="129"/>
      <c r="H19" s="129"/>
    </row>
    <row r="20" spans="2:36" ht="15" thickBot="1" x14ac:dyDescent="0.4">
      <c r="D20" s="199" t="s">
        <v>84</v>
      </c>
      <c r="E20" s="200"/>
      <c r="F20" s="201"/>
      <c r="G20" s="199" t="s">
        <v>79</v>
      </c>
      <c r="H20" s="200"/>
      <c r="I20" s="201"/>
      <c r="J20" s="199" t="s">
        <v>80</v>
      </c>
      <c r="K20" s="200"/>
      <c r="L20" s="201"/>
      <c r="Q20" s="199" t="s">
        <v>84</v>
      </c>
      <c r="R20" s="200"/>
      <c r="S20" s="201"/>
      <c r="T20" s="199" t="s">
        <v>79</v>
      </c>
      <c r="U20" s="200"/>
      <c r="V20" s="201"/>
      <c r="W20" s="199" t="s">
        <v>80</v>
      </c>
      <c r="X20" s="200"/>
      <c r="Y20" s="201"/>
    </row>
    <row r="21" spans="2:36" ht="15" thickBot="1" x14ac:dyDescent="0.4">
      <c r="C21" s="138" t="s">
        <v>86</v>
      </c>
      <c r="D21" s="136">
        <v>1</v>
      </c>
      <c r="E21" s="136">
        <v>2</v>
      </c>
      <c r="F21" s="136">
        <v>3</v>
      </c>
      <c r="G21" s="136">
        <v>1</v>
      </c>
      <c r="H21" s="136">
        <v>2</v>
      </c>
      <c r="I21" s="136">
        <v>3</v>
      </c>
      <c r="J21" s="136">
        <v>1</v>
      </c>
      <c r="K21" s="136">
        <v>2</v>
      </c>
      <c r="L21" s="136">
        <v>3</v>
      </c>
      <c r="P21" s="138" t="s">
        <v>86</v>
      </c>
      <c r="Q21" s="136">
        <v>1</v>
      </c>
      <c r="R21" s="136">
        <v>2</v>
      </c>
      <c r="S21" s="136">
        <v>3</v>
      </c>
      <c r="T21" s="136">
        <v>1</v>
      </c>
      <c r="U21" s="136">
        <v>2</v>
      </c>
      <c r="V21" s="136">
        <v>3</v>
      </c>
      <c r="W21" s="136">
        <v>1</v>
      </c>
      <c r="X21" s="136">
        <v>2</v>
      </c>
      <c r="Y21" s="136">
        <v>3</v>
      </c>
      <c r="AB21" s="1">
        <v>1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</row>
    <row r="22" spans="2:36" ht="12.65" customHeight="1" thickBot="1" x14ac:dyDescent="0.4">
      <c r="B22" s="206" t="s">
        <v>85</v>
      </c>
      <c r="C22" s="136">
        <v>1</v>
      </c>
      <c r="D22" s="113">
        <f>D5/D15</f>
        <v>0.18292682926829268</v>
      </c>
      <c r="E22" s="114">
        <f t="shared" ref="E22:I27" si="9">E5/E$15</f>
        <v>9.8901098901098897E-2</v>
      </c>
      <c r="F22" s="115">
        <f t="shared" si="9"/>
        <v>5.0632911392405063E-2</v>
      </c>
      <c r="G22" s="107">
        <f t="shared" si="9"/>
        <v>1.8867924528301886E-2</v>
      </c>
      <c r="H22" s="108">
        <f t="shared" si="9"/>
        <v>6.6964285714285711E-3</v>
      </c>
      <c r="I22" s="109">
        <f t="shared" si="9"/>
        <v>2.9411764705882353E-3</v>
      </c>
      <c r="J22" s="107">
        <f t="shared" ref="J22:L22" si="10">J5/J$15</f>
        <v>5.1194539249146756E-3</v>
      </c>
      <c r="K22" s="108">
        <f t="shared" si="10"/>
        <v>3.4305317324185248E-3</v>
      </c>
      <c r="L22" s="109">
        <f t="shared" si="10"/>
        <v>4.6728971962616819E-3</v>
      </c>
      <c r="O22" s="165" t="s">
        <v>85</v>
      </c>
      <c r="P22" s="136">
        <v>1</v>
      </c>
      <c r="Q22" s="113">
        <f t="shared" ref="Q22:Q30" si="11">AB21-D22</f>
        <v>0.81707317073170738</v>
      </c>
      <c r="R22" s="114">
        <f t="shared" ref="R22:R30" si="12">AC21-E22</f>
        <v>-9.8901098901098897E-2</v>
      </c>
      <c r="S22" s="115">
        <f>AD21-F22</f>
        <v>-5.0632911392405063E-2</v>
      </c>
      <c r="T22" s="107">
        <f t="shared" ref="T22:T30" si="13">AE21-G22</f>
        <v>-1.8867924528301886E-2</v>
      </c>
      <c r="U22" s="108">
        <f t="shared" ref="U22:U30" si="14">AF21-H22</f>
        <v>-6.6964285714285711E-3</v>
      </c>
      <c r="V22" s="109">
        <f t="shared" ref="V22:V30" si="15">AG21-I22</f>
        <v>-2.9411764705882353E-3</v>
      </c>
      <c r="W22" s="107">
        <f t="shared" ref="W22:W30" si="16">AH21-J22</f>
        <v>-5.1194539249146756E-3</v>
      </c>
      <c r="X22" s="108">
        <f t="shared" ref="X22:X30" si="17">AI21-K22</f>
        <v>-3.4305317324185248E-3</v>
      </c>
      <c r="Y22" s="109">
        <f t="shared" ref="Y22:Y30" si="18">AJ21-L22</f>
        <v>-4.6728971962616819E-3</v>
      </c>
      <c r="AB22" s="1">
        <v>0</v>
      </c>
      <c r="AC22" s="1">
        <v>1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</row>
    <row r="23" spans="2:36" ht="12.65" customHeight="1" thickBot="1" x14ac:dyDescent="0.4">
      <c r="B23" s="207"/>
      <c r="C23" s="137">
        <v>2</v>
      </c>
      <c r="D23" s="116">
        <f>D6/D15</f>
        <v>6.097560975609756E-2</v>
      </c>
      <c r="E23" s="117">
        <f t="shared" si="9"/>
        <v>0.13186813186813187</v>
      </c>
      <c r="F23" s="118">
        <f t="shared" si="9"/>
        <v>0.11392405063291139</v>
      </c>
      <c r="G23" s="110">
        <f t="shared" si="9"/>
        <v>2.3584905660377358E-3</v>
      </c>
      <c r="H23" s="111">
        <f t="shared" si="9"/>
        <v>2.0089285714285716E-2</v>
      </c>
      <c r="I23" s="112">
        <f t="shared" si="9"/>
        <v>5.8823529411764705E-3</v>
      </c>
      <c r="J23" s="110">
        <f t="shared" ref="J23:L23" si="19">J6/J$15</f>
        <v>6.8259385665529011E-3</v>
      </c>
      <c r="K23" s="111">
        <f t="shared" si="19"/>
        <v>5.1457975986277877E-3</v>
      </c>
      <c r="L23" s="112">
        <f t="shared" si="19"/>
        <v>2.3364485981308409E-3</v>
      </c>
      <c r="O23" s="166"/>
      <c r="P23" s="137">
        <v>2</v>
      </c>
      <c r="Q23" s="116">
        <f t="shared" si="11"/>
        <v>-6.097560975609756E-2</v>
      </c>
      <c r="R23" s="117">
        <f t="shared" si="12"/>
        <v>0.86813186813186816</v>
      </c>
      <c r="S23" s="118">
        <f t="shared" ref="S23:S30" si="20">AD22-F23</f>
        <v>-0.11392405063291139</v>
      </c>
      <c r="T23" s="110">
        <f t="shared" si="13"/>
        <v>-2.3584905660377358E-3</v>
      </c>
      <c r="U23" s="111">
        <f t="shared" si="14"/>
        <v>-2.0089285714285716E-2</v>
      </c>
      <c r="V23" s="112">
        <f t="shared" si="15"/>
        <v>-5.8823529411764705E-3</v>
      </c>
      <c r="W23" s="110">
        <f t="shared" si="16"/>
        <v>-6.8259385665529011E-3</v>
      </c>
      <c r="X23" s="111">
        <f t="shared" si="17"/>
        <v>-5.1457975986277877E-3</v>
      </c>
      <c r="Y23" s="112">
        <f t="shared" si="18"/>
        <v>-2.3364485981308409E-3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</row>
    <row r="24" spans="2:36" ht="12.65" customHeight="1" thickBot="1" x14ac:dyDescent="0.4">
      <c r="B24" s="208"/>
      <c r="C24" s="137">
        <v>3</v>
      </c>
      <c r="D24" s="116">
        <f>D7/$D$15</f>
        <v>1.2195121951219513E-2</v>
      </c>
      <c r="E24" s="117">
        <f t="shared" si="9"/>
        <v>4.3956043956043959E-2</v>
      </c>
      <c r="F24" s="118">
        <f t="shared" si="9"/>
        <v>8.8607594936708861E-2</v>
      </c>
      <c r="G24" s="110">
        <f t="shared" si="9"/>
        <v>2.3584905660377358E-3</v>
      </c>
      <c r="H24" s="111">
        <f t="shared" si="9"/>
        <v>4.464285714285714E-3</v>
      </c>
      <c r="I24" s="112">
        <f t="shared" si="9"/>
        <v>2.9411764705882353E-2</v>
      </c>
      <c r="J24" s="110">
        <f t="shared" ref="J24:L24" si="21">J7/J$15</f>
        <v>8.5324232081911266E-3</v>
      </c>
      <c r="K24" s="111">
        <f t="shared" si="21"/>
        <v>1.0291595197255575E-2</v>
      </c>
      <c r="L24" s="112">
        <f t="shared" si="21"/>
        <v>7.0093457943925233E-3</v>
      </c>
      <c r="O24" s="167"/>
      <c r="P24" s="137">
        <v>3</v>
      </c>
      <c r="Q24" s="116">
        <f t="shared" si="11"/>
        <v>-1.2195121951219513E-2</v>
      </c>
      <c r="R24" s="117">
        <f t="shared" si="12"/>
        <v>-4.3956043956043959E-2</v>
      </c>
      <c r="S24" s="118">
        <f t="shared" si="20"/>
        <v>0.91139240506329111</v>
      </c>
      <c r="T24" s="110">
        <f t="shared" si="13"/>
        <v>-2.3584905660377358E-3</v>
      </c>
      <c r="U24" s="111">
        <f t="shared" si="14"/>
        <v>-4.464285714285714E-3</v>
      </c>
      <c r="V24" s="112">
        <f t="shared" si="15"/>
        <v>-2.9411764705882353E-2</v>
      </c>
      <c r="W24" s="110">
        <f t="shared" si="16"/>
        <v>-8.5324232081911266E-3</v>
      </c>
      <c r="X24" s="111">
        <f t="shared" si="17"/>
        <v>-1.0291595197255575E-2</v>
      </c>
      <c r="Y24" s="112">
        <f t="shared" si="18"/>
        <v>-7.0093457943925233E-3</v>
      </c>
      <c r="AB24" s="1">
        <v>0</v>
      </c>
      <c r="AC24" s="1">
        <v>0</v>
      </c>
      <c r="AD24" s="1">
        <v>0</v>
      </c>
      <c r="AE24" s="1">
        <v>1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</row>
    <row r="25" spans="2:36" ht="12.65" customHeight="1" thickBot="1" x14ac:dyDescent="0.4">
      <c r="B25" s="206" t="s">
        <v>79</v>
      </c>
      <c r="C25" s="137">
        <v>1</v>
      </c>
      <c r="D25" s="107">
        <f>D8/$D$15</f>
        <v>7.3170731707317069E-2</v>
      </c>
      <c r="E25" s="108">
        <f t="shared" si="9"/>
        <v>2.197802197802198E-2</v>
      </c>
      <c r="F25" s="109">
        <f t="shared" si="9"/>
        <v>2.5316455696202531E-2</v>
      </c>
      <c r="G25" s="119">
        <f t="shared" si="9"/>
        <v>0.28301886792452829</v>
      </c>
      <c r="H25" s="120">
        <f t="shared" si="9"/>
        <v>0.22321428571428573</v>
      </c>
      <c r="I25" s="121">
        <f t="shared" si="9"/>
        <v>0.15588235294117647</v>
      </c>
      <c r="J25" s="119">
        <f t="shared" ref="J25:L25" si="22">J8/J$15</f>
        <v>5.1194539249146756E-3</v>
      </c>
      <c r="K25" s="120">
        <f t="shared" si="22"/>
        <v>3.4305317324185248E-3</v>
      </c>
      <c r="L25" s="121">
        <f t="shared" si="22"/>
        <v>2.3364485981308409E-3</v>
      </c>
      <c r="O25" s="165" t="s">
        <v>79</v>
      </c>
      <c r="P25" s="137">
        <v>1</v>
      </c>
      <c r="Q25" s="107">
        <f t="shared" si="11"/>
        <v>-7.3170731707317069E-2</v>
      </c>
      <c r="R25" s="108">
        <f t="shared" si="12"/>
        <v>-2.197802197802198E-2</v>
      </c>
      <c r="S25" s="109">
        <f t="shared" si="20"/>
        <v>-2.5316455696202531E-2</v>
      </c>
      <c r="T25" s="119">
        <f t="shared" si="13"/>
        <v>0.71698113207547176</v>
      </c>
      <c r="U25" s="120">
        <f t="shared" si="14"/>
        <v>-0.22321428571428573</v>
      </c>
      <c r="V25" s="121">
        <f t="shared" si="15"/>
        <v>-0.15588235294117647</v>
      </c>
      <c r="W25" s="119">
        <f t="shared" si="16"/>
        <v>-5.1194539249146756E-3</v>
      </c>
      <c r="X25" s="120">
        <f t="shared" si="17"/>
        <v>-3.4305317324185248E-3</v>
      </c>
      <c r="Y25" s="121">
        <f t="shared" si="18"/>
        <v>-2.3364485981308409E-3</v>
      </c>
      <c r="AB25" s="1">
        <v>0</v>
      </c>
      <c r="AC25" s="1">
        <v>0</v>
      </c>
      <c r="AD25" s="1">
        <v>0</v>
      </c>
      <c r="AE25" s="1">
        <v>0</v>
      </c>
      <c r="AF25" s="1">
        <v>1</v>
      </c>
      <c r="AG25" s="1">
        <v>0</v>
      </c>
      <c r="AH25" s="1">
        <v>0</v>
      </c>
      <c r="AI25" s="1">
        <v>0</v>
      </c>
      <c r="AJ25" s="1">
        <v>0</v>
      </c>
    </row>
    <row r="26" spans="2:36" ht="12.65" customHeight="1" thickBot="1" x14ac:dyDescent="0.4">
      <c r="B26" s="207"/>
      <c r="C26" s="137">
        <v>2</v>
      </c>
      <c r="D26" s="110">
        <f>D9/$D$15</f>
        <v>6.097560975609756E-2</v>
      </c>
      <c r="E26" s="111">
        <f t="shared" si="9"/>
        <v>0.10989010989010989</v>
      </c>
      <c r="F26" s="112">
        <f t="shared" si="9"/>
        <v>1.2658227848101266E-2</v>
      </c>
      <c r="G26" s="122">
        <f t="shared" si="9"/>
        <v>5.8962264150943397E-2</v>
      </c>
      <c r="H26" s="123">
        <f t="shared" si="9"/>
        <v>0.13392857142857142</v>
      </c>
      <c r="I26" s="124">
        <f t="shared" si="9"/>
        <v>0.15294117647058825</v>
      </c>
      <c r="J26" s="122">
        <f t="shared" ref="J26:L26" si="23">J9/J$15</f>
        <v>3.4129692832764505E-3</v>
      </c>
      <c r="K26" s="123">
        <f t="shared" si="23"/>
        <v>3.4305317324185248E-3</v>
      </c>
      <c r="L26" s="124">
        <f t="shared" si="23"/>
        <v>7.0093457943925233E-3</v>
      </c>
      <c r="O26" s="166"/>
      <c r="P26" s="137">
        <v>2</v>
      </c>
      <c r="Q26" s="110">
        <f t="shared" si="11"/>
        <v>-6.097560975609756E-2</v>
      </c>
      <c r="R26" s="111">
        <f t="shared" si="12"/>
        <v>-0.10989010989010989</v>
      </c>
      <c r="S26" s="112">
        <f t="shared" si="20"/>
        <v>-1.2658227848101266E-2</v>
      </c>
      <c r="T26" s="122">
        <f t="shared" si="13"/>
        <v>-5.8962264150943397E-2</v>
      </c>
      <c r="U26" s="123">
        <f t="shared" si="14"/>
        <v>0.8660714285714286</v>
      </c>
      <c r="V26" s="124">
        <f t="shared" si="15"/>
        <v>-0.15294117647058825</v>
      </c>
      <c r="W26" s="122">
        <f t="shared" si="16"/>
        <v>-3.4129692832764505E-3</v>
      </c>
      <c r="X26" s="123">
        <f t="shared" si="17"/>
        <v>-3.4305317324185248E-3</v>
      </c>
      <c r="Y26" s="124">
        <f t="shared" si="18"/>
        <v>-7.0093457943925233E-3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1</v>
      </c>
      <c r="AH26" s="1">
        <v>0</v>
      </c>
      <c r="AI26" s="1">
        <v>0</v>
      </c>
      <c r="AJ26" s="1">
        <v>0</v>
      </c>
    </row>
    <row r="27" spans="2:36" ht="12.65" customHeight="1" thickBot="1" x14ac:dyDescent="0.4">
      <c r="B27" s="208"/>
      <c r="C27" s="137">
        <v>3</v>
      </c>
      <c r="D27" s="110">
        <f>D10/$D$15</f>
        <v>3.6585365853658534E-2</v>
      </c>
      <c r="E27" s="111">
        <f t="shared" si="9"/>
        <v>6.5934065934065936E-2</v>
      </c>
      <c r="F27" s="112">
        <f t="shared" si="9"/>
        <v>0.13924050632911392</v>
      </c>
      <c r="G27" s="122">
        <f t="shared" si="9"/>
        <v>2.8301886792452831E-2</v>
      </c>
      <c r="H27" s="123">
        <f t="shared" si="9"/>
        <v>6.0267857142857144E-2</v>
      </c>
      <c r="I27" s="124">
        <f t="shared" si="9"/>
        <v>0.13235294117647059</v>
      </c>
      <c r="J27" s="122">
        <f>J10/J$15</f>
        <v>6.8259385665529011E-3</v>
      </c>
      <c r="K27" s="123">
        <f>K10/K$15</f>
        <v>1.7152658662092624E-3</v>
      </c>
      <c r="L27" s="124">
        <f>L10/L$15</f>
        <v>2.3364485981308409E-3</v>
      </c>
      <c r="O27" s="167"/>
      <c r="P27" s="137">
        <v>3</v>
      </c>
      <c r="Q27" s="110">
        <f t="shared" si="11"/>
        <v>-3.6585365853658534E-2</v>
      </c>
      <c r="R27" s="111">
        <f t="shared" si="12"/>
        <v>-6.5934065934065936E-2</v>
      </c>
      <c r="S27" s="112">
        <f t="shared" si="20"/>
        <v>-0.13924050632911392</v>
      </c>
      <c r="T27" s="122">
        <f t="shared" si="13"/>
        <v>-2.8301886792452831E-2</v>
      </c>
      <c r="U27" s="123">
        <f t="shared" si="14"/>
        <v>-6.0267857142857144E-2</v>
      </c>
      <c r="V27" s="124">
        <f t="shared" si="15"/>
        <v>0.86764705882352944</v>
      </c>
      <c r="W27" s="122">
        <f t="shared" si="16"/>
        <v>-6.8259385665529011E-3</v>
      </c>
      <c r="X27" s="123">
        <f t="shared" si="17"/>
        <v>-1.7152658662092624E-3</v>
      </c>
      <c r="Y27" s="124">
        <f t="shared" si="18"/>
        <v>-2.3364485981308409E-3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</row>
    <row r="28" spans="2:36" ht="15" thickBot="1" x14ac:dyDescent="0.4">
      <c r="B28" s="206" t="s">
        <v>80</v>
      </c>
      <c r="C28" s="137">
        <v>1</v>
      </c>
      <c r="D28" s="107">
        <f>D11/D$15</f>
        <v>9.7560975609756101E-2</v>
      </c>
      <c r="E28" s="108">
        <f t="shared" ref="E28:L28" si="24">E11/E$15</f>
        <v>1.098901098901099E-2</v>
      </c>
      <c r="F28" s="109">
        <f t="shared" si="24"/>
        <v>1.2658227848101266E-2</v>
      </c>
      <c r="G28" s="119">
        <f t="shared" si="24"/>
        <v>1.4150943396226415E-2</v>
      </c>
      <c r="H28" s="120">
        <f t="shared" si="24"/>
        <v>1.1160714285714286E-2</v>
      </c>
      <c r="I28" s="121">
        <f t="shared" si="24"/>
        <v>8.8235294117647058E-3</v>
      </c>
      <c r="J28" s="119">
        <f t="shared" si="24"/>
        <v>0.27303754266211605</v>
      </c>
      <c r="K28" s="120">
        <f t="shared" si="24"/>
        <v>0.2058319039451115</v>
      </c>
      <c r="L28" s="121">
        <f t="shared" si="24"/>
        <v>0.16355140186915887</v>
      </c>
      <c r="O28" s="165" t="s">
        <v>80</v>
      </c>
      <c r="P28" s="137">
        <v>1</v>
      </c>
      <c r="Q28" s="107">
        <f t="shared" si="11"/>
        <v>-9.7560975609756101E-2</v>
      </c>
      <c r="R28" s="108">
        <f t="shared" si="12"/>
        <v>-1.098901098901099E-2</v>
      </c>
      <c r="S28" s="109">
        <f t="shared" si="20"/>
        <v>-1.2658227848101266E-2</v>
      </c>
      <c r="T28" s="119">
        <f t="shared" si="13"/>
        <v>-1.4150943396226415E-2</v>
      </c>
      <c r="U28" s="120">
        <f t="shared" si="14"/>
        <v>-1.1160714285714286E-2</v>
      </c>
      <c r="V28" s="121">
        <f t="shared" si="15"/>
        <v>-8.8235294117647058E-3</v>
      </c>
      <c r="W28" s="119">
        <f t="shared" si="16"/>
        <v>0.72696245733788389</v>
      </c>
      <c r="X28" s="120">
        <f t="shared" si="17"/>
        <v>-0.2058319039451115</v>
      </c>
      <c r="Y28" s="121">
        <f t="shared" si="18"/>
        <v>-0.16355140186915887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1</v>
      </c>
      <c r="AJ28" s="1">
        <v>0</v>
      </c>
    </row>
    <row r="29" spans="2:36" ht="15" thickBot="1" x14ac:dyDescent="0.4">
      <c r="B29" s="207"/>
      <c r="C29" s="137">
        <v>2</v>
      </c>
      <c r="D29" s="110">
        <f>D12/D$15</f>
        <v>3.6585365853658534E-2</v>
      </c>
      <c r="E29" s="111">
        <f t="shared" ref="E29:L29" si="25">E12/E$15</f>
        <v>9.8901098901098897E-2</v>
      </c>
      <c r="F29" s="112">
        <f t="shared" si="25"/>
        <v>2.5316455696202531E-2</v>
      </c>
      <c r="G29" s="122">
        <f t="shared" si="25"/>
        <v>4.7169811320754715E-3</v>
      </c>
      <c r="H29" s="123">
        <f t="shared" si="25"/>
        <v>2.2321428571428572E-2</v>
      </c>
      <c r="I29" s="124">
        <f t="shared" si="25"/>
        <v>1.7647058823529412E-2</v>
      </c>
      <c r="J29" s="122">
        <f t="shared" si="25"/>
        <v>6.8259385665529013E-2</v>
      </c>
      <c r="K29" s="123">
        <f t="shared" si="25"/>
        <v>0.14579759862778729</v>
      </c>
      <c r="L29" s="124">
        <f t="shared" si="25"/>
        <v>0.17757009345794392</v>
      </c>
      <c r="O29" s="166"/>
      <c r="P29" s="137">
        <v>2</v>
      </c>
      <c r="Q29" s="110">
        <f t="shared" si="11"/>
        <v>-3.6585365853658534E-2</v>
      </c>
      <c r="R29" s="111">
        <f t="shared" si="12"/>
        <v>-9.8901098901098897E-2</v>
      </c>
      <c r="S29" s="112">
        <f t="shared" si="20"/>
        <v>-2.5316455696202531E-2</v>
      </c>
      <c r="T29" s="122">
        <f t="shared" si="13"/>
        <v>-4.7169811320754715E-3</v>
      </c>
      <c r="U29" s="123">
        <f t="shared" si="14"/>
        <v>-2.2321428571428572E-2</v>
      </c>
      <c r="V29" s="124">
        <f t="shared" si="15"/>
        <v>-1.7647058823529412E-2</v>
      </c>
      <c r="W29" s="122">
        <f t="shared" si="16"/>
        <v>-6.8259385665529013E-2</v>
      </c>
      <c r="X29" s="123">
        <f t="shared" si="17"/>
        <v>0.85420240137221271</v>
      </c>
      <c r="Y29" s="124">
        <f t="shared" si="18"/>
        <v>-0.17757009345794392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1</v>
      </c>
    </row>
    <row r="30" spans="2:36" ht="15" thickBot="1" x14ac:dyDescent="0.4">
      <c r="B30" s="208"/>
      <c r="C30" s="137">
        <v>3</v>
      </c>
      <c r="D30" s="130">
        <f>D13/D$15</f>
        <v>1.2195121951219513E-2</v>
      </c>
      <c r="E30" s="131">
        <f t="shared" ref="E30:L30" si="26">E13/E$15</f>
        <v>2.197802197802198E-2</v>
      </c>
      <c r="F30" s="132">
        <f t="shared" si="26"/>
        <v>0.12658227848101267</v>
      </c>
      <c r="G30" s="133">
        <f t="shared" si="26"/>
        <v>4.7169811320754715E-3</v>
      </c>
      <c r="H30" s="134">
        <f t="shared" si="26"/>
        <v>2.232142857142857E-3</v>
      </c>
      <c r="I30" s="135">
        <f t="shared" si="26"/>
        <v>3.2352941176470591E-2</v>
      </c>
      <c r="J30" s="133">
        <f t="shared" si="26"/>
        <v>3.5836177474402729E-2</v>
      </c>
      <c r="K30" s="134">
        <f t="shared" si="26"/>
        <v>6.3464837049742706E-2</v>
      </c>
      <c r="L30" s="135">
        <f t="shared" si="26"/>
        <v>0.14719626168224298</v>
      </c>
      <c r="O30" s="167"/>
      <c r="P30" s="137">
        <v>3</v>
      </c>
      <c r="Q30" s="130">
        <f t="shared" si="11"/>
        <v>-1.2195121951219513E-2</v>
      </c>
      <c r="R30" s="131">
        <f t="shared" si="12"/>
        <v>-2.197802197802198E-2</v>
      </c>
      <c r="S30" s="132">
        <f t="shared" si="20"/>
        <v>-0.12658227848101267</v>
      </c>
      <c r="T30" s="133">
        <f t="shared" si="13"/>
        <v>-4.7169811320754715E-3</v>
      </c>
      <c r="U30" s="134">
        <f t="shared" si="14"/>
        <v>-2.232142857142857E-3</v>
      </c>
      <c r="V30" s="135">
        <f t="shared" si="15"/>
        <v>-3.2352941176470591E-2</v>
      </c>
      <c r="W30" s="133">
        <f t="shared" si="16"/>
        <v>-3.5836177474402729E-2</v>
      </c>
      <c r="X30" s="134">
        <f t="shared" si="17"/>
        <v>-6.3464837049742706E-2</v>
      </c>
      <c r="Y30" s="135">
        <f t="shared" si="18"/>
        <v>0.85280373831775702</v>
      </c>
    </row>
    <row r="31" spans="2:36" x14ac:dyDescent="0.35">
      <c r="AB31" s="84"/>
      <c r="AC31" s="84"/>
      <c r="AD31" s="84"/>
    </row>
    <row r="32" spans="2:36" ht="15" thickBot="1" x14ac:dyDescent="0.4">
      <c r="AB32" s="84"/>
      <c r="AC32" s="84"/>
      <c r="AD32" s="84"/>
    </row>
    <row r="33" spans="2:37" x14ac:dyDescent="0.35">
      <c r="B33" s="209" t="s">
        <v>102</v>
      </c>
      <c r="C33" s="210"/>
      <c r="D33" s="210"/>
      <c r="E33" s="210"/>
      <c r="F33" s="210"/>
      <c r="G33" s="210"/>
      <c r="H33" s="210"/>
      <c r="I33" s="210"/>
      <c r="J33" s="210"/>
      <c r="K33" s="210"/>
      <c r="L33" s="211"/>
      <c r="O33" s="209" t="s">
        <v>103</v>
      </c>
      <c r="P33" s="210"/>
      <c r="Q33" s="210"/>
      <c r="R33" s="210"/>
      <c r="S33" s="210"/>
      <c r="T33" s="210"/>
      <c r="U33" s="210"/>
      <c r="V33" s="210"/>
      <c r="W33" s="210"/>
      <c r="X33" s="210"/>
      <c r="Y33" s="211"/>
      <c r="AB33" s="84"/>
      <c r="AC33" s="125">
        <v>15</v>
      </c>
      <c r="AD33" s="125">
        <v>9</v>
      </c>
      <c r="AE33" s="125">
        <v>4</v>
      </c>
      <c r="AF33" s="83">
        <v>8</v>
      </c>
      <c r="AG33" s="83">
        <v>3</v>
      </c>
      <c r="AH33" s="83">
        <v>1</v>
      </c>
      <c r="AI33" s="83">
        <v>3</v>
      </c>
      <c r="AJ33" s="83">
        <v>2</v>
      </c>
      <c r="AK33" s="83">
        <v>2</v>
      </c>
    </row>
    <row r="34" spans="2:37" ht="15" thickBot="1" x14ac:dyDescent="0.4">
      <c r="B34" s="212"/>
      <c r="C34" s="213"/>
      <c r="D34" s="213"/>
      <c r="E34" s="213"/>
      <c r="F34" s="213"/>
      <c r="G34" s="213"/>
      <c r="H34" s="213"/>
      <c r="I34" s="213"/>
      <c r="J34" s="213"/>
      <c r="K34" s="213"/>
      <c r="L34" s="214"/>
      <c r="O34" s="212"/>
      <c r="P34" s="213"/>
      <c r="Q34" s="213"/>
      <c r="R34" s="213"/>
      <c r="S34" s="213"/>
      <c r="T34" s="213"/>
      <c r="U34" s="213"/>
      <c r="V34" s="213"/>
      <c r="W34" s="213"/>
      <c r="X34" s="213"/>
      <c r="Y34" s="214"/>
      <c r="Z34" s="84"/>
      <c r="AA34" s="84"/>
      <c r="AB34" s="84"/>
      <c r="AC34" s="125">
        <v>5</v>
      </c>
      <c r="AD34" s="125">
        <v>12</v>
      </c>
      <c r="AE34" s="125">
        <v>9</v>
      </c>
      <c r="AF34" s="83">
        <v>1</v>
      </c>
      <c r="AG34" s="83">
        <v>9</v>
      </c>
      <c r="AH34" s="83">
        <v>2</v>
      </c>
      <c r="AI34" s="83">
        <v>4</v>
      </c>
      <c r="AJ34" s="83">
        <v>3</v>
      </c>
      <c r="AK34" s="83">
        <v>1</v>
      </c>
    </row>
    <row r="35" spans="2:37" ht="15" thickBot="1" x14ac:dyDescent="0.4">
      <c r="Z35" s="84"/>
      <c r="AA35" s="84"/>
      <c r="AB35" s="84"/>
      <c r="AC35" s="125">
        <v>1</v>
      </c>
      <c r="AD35" s="125">
        <v>4</v>
      </c>
      <c r="AE35" s="125">
        <v>7</v>
      </c>
      <c r="AF35" s="83">
        <v>1</v>
      </c>
      <c r="AG35" s="83">
        <v>2</v>
      </c>
      <c r="AH35" s="83">
        <v>10</v>
      </c>
      <c r="AI35" s="83">
        <v>5</v>
      </c>
      <c r="AJ35" s="83">
        <v>6</v>
      </c>
      <c r="AK35" s="83">
        <v>3</v>
      </c>
    </row>
    <row r="36" spans="2:37" ht="15" thickBot="1" x14ac:dyDescent="0.4">
      <c r="D36" s="199" t="s">
        <v>84</v>
      </c>
      <c r="E36" s="200"/>
      <c r="F36" s="201"/>
      <c r="G36" s="199" t="s">
        <v>79</v>
      </c>
      <c r="H36" s="200"/>
      <c r="I36" s="201"/>
      <c r="J36" s="199" t="s">
        <v>80</v>
      </c>
      <c r="K36" s="200"/>
      <c r="L36" s="201"/>
      <c r="Q36" s="199" t="s">
        <v>84</v>
      </c>
      <c r="R36" s="200"/>
      <c r="S36" s="201"/>
      <c r="T36" s="168" t="s">
        <v>79</v>
      </c>
      <c r="U36" s="169"/>
      <c r="V36" s="170"/>
      <c r="W36" s="168" t="s">
        <v>80</v>
      </c>
      <c r="X36" s="169"/>
      <c r="Y36" s="170"/>
      <c r="Z36" s="84"/>
      <c r="AA36" s="84"/>
      <c r="AB36" s="84"/>
      <c r="AC36" s="83">
        <v>6</v>
      </c>
      <c r="AD36" s="83">
        <v>2</v>
      </c>
      <c r="AE36" s="83">
        <v>2</v>
      </c>
      <c r="AF36" s="126">
        <v>120</v>
      </c>
      <c r="AG36" s="126">
        <v>100</v>
      </c>
      <c r="AH36" s="126">
        <v>53</v>
      </c>
      <c r="AI36" s="126">
        <v>3</v>
      </c>
      <c r="AJ36" s="126">
        <v>2</v>
      </c>
      <c r="AK36" s="126">
        <v>1</v>
      </c>
    </row>
    <row r="37" spans="2:37" ht="15" thickBot="1" x14ac:dyDescent="0.4">
      <c r="C37" s="138" t="s">
        <v>86</v>
      </c>
      <c r="D37" s="136">
        <v>1</v>
      </c>
      <c r="E37" s="136">
        <v>2</v>
      </c>
      <c r="F37" s="136">
        <v>3</v>
      </c>
      <c r="G37" s="136">
        <v>1</v>
      </c>
      <c r="H37" s="136">
        <v>2</v>
      </c>
      <c r="I37" s="136">
        <v>3</v>
      </c>
      <c r="J37" s="136">
        <v>1</v>
      </c>
      <c r="K37" s="136">
        <v>2</v>
      </c>
      <c r="L37" s="136">
        <v>3</v>
      </c>
      <c r="P37" s="138" t="s">
        <v>86</v>
      </c>
      <c r="Q37" s="136">
        <v>1</v>
      </c>
      <c r="R37" s="136">
        <v>2</v>
      </c>
      <c r="S37" s="136">
        <v>3</v>
      </c>
      <c r="T37" s="136">
        <v>1</v>
      </c>
      <c r="U37" s="136">
        <v>2</v>
      </c>
      <c r="V37" s="136">
        <v>3</v>
      </c>
      <c r="W37" s="136">
        <v>1</v>
      </c>
      <c r="X37" s="136">
        <v>2</v>
      </c>
      <c r="Y37" s="136">
        <v>3</v>
      </c>
      <c r="Z37" s="78" t="s">
        <v>44</v>
      </c>
      <c r="AA37" s="182" t="s">
        <v>44</v>
      </c>
      <c r="AB37" s="84"/>
      <c r="AC37" s="83">
        <f>AC9*AC17</f>
        <v>4.375</v>
      </c>
      <c r="AD37" s="83">
        <f t="shared" ref="AD37:AG37" si="27">AD9*AD17</f>
        <v>3.125</v>
      </c>
      <c r="AE37" s="83">
        <f t="shared" si="27"/>
        <v>0.25</v>
      </c>
      <c r="AF37" s="83">
        <f t="shared" si="27"/>
        <v>14.189189189189189</v>
      </c>
      <c r="AG37" s="83">
        <f t="shared" si="27"/>
        <v>15.862068965517242</v>
      </c>
      <c r="AH37" s="83" t="e">
        <f>AH9*#REF!</f>
        <v>#REF!</v>
      </c>
      <c r="AI37" s="83">
        <f>AI9*AH17</f>
        <v>4</v>
      </c>
      <c r="AJ37" s="83">
        <f>AJ9*AI17</f>
        <v>8</v>
      </c>
      <c r="AK37" s="83">
        <f>AK9*AJ17</f>
        <v>42</v>
      </c>
    </row>
    <row r="38" spans="2:37" ht="12.65" customHeight="1" thickBot="1" x14ac:dyDescent="0.4">
      <c r="B38" s="206" t="s">
        <v>85</v>
      </c>
      <c r="C38" s="136">
        <v>1</v>
      </c>
      <c r="D38" s="113">
        <f t="array" ref="D38:L46">MINVERSE(Q22:Y30)</f>
        <v>1.245260949630977</v>
      </c>
      <c r="E38" s="114">
        <v>0.1542023747710079</v>
      </c>
      <c r="F38" s="115">
        <v>9.5333378739450594E-2</v>
      </c>
      <c r="G38" s="107">
        <v>3.6899836480901609E-2</v>
      </c>
      <c r="H38" s="108">
        <v>2.5140202824539132E-2</v>
      </c>
      <c r="I38" s="109">
        <v>2.0436559319501616E-2</v>
      </c>
      <c r="J38" s="107">
        <v>1.3663487109344624E-2</v>
      </c>
      <c r="K38" s="108">
        <v>1.165982378674766E-2</v>
      </c>
      <c r="L38" s="109">
        <v>1.3441293479376105E-2</v>
      </c>
      <c r="O38" s="165" t="s">
        <v>85</v>
      </c>
      <c r="P38" s="136">
        <v>1</v>
      </c>
      <c r="Q38" s="113">
        <f>D38*M$5</f>
        <v>43.584133237084195</v>
      </c>
      <c r="R38" s="114">
        <f>E38*M$6</f>
        <v>6.9391068646953551</v>
      </c>
      <c r="S38" s="115">
        <f>F38*M$7</f>
        <v>3.8133351495780237</v>
      </c>
      <c r="T38" s="107">
        <f>G38*M$8</f>
        <v>4.9814779249217169</v>
      </c>
      <c r="U38" s="108">
        <f>H38*M$9</f>
        <v>7.24037841346727</v>
      </c>
      <c r="V38" s="109">
        <f>I38*M$10</f>
        <v>4.700408643485372</v>
      </c>
      <c r="W38" s="107">
        <f>J38*M$11</f>
        <v>2.89665926718106</v>
      </c>
      <c r="X38" s="108">
        <f>K38*M$12</f>
        <v>4.0809383253616813</v>
      </c>
      <c r="Y38" s="109">
        <f>L38*M$13</f>
        <v>3.7635621742253091</v>
      </c>
      <c r="Z38" s="78">
        <f>SUM(Q38:Y38)</f>
        <v>82</v>
      </c>
      <c r="AA38" s="182">
        <f>SUM(Q38:S38)+SUM(T38:V38)+SUM(W38:Y38)</f>
        <v>81.999999999999986</v>
      </c>
      <c r="AB38" s="84"/>
      <c r="AC38" s="83">
        <f>AC10*AC17</f>
        <v>2.625</v>
      </c>
      <c r="AD38" s="83">
        <f t="shared" ref="AD38:AG38" si="28">AD10*AD17</f>
        <v>1.875</v>
      </c>
      <c r="AE38" s="83">
        <f t="shared" si="28"/>
        <v>2.75</v>
      </c>
      <c r="AF38" s="83">
        <f t="shared" si="28"/>
        <v>6.8108108108108114</v>
      </c>
      <c r="AG38" s="83">
        <f t="shared" si="28"/>
        <v>7.137931034482758</v>
      </c>
      <c r="AH38" s="83" t="e">
        <f>AH10*#REF!</f>
        <v>#REF!</v>
      </c>
      <c r="AI38" s="83">
        <f>AI10*AH17</f>
        <v>8</v>
      </c>
      <c r="AJ38" s="83">
        <f>AJ10*AI17</f>
        <v>4</v>
      </c>
      <c r="AK38" s="83">
        <f>AK10*AJ17</f>
        <v>14</v>
      </c>
    </row>
    <row r="39" spans="2:37" ht="12.65" customHeight="1" thickBot="1" x14ac:dyDescent="0.4">
      <c r="B39" s="207"/>
      <c r="C39" s="137">
        <v>2</v>
      </c>
      <c r="D39" s="116">
        <v>9.7673746945985407E-2</v>
      </c>
      <c r="E39" s="117">
        <v>1.1795235416511016</v>
      </c>
      <c r="F39" s="118">
        <v>0.15932105831212434</v>
      </c>
      <c r="G39" s="110">
        <v>1.1147801814753704E-2</v>
      </c>
      <c r="H39" s="111">
        <v>3.3988556223385875E-2</v>
      </c>
      <c r="I39" s="112">
        <v>2.2606249330284146E-2</v>
      </c>
      <c r="J39" s="110">
        <v>1.5998417958922193E-2</v>
      </c>
      <c r="K39" s="111">
        <v>1.4353854859747958E-2</v>
      </c>
      <c r="L39" s="112">
        <v>1.1505030566465856E-2</v>
      </c>
      <c r="O39" s="166"/>
      <c r="P39" s="137">
        <v>2</v>
      </c>
      <c r="Q39" s="116">
        <f t="shared" ref="Q39:Q45" si="29">D39*M$5</f>
        <v>3.4185811431094892</v>
      </c>
      <c r="R39" s="117">
        <f t="shared" ref="R39:R45" si="30">E39*M$6</f>
        <v>53.078559374299573</v>
      </c>
      <c r="S39" s="118">
        <f t="shared" ref="S39:S45" si="31">F39*M$7</f>
        <v>6.3728423324849732</v>
      </c>
      <c r="T39" s="110">
        <f t="shared" ref="T39:T45" si="32">G39*M$8</f>
        <v>1.50495324499175</v>
      </c>
      <c r="U39" s="111">
        <f t="shared" ref="U39:U45" si="33">H39*M$9</f>
        <v>9.7887041923351319</v>
      </c>
      <c r="V39" s="112">
        <f t="shared" ref="V39:V45" si="34">I39*M$10</f>
        <v>5.1994373459653538</v>
      </c>
      <c r="W39" s="110">
        <f t="shared" ref="W39:W45" si="35">J39*M$11</f>
        <v>3.3916646072915047</v>
      </c>
      <c r="X39" s="111">
        <f t="shared" ref="X39:X45" si="36">K39*M$12</f>
        <v>5.0238492009117852</v>
      </c>
      <c r="Y39" s="112">
        <f t="shared" ref="Y39:Y45" si="37">L39*M$13</f>
        <v>3.22140855861044</v>
      </c>
      <c r="Z39" s="78">
        <f t="shared" ref="Z39:Z46" si="38">SUM(Q39:Y39)</f>
        <v>90.999999999999986</v>
      </c>
      <c r="AA39" s="182">
        <f t="shared" ref="AA39:AA46" si="39">SUM(Q39:S39)+SUM(T39:V39)+SUM(W39:Y39)</f>
        <v>91</v>
      </c>
      <c r="AB39" s="84"/>
      <c r="AC39" s="83">
        <v>8</v>
      </c>
      <c r="AD39" s="83">
        <v>1</v>
      </c>
      <c r="AE39" s="83">
        <v>1</v>
      </c>
      <c r="AF39" s="126">
        <v>6</v>
      </c>
      <c r="AG39" s="126">
        <v>5</v>
      </c>
      <c r="AH39" s="126">
        <v>3</v>
      </c>
      <c r="AI39" s="126">
        <v>160</v>
      </c>
      <c r="AJ39" s="126">
        <v>120</v>
      </c>
      <c r="AK39" s="126">
        <v>70</v>
      </c>
    </row>
    <row r="40" spans="2:37" ht="12.65" customHeight="1" thickBot="1" x14ac:dyDescent="0.4">
      <c r="B40" s="208"/>
      <c r="C40" s="137">
        <v>3</v>
      </c>
      <c r="D40" s="116">
        <v>2.8599862416165633E-2</v>
      </c>
      <c r="E40" s="117">
        <v>6.7927051035405334E-2</v>
      </c>
      <c r="F40" s="118">
        <v>1.1175162235256408</v>
      </c>
      <c r="G40" s="110">
        <v>8.0524095714915849E-3</v>
      </c>
      <c r="H40" s="111">
        <v>1.3426982681230116E-2</v>
      </c>
      <c r="I40" s="112">
        <v>4.3464897876178563E-2</v>
      </c>
      <c r="J40" s="110">
        <v>1.71664998688239E-2</v>
      </c>
      <c r="K40" s="111">
        <v>1.9572121111793763E-2</v>
      </c>
      <c r="L40" s="112">
        <v>1.714687643082196E-2</v>
      </c>
      <c r="O40" s="167"/>
      <c r="P40" s="137">
        <v>3</v>
      </c>
      <c r="Q40" s="116">
        <f t="shared" si="29"/>
        <v>1.0009951845657972</v>
      </c>
      <c r="R40" s="117">
        <f t="shared" si="30"/>
        <v>3.0567172965932401</v>
      </c>
      <c r="S40" s="118">
        <f t="shared" si="31"/>
        <v>44.700648941025634</v>
      </c>
      <c r="T40" s="110">
        <f t="shared" si="32"/>
        <v>1.087075292151364</v>
      </c>
      <c r="U40" s="111">
        <f t="shared" si="33"/>
        <v>3.8669710121942735</v>
      </c>
      <c r="V40" s="112">
        <f t="shared" si="34"/>
        <v>9.9969265115210693</v>
      </c>
      <c r="W40" s="110">
        <f t="shared" si="35"/>
        <v>3.6392979721906666</v>
      </c>
      <c r="X40" s="111">
        <f t="shared" si="36"/>
        <v>6.8502423891278168</v>
      </c>
      <c r="Y40" s="112">
        <f t="shared" si="37"/>
        <v>4.8011254006301485</v>
      </c>
      <c r="Z40" s="78">
        <f t="shared" si="38"/>
        <v>79</v>
      </c>
      <c r="AA40" s="182">
        <f t="shared" si="39"/>
        <v>79</v>
      </c>
      <c r="AB40" s="84"/>
      <c r="AC40" s="83">
        <v>3</v>
      </c>
      <c r="AD40" s="83">
        <v>9</v>
      </c>
      <c r="AE40" s="83">
        <v>2</v>
      </c>
      <c r="AF40" s="126">
        <v>2</v>
      </c>
      <c r="AG40" s="126">
        <v>10</v>
      </c>
      <c r="AH40" s="126">
        <v>6</v>
      </c>
      <c r="AI40" s="126">
        <v>40</v>
      </c>
      <c r="AJ40" s="126">
        <v>85</v>
      </c>
      <c r="AK40" s="126">
        <v>76</v>
      </c>
    </row>
    <row r="41" spans="2:37" ht="12.65" customHeight="1" thickBot="1" x14ac:dyDescent="0.4">
      <c r="B41" s="206" t="s">
        <v>79</v>
      </c>
      <c r="C41" s="137">
        <v>1</v>
      </c>
      <c r="D41" s="107">
        <v>0.19133776606500544</v>
      </c>
      <c r="E41" s="108">
        <v>0.1445447849186586</v>
      </c>
      <c r="F41" s="109">
        <v>0.12963153662986859</v>
      </c>
      <c r="G41" s="119">
        <v>1.4478551473634027</v>
      </c>
      <c r="H41" s="120">
        <v>0.40301047788219768</v>
      </c>
      <c r="I41" s="121">
        <v>0.33847437192509122</v>
      </c>
      <c r="J41" s="119">
        <v>2.2108002183192234E-2</v>
      </c>
      <c r="K41" s="120">
        <v>1.8031247862338343E-2</v>
      </c>
      <c r="L41" s="121">
        <v>1.871071471297131E-2</v>
      </c>
      <c r="O41" s="165" t="s">
        <v>79</v>
      </c>
      <c r="P41" s="137">
        <v>1</v>
      </c>
      <c r="Q41" s="107">
        <f t="shared" si="29"/>
        <v>6.6968218122751901</v>
      </c>
      <c r="R41" s="108">
        <f t="shared" si="30"/>
        <v>6.5045153213396372</v>
      </c>
      <c r="S41" s="109">
        <f t="shared" si="31"/>
        <v>5.1852614651947437</v>
      </c>
      <c r="T41" s="119">
        <f t="shared" si="32"/>
        <v>195.46044489405938</v>
      </c>
      <c r="U41" s="120">
        <f t="shared" si="33"/>
        <v>116.06701763007294</v>
      </c>
      <c r="V41" s="121">
        <f t="shared" si="34"/>
        <v>77.849105542770985</v>
      </c>
      <c r="W41" s="119">
        <f t="shared" si="35"/>
        <v>4.6868964628367538</v>
      </c>
      <c r="X41" s="120">
        <f t="shared" si="36"/>
        <v>6.3109367518184198</v>
      </c>
      <c r="Y41" s="121">
        <f t="shared" si="37"/>
        <v>5.2390001196319673</v>
      </c>
      <c r="Z41" s="78">
        <f t="shared" si="38"/>
        <v>424</v>
      </c>
      <c r="AA41" s="182">
        <f t="shared" si="39"/>
        <v>424.00000000000006</v>
      </c>
      <c r="AB41" s="84"/>
      <c r="AC41" s="83">
        <v>1</v>
      </c>
      <c r="AD41" s="83">
        <v>2</v>
      </c>
      <c r="AE41" s="83">
        <v>10</v>
      </c>
      <c r="AF41" s="126">
        <v>2</v>
      </c>
      <c r="AG41" s="126">
        <v>1</v>
      </c>
      <c r="AH41" s="126">
        <v>11</v>
      </c>
      <c r="AI41" s="126">
        <v>21</v>
      </c>
      <c r="AJ41" s="126">
        <v>37</v>
      </c>
      <c r="AK41" s="126">
        <v>63</v>
      </c>
    </row>
    <row r="42" spans="2:37" ht="12.65" customHeight="1" thickBot="1" x14ac:dyDescent="0.4">
      <c r="B42" s="207"/>
      <c r="C42" s="137">
        <v>2</v>
      </c>
      <c r="D42" s="110">
        <v>0.12954589872976857</v>
      </c>
      <c r="E42" s="111">
        <v>0.19541255454720394</v>
      </c>
      <c r="F42" s="112">
        <v>9.1233101321444979E-2</v>
      </c>
      <c r="G42" s="122">
        <v>0.11356493559848992</v>
      </c>
      <c r="H42" s="123">
        <v>1.207140924171616</v>
      </c>
      <c r="I42" s="124">
        <v>0.23915859932718958</v>
      </c>
      <c r="J42" s="122">
        <v>1.47111561293467E-2</v>
      </c>
      <c r="K42" s="123">
        <v>1.3501443875485351E-2</v>
      </c>
      <c r="L42" s="124">
        <v>1.8515727745213029E-2</v>
      </c>
      <c r="O42" s="166"/>
      <c r="P42" s="137">
        <v>2</v>
      </c>
      <c r="Q42" s="110">
        <f t="shared" si="29"/>
        <v>4.5341064555418997</v>
      </c>
      <c r="R42" s="111">
        <f t="shared" si="30"/>
        <v>8.793564954624177</v>
      </c>
      <c r="S42" s="112">
        <f t="shared" si="31"/>
        <v>3.649324052857799</v>
      </c>
      <c r="T42" s="122">
        <f t="shared" si="32"/>
        <v>15.331266305796138</v>
      </c>
      <c r="U42" s="123">
        <f t="shared" si="33"/>
        <v>347.65658616142542</v>
      </c>
      <c r="V42" s="124">
        <f t="shared" si="34"/>
        <v>55.006477845253606</v>
      </c>
      <c r="W42" s="122">
        <f t="shared" si="35"/>
        <v>3.1187650994215002</v>
      </c>
      <c r="X42" s="123">
        <f t="shared" si="36"/>
        <v>4.7255053564198732</v>
      </c>
      <c r="Y42" s="124">
        <f t="shared" si="37"/>
        <v>5.1844037686596485</v>
      </c>
      <c r="Z42" s="78">
        <f t="shared" si="38"/>
        <v>448.00000000000011</v>
      </c>
      <c r="AA42" s="182">
        <f t="shared" si="39"/>
        <v>448</v>
      </c>
      <c r="AB42" s="84"/>
      <c r="AC42" s="84"/>
      <c r="AD42" s="84"/>
      <c r="AE42" s="84"/>
      <c r="AF42" s="84"/>
    </row>
    <row r="43" spans="2:37" ht="12.65" customHeight="1" thickBot="1" x14ac:dyDescent="0.4">
      <c r="B43" s="208"/>
      <c r="C43" s="137">
        <v>3</v>
      </c>
      <c r="D43" s="110">
        <v>8.1757771155704373E-2</v>
      </c>
      <c r="E43" s="111">
        <v>0.12673555694957739</v>
      </c>
      <c r="F43" s="112">
        <v>0.20769221842504457</v>
      </c>
      <c r="G43" s="122">
        <v>5.9259864184407311E-2</v>
      </c>
      <c r="H43" s="123">
        <v>0.10333086399896549</v>
      </c>
      <c r="I43" s="124">
        <v>1.1904802444681646</v>
      </c>
      <c r="J43" s="122">
        <v>1.8030954000178075E-2</v>
      </c>
      <c r="K43" s="123">
        <v>1.1927269414438965E-2</v>
      </c>
      <c r="L43" s="124">
        <v>1.2716985508754554E-2</v>
      </c>
      <c r="O43" s="167"/>
      <c r="P43" s="137">
        <v>3</v>
      </c>
      <c r="Q43" s="110">
        <f t="shared" si="29"/>
        <v>2.8615219904496532</v>
      </c>
      <c r="R43" s="111">
        <f t="shared" si="30"/>
        <v>5.7031000627309822</v>
      </c>
      <c r="S43" s="112">
        <f t="shared" si="31"/>
        <v>8.3076887370017829</v>
      </c>
      <c r="T43" s="122">
        <f t="shared" si="32"/>
        <v>8.0000816648949868</v>
      </c>
      <c r="U43" s="123">
        <f t="shared" si="33"/>
        <v>29.759288831702062</v>
      </c>
      <c r="V43" s="124">
        <f t="shared" si="34"/>
        <v>273.81045622767783</v>
      </c>
      <c r="W43" s="122">
        <f t="shared" si="35"/>
        <v>3.8225622480377517</v>
      </c>
      <c r="X43" s="123">
        <f t="shared" si="36"/>
        <v>4.1745442950536376</v>
      </c>
      <c r="Y43" s="124">
        <f t="shared" si="37"/>
        <v>3.5607559424512751</v>
      </c>
      <c r="Z43" s="78">
        <f t="shared" si="38"/>
        <v>339.99999999999994</v>
      </c>
      <c r="AA43" s="182">
        <f t="shared" si="39"/>
        <v>340</v>
      </c>
      <c r="AB43" s="84"/>
      <c r="AC43" s="84"/>
      <c r="AD43" s="84"/>
      <c r="AE43" s="84"/>
      <c r="AF43" s="84"/>
    </row>
    <row r="44" spans="2:37" ht="15" thickBot="1" x14ac:dyDescent="0.4">
      <c r="B44" s="206" t="s">
        <v>80</v>
      </c>
      <c r="C44" s="137">
        <v>1</v>
      </c>
      <c r="D44" s="107">
        <v>0.2137883191076845</v>
      </c>
      <c r="E44" s="108">
        <v>0.11203233872802358</v>
      </c>
      <c r="F44" s="109">
        <v>0.11649982672947552</v>
      </c>
      <c r="G44" s="119">
        <v>4.5860640455637758E-2</v>
      </c>
      <c r="H44" s="120">
        <v>4.9766051770731491E-2</v>
      </c>
      <c r="I44" s="121">
        <v>5.7936438831501298E-2</v>
      </c>
      <c r="J44" s="119">
        <v>1.4334096814307036</v>
      </c>
      <c r="K44" s="120">
        <v>0.37530016231773083</v>
      </c>
      <c r="L44" s="121">
        <v>0.35617450336445999</v>
      </c>
      <c r="O44" s="165" t="s">
        <v>80</v>
      </c>
      <c r="P44" s="137">
        <v>1</v>
      </c>
      <c r="Q44" s="107">
        <f t="shared" si="29"/>
        <v>7.4825911687689572</v>
      </c>
      <c r="R44" s="108">
        <f t="shared" si="30"/>
        <v>5.0414552427610611</v>
      </c>
      <c r="S44" s="109">
        <f t="shared" si="31"/>
        <v>4.6599930691790208</v>
      </c>
      <c r="T44" s="119">
        <f t="shared" si="32"/>
        <v>6.191186461511097</v>
      </c>
      <c r="U44" s="120">
        <f t="shared" si="33"/>
        <v>14.33262290997067</v>
      </c>
      <c r="V44" s="121">
        <f t="shared" si="34"/>
        <v>13.325380931245299</v>
      </c>
      <c r="W44" s="119">
        <f t="shared" si="35"/>
        <v>303.88285246330918</v>
      </c>
      <c r="X44" s="120">
        <f t="shared" si="36"/>
        <v>131.3550568112058</v>
      </c>
      <c r="Y44" s="121">
        <f t="shared" si="37"/>
        <v>99.728860942048797</v>
      </c>
      <c r="Z44" s="78">
        <f t="shared" si="38"/>
        <v>585.99999999999989</v>
      </c>
      <c r="AA44" s="182">
        <f t="shared" si="39"/>
        <v>585.99999999999989</v>
      </c>
      <c r="AB44" s="84"/>
      <c r="AC44" s="84"/>
      <c r="AD44" s="84"/>
      <c r="AE44" s="84"/>
      <c r="AF44" s="84"/>
    </row>
    <row r="45" spans="2:37" ht="15" thickBot="1" x14ac:dyDescent="0.4">
      <c r="B45" s="207"/>
      <c r="C45" s="137">
        <v>2</v>
      </c>
      <c r="D45" s="110">
        <v>9.8133888805730762E-2</v>
      </c>
      <c r="E45" s="111">
        <v>0.17651512247162079</v>
      </c>
      <c r="F45" s="112">
        <v>0.11256428722100656</v>
      </c>
      <c r="G45" s="122">
        <v>2.2319197213084768E-2</v>
      </c>
      <c r="H45" s="123">
        <v>4.9091503633185242E-2</v>
      </c>
      <c r="I45" s="124">
        <v>5.4909806289561776E-2</v>
      </c>
      <c r="J45" s="122">
        <v>0.13379197653079189</v>
      </c>
      <c r="K45" s="123">
        <v>1.2272142821351544</v>
      </c>
      <c r="L45" s="124">
        <v>0.28374987143993269</v>
      </c>
      <c r="O45" s="166"/>
      <c r="P45" s="137">
        <v>2</v>
      </c>
      <c r="Q45" s="110">
        <f t="shared" si="29"/>
        <v>3.4346861082005766</v>
      </c>
      <c r="R45" s="111">
        <f t="shared" si="30"/>
        <v>7.9431805112229359</v>
      </c>
      <c r="S45" s="112">
        <f t="shared" si="31"/>
        <v>4.5025714888402621</v>
      </c>
      <c r="T45" s="122">
        <f t="shared" si="32"/>
        <v>3.0130916237664436</v>
      </c>
      <c r="U45" s="123">
        <f t="shared" si="33"/>
        <v>14.13835304635735</v>
      </c>
      <c r="V45" s="124">
        <f t="shared" si="34"/>
        <v>12.629255446599208</v>
      </c>
      <c r="W45" s="122">
        <f t="shared" si="35"/>
        <v>28.363899024527882</v>
      </c>
      <c r="X45" s="123">
        <f t="shared" si="36"/>
        <v>429.52499874730404</v>
      </c>
      <c r="Y45" s="124">
        <f t="shared" si="37"/>
        <v>79.449964003181151</v>
      </c>
      <c r="Z45" s="78">
        <f t="shared" si="38"/>
        <v>582.99999999999977</v>
      </c>
      <c r="AA45" s="182">
        <f t="shared" si="39"/>
        <v>582.99999999999989</v>
      </c>
      <c r="AB45" s="84"/>
      <c r="AC45" s="84"/>
      <c r="AD45" s="84"/>
      <c r="AE45" s="84"/>
      <c r="AF45" s="84"/>
      <c r="AK45" t="s">
        <v>44</v>
      </c>
    </row>
    <row r="46" spans="2:37" ht="15" thickBot="1" x14ac:dyDescent="0.4">
      <c r="B46" s="208"/>
      <c r="C46" s="137">
        <v>3</v>
      </c>
      <c r="D46" s="130">
        <v>4.5355375760325049E-2</v>
      </c>
      <c r="E46" s="131">
        <v>6.6648462550331009E-2</v>
      </c>
      <c r="F46" s="132">
        <v>0.19345044805453709</v>
      </c>
      <c r="G46" s="133">
        <v>1.6151993838359677E-2</v>
      </c>
      <c r="H46" s="134">
        <v>1.8281788591899502E-2</v>
      </c>
      <c r="I46" s="135">
        <v>6.1508836731267037E-2</v>
      </c>
      <c r="J46" s="133">
        <v>7.4191396975546983E-2</v>
      </c>
      <c r="K46" s="134">
        <v>0.11112814338690173</v>
      </c>
      <c r="L46" s="135">
        <v>1.2123543929870482</v>
      </c>
      <c r="O46" s="167"/>
      <c r="P46" s="137">
        <v>3</v>
      </c>
      <c r="Q46" s="130">
        <f t="shared" ref="Q46" si="40">D46*M$5</f>
        <v>1.5874381516113767</v>
      </c>
      <c r="R46" s="131">
        <f t="shared" ref="R46" si="41">E46*M$6</f>
        <v>2.9991808147648955</v>
      </c>
      <c r="S46" s="132">
        <f t="shared" ref="S46" si="42">F46*M$7</f>
        <v>7.7380179221814842</v>
      </c>
      <c r="T46" s="133">
        <f t="shared" ref="T46" si="43">G46*M$8</f>
        <v>2.1805191681785563</v>
      </c>
      <c r="U46" s="134">
        <f t="shared" ref="U46" si="44">H46*M$9</f>
        <v>5.2651551144670563</v>
      </c>
      <c r="V46" s="135">
        <f t="shared" ref="V46" si="45">I46*M$10</f>
        <v>14.147032448191419</v>
      </c>
      <c r="W46" s="133">
        <f t="shared" ref="W46" si="46">J46*M$11</f>
        <v>15.72857615881596</v>
      </c>
      <c r="X46" s="134">
        <f t="shared" ref="X46" si="47">K46*M$12</f>
        <v>38.894850185415606</v>
      </c>
      <c r="Y46" s="135">
        <f t="shared" ref="Y46" si="48">L46*M$13</f>
        <v>339.45923003637347</v>
      </c>
      <c r="Z46" s="78">
        <f t="shared" si="38"/>
        <v>427.99999999999983</v>
      </c>
      <c r="AA46" s="182">
        <f t="shared" si="39"/>
        <v>427.99999999999983</v>
      </c>
      <c r="AB46" s="84"/>
      <c r="AC46" s="84"/>
      <c r="AD46" s="84"/>
      <c r="AE46" s="84"/>
      <c r="AF46" s="84"/>
    </row>
    <row r="47" spans="2:37" x14ac:dyDescent="0.35">
      <c r="Q47" s="84"/>
      <c r="Z47" s="84"/>
      <c r="AA47" s="84"/>
      <c r="AB47" s="84"/>
      <c r="AC47" s="84"/>
      <c r="AD47" s="84"/>
      <c r="AE47" s="84"/>
      <c r="AF47" s="84"/>
    </row>
    <row r="48" spans="2:37" x14ac:dyDescent="0.35">
      <c r="Q48" s="84"/>
      <c r="Z48" s="84"/>
      <c r="AA48" s="84"/>
      <c r="AB48" s="84"/>
      <c r="AC48" s="84"/>
      <c r="AD48" s="84"/>
      <c r="AE48" s="84"/>
      <c r="AF48" s="84"/>
    </row>
    <row r="49" spans="2:37" x14ac:dyDescent="0.35">
      <c r="Q49" s="84"/>
      <c r="Z49" s="84"/>
      <c r="AA49" s="84"/>
      <c r="AB49" s="84"/>
      <c r="AC49" s="84"/>
      <c r="AD49" s="84"/>
      <c r="AE49" s="84"/>
      <c r="AF49" s="84"/>
    </row>
    <row r="50" spans="2:37" ht="15" thickBot="1" x14ac:dyDescent="0.4">
      <c r="Q50" s="84"/>
      <c r="Z50" s="84"/>
      <c r="AA50" s="84"/>
      <c r="AB50" s="84"/>
      <c r="AC50" s="84"/>
      <c r="AD50" s="84"/>
      <c r="AE50" s="84"/>
      <c r="AF50" s="84"/>
    </row>
    <row r="51" spans="2:37" ht="26.4" customHeight="1" x14ac:dyDescent="0.35">
      <c r="B51" s="209" t="s">
        <v>105</v>
      </c>
      <c r="C51" s="210"/>
      <c r="D51" s="210"/>
      <c r="E51" s="210"/>
      <c r="F51" s="210"/>
      <c r="G51" s="210"/>
      <c r="H51" s="210"/>
      <c r="I51" s="210"/>
      <c r="J51" s="210"/>
      <c r="K51" s="210"/>
      <c r="L51" s="211"/>
      <c r="Z51" s="84"/>
      <c r="AA51" s="84"/>
      <c r="AB51" s="84"/>
      <c r="AC51" s="84"/>
      <c r="AD51" s="84"/>
      <c r="AE51" s="84"/>
      <c r="AF51" s="84"/>
    </row>
    <row r="52" spans="2:37" ht="15" thickBot="1" x14ac:dyDescent="0.4">
      <c r="B52" s="212"/>
      <c r="C52" s="213"/>
      <c r="D52" s="213"/>
      <c r="E52" s="213"/>
      <c r="F52" s="213"/>
      <c r="G52" s="213"/>
      <c r="H52" s="213"/>
      <c r="I52" s="213"/>
      <c r="J52" s="213"/>
      <c r="K52" s="213"/>
      <c r="L52" s="214"/>
      <c r="Z52" s="84"/>
      <c r="AA52" s="84"/>
      <c r="AB52" s="84"/>
      <c r="AC52" s="84"/>
      <c r="AD52" s="84"/>
      <c r="AE52" s="84"/>
      <c r="AF52" s="84"/>
    </row>
    <row r="53" spans="2:37" x14ac:dyDescent="0.35">
      <c r="Z53" s="84"/>
      <c r="AA53" s="84"/>
      <c r="AB53" s="84"/>
      <c r="AC53" s="84"/>
      <c r="AD53" s="84"/>
      <c r="AE53" s="84"/>
      <c r="AF53" s="84"/>
    </row>
    <row r="54" spans="2:37" x14ac:dyDescent="0.35">
      <c r="Z54" s="84"/>
      <c r="AA54" s="84"/>
      <c r="AB54" s="84"/>
      <c r="AC54" s="84"/>
      <c r="AD54" s="84"/>
      <c r="AE54" s="84"/>
      <c r="AF54" s="84"/>
    </row>
    <row r="55" spans="2:37" x14ac:dyDescent="0.35">
      <c r="Z55" s="84"/>
      <c r="AA55" s="84"/>
      <c r="AB55" s="84"/>
      <c r="AC55" s="84"/>
      <c r="AD55" s="84"/>
      <c r="AE55" s="84"/>
      <c r="AF55" s="84"/>
    </row>
    <row r="56" spans="2:37" x14ac:dyDescent="0.35">
      <c r="Z56" s="84"/>
      <c r="AA56" s="84"/>
      <c r="AB56" s="84"/>
      <c r="AC56" s="84"/>
      <c r="AD56" s="84"/>
      <c r="AE56" s="84"/>
      <c r="AF56" s="84"/>
    </row>
    <row r="57" spans="2:37" ht="15" thickBot="1" x14ac:dyDescent="0.4">
      <c r="P57">
        <v>6</v>
      </c>
      <c r="Q57">
        <v>2</v>
      </c>
      <c r="AE57">
        <v>0</v>
      </c>
      <c r="AK57">
        <f t="shared" ref="AK57:AK62" si="49">SUM(AE57:AI57)</f>
        <v>0</v>
      </c>
    </row>
    <row r="58" spans="2:37" x14ac:dyDescent="0.35">
      <c r="D58" s="139">
        <v>0</v>
      </c>
      <c r="E58" s="140">
        <v>1</v>
      </c>
      <c r="F58" s="141">
        <v>2</v>
      </c>
      <c r="G58" s="142">
        <v>3</v>
      </c>
      <c r="H58" s="143">
        <v>4</v>
      </c>
      <c r="I58" s="144">
        <v>5</v>
      </c>
      <c r="J58" s="144">
        <v>5</v>
      </c>
      <c r="K58" s="144">
        <v>5</v>
      </c>
      <c r="L58" s="144">
        <v>5</v>
      </c>
      <c r="N58">
        <f t="shared" ref="N58:S60" si="50">(C58+1)/$P$57</f>
        <v>0.16666666666666666</v>
      </c>
      <c r="O58">
        <f t="shared" si="50"/>
        <v>0.16666666666666666</v>
      </c>
      <c r="P58">
        <f t="shared" si="50"/>
        <v>0.33333333333333331</v>
      </c>
      <c r="Q58">
        <f t="shared" si="50"/>
        <v>0.5</v>
      </c>
      <c r="R58">
        <f t="shared" si="50"/>
        <v>0.66666666666666663</v>
      </c>
      <c r="S58">
        <f t="shared" si="50"/>
        <v>0.83333333333333337</v>
      </c>
      <c r="T58">
        <f>(I58+1)/$P$57</f>
        <v>1</v>
      </c>
      <c r="U58">
        <f t="shared" ref="U58:W60" si="51">(J58+1)/$P$57</f>
        <v>1</v>
      </c>
      <c r="V58">
        <f t="shared" si="51"/>
        <v>1</v>
      </c>
      <c r="W58">
        <f t="shared" si="51"/>
        <v>1</v>
      </c>
      <c r="AE58">
        <v>9</v>
      </c>
      <c r="AK58">
        <f t="shared" si="49"/>
        <v>9</v>
      </c>
    </row>
    <row r="59" spans="2:37" x14ac:dyDescent="0.35">
      <c r="D59" s="145">
        <v>9</v>
      </c>
      <c r="E59" s="146">
        <v>10</v>
      </c>
      <c r="F59" s="147">
        <v>11</v>
      </c>
      <c r="G59" s="148">
        <v>12</v>
      </c>
      <c r="H59" s="149">
        <v>13</v>
      </c>
      <c r="I59" s="150">
        <v>14</v>
      </c>
      <c r="J59" s="148">
        <v>15</v>
      </c>
      <c r="K59" s="149">
        <v>16</v>
      </c>
      <c r="L59" s="150">
        <v>17</v>
      </c>
      <c r="N59">
        <f t="shared" si="50"/>
        <v>0.16666666666666666</v>
      </c>
      <c r="O59">
        <f t="shared" si="50"/>
        <v>1.6666666666666667</v>
      </c>
      <c r="P59">
        <f t="shared" si="50"/>
        <v>1.8333333333333333</v>
      </c>
      <c r="Q59">
        <f t="shared" si="50"/>
        <v>2</v>
      </c>
      <c r="R59">
        <f t="shared" si="50"/>
        <v>2.1666666666666665</v>
      </c>
      <c r="S59">
        <f t="shared" si="50"/>
        <v>2.3333333333333335</v>
      </c>
      <c r="T59">
        <f t="shared" ref="T59:T60" si="52">(I59+1)/$P$57</f>
        <v>2.5</v>
      </c>
      <c r="U59">
        <f t="shared" si="51"/>
        <v>2.6666666666666665</v>
      </c>
      <c r="V59">
        <f t="shared" si="51"/>
        <v>2.8333333333333335</v>
      </c>
      <c r="W59">
        <f t="shared" si="51"/>
        <v>3</v>
      </c>
      <c r="AD59">
        <f t="shared" ref="AD59:AD64" si="53">SUM(Q38:V38)</f>
        <v>71.258840233231936</v>
      </c>
      <c r="AE59">
        <v>7</v>
      </c>
      <c r="AK59">
        <f t="shared" si="49"/>
        <v>7</v>
      </c>
    </row>
    <row r="60" spans="2:37" ht="15" thickBot="1" x14ac:dyDescent="0.4">
      <c r="D60" s="145">
        <v>18</v>
      </c>
      <c r="E60" s="146">
        <v>19</v>
      </c>
      <c r="F60" s="147">
        <v>20</v>
      </c>
      <c r="G60" s="148">
        <v>21</v>
      </c>
      <c r="H60" s="149">
        <v>22</v>
      </c>
      <c r="I60" s="150">
        <v>23</v>
      </c>
      <c r="J60" s="148">
        <v>24</v>
      </c>
      <c r="K60" s="149">
        <v>25</v>
      </c>
      <c r="L60" s="150">
        <v>26</v>
      </c>
      <c r="N60">
        <f t="shared" si="50"/>
        <v>0.16666666666666666</v>
      </c>
      <c r="O60">
        <f t="shared" si="50"/>
        <v>3.1666666666666665</v>
      </c>
      <c r="P60">
        <f t="shared" si="50"/>
        <v>3.3333333333333335</v>
      </c>
      <c r="Q60">
        <f t="shared" si="50"/>
        <v>3.5</v>
      </c>
      <c r="R60">
        <f t="shared" si="50"/>
        <v>3.6666666666666665</v>
      </c>
      <c r="S60">
        <f t="shared" si="50"/>
        <v>3.8333333333333335</v>
      </c>
      <c r="T60">
        <f t="shared" si="52"/>
        <v>4</v>
      </c>
      <c r="U60">
        <f t="shared" si="51"/>
        <v>4.166666666666667</v>
      </c>
      <c r="V60">
        <f t="shared" si="51"/>
        <v>4.333333333333333</v>
      </c>
      <c r="W60">
        <f t="shared" si="51"/>
        <v>4.5</v>
      </c>
      <c r="AD60">
        <f t="shared" si="53"/>
        <v>79.363077633186265</v>
      </c>
      <c r="AE60">
        <v>2</v>
      </c>
      <c r="AF60">
        <v>120</v>
      </c>
      <c r="AG60">
        <v>100</v>
      </c>
      <c r="AH60">
        <v>53</v>
      </c>
      <c r="AI60">
        <v>135</v>
      </c>
      <c r="AJ60" t="s">
        <v>73</v>
      </c>
      <c r="AK60">
        <f t="shared" si="49"/>
        <v>410</v>
      </c>
    </row>
    <row r="61" spans="2:37" x14ac:dyDescent="0.35">
      <c r="D61" s="142">
        <v>27</v>
      </c>
      <c r="E61" s="143">
        <v>28</v>
      </c>
      <c r="F61" s="144">
        <v>29</v>
      </c>
      <c r="G61" s="151">
        <v>30</v>
      </c>
      <c r="H61" s="152">
        <v>31</v>
      </c>
      <c r="I61" s="153">
        <v>32</v>
      </c>
      <c r="J61" s="151">
        <v>33</v>
      </c>
      <c r="K61" s="152">
        <v>34</v>
      </c>
      <c r="L61" s="153">
        <v>35</v>
      </c>
      <c r="AD61">
        <f t="shared" si="53"/>
        <v>63.709334238051369</v>
      </c>
      <c r="AE61">
        <v>1</v>
      </c>
      <c r="AF61">
        <v>25</v>
      </c>
      <c r="AG61">
        <v>60</v>
      </c>
      <c r="AH61">
        <v>52</v>
      </c>
      <c r="AI61">
        <v>288</v>
      </c>
      <c r="AK61">
        <f t="shared" si="49"/>
        <v>426</v>
      </c>
    </row>
    <row r="62" spans="2:37" x14ac:dyDescent="0.35">
      <c r="D62" s="148">
        <v>36</v>
      </c>
      <c r="E62" s="149">
        <v>37</v>
      </c>
      <c r="F62" s="150">
        <v>38</v>
      </c>
      <c r="G62" s="154">
        <v>39</v>
      </c>
      <c r="H62" s="155">
        <v>40</v>
      </c>
      <c r="I62" s="156">
        <v>41</v>
      </c>
      <c r="J62" s="154">
        <v>42</v>
      </c>
      <c r="K62" s="155">
        <v>43</v>
      </c>
      <c r="L62" s="156">
        <v>44</v>
      </c>
      <c r="AD62">
        <f t="shared" si="53"/>
        <v>407.7631666657129</v>
      </c>
      <c r="AE62">
        <v>11</v>
      </c>
      <c r="AF62">
        <v>12</v>
      </c>
      <c r="AG62">
        <v>27</v>
      </c>
      <c r="AH62">
        <v>45</v>
      </c>
      <c r="AI62">
        <v>230</v>
      </c>
      <c r="AK62">
        <f t="shared" si="49"/>
        <v>325</v>
      </c>
    </row>
    <row r="63" spans="2:37" ht="15" thickBot="1" x14ac:dyDescent="0.4">
      <c r="D63" s="148">
        <v>45</v>
      </c>
      <c r="E63" s="149">
        <v>46</v>
      </c>
      <c r="F63" s="150">
        <v>47</v>
      </c>
      <c r="G63" s="154">
        <v>48</v>
      </c>
      <c r="H63" s="155">
        <v>49</v>
      </c>
      <c r="I63" s="156">
        <v>50</v>
      </c>
      <c r="J63" s="154">
        <v>51</v>
      </c>
      <c r="K63" s="155">
        <v>52</v>
      </c>
      <c r="L63" s="156">
        <v>53</v>
      </c>
      <c r="AD63">
        <f t="shared" si="53"/>
        <v>434.97132577549905</v>
      </c>
      <c r="AE63">
        <f t="shared" ref="AE63:AH63" si="54">AE64-SUM(AE57:AE62)</f>
        <v>-23</v>
      </c>
      <c r="AF63">
        <f t="shared" si="54"/>
        <v>253</v>
      </c>
      <c r="AG63">
        <f t="shared" si="54"/>
        <v>239</v>
      </c>
      <c r="AH63">
        <f t="shared" si="54"/>
        <v>175</v>
      </c>
    </row>
    <row r="64" spans="2:37" x14ac:dyDescent="0.35">
      <c r="D64" s="142">
        <v>54</v>
      </c>
      <c r="E64" s="143">
        <v>55</v>
      </c>
      <c r="F64" s="144">
        <v>56</v>
      </c>
      <c r="G64" s="151">
        <v>57</v>
      </c>
      <c r="H64" s="152">
        <v>58</v>
      </c>
      <c r="I64" s="153">
        <v>59</v>
      </c>
      <c r="J64" s="151">
        <v>60</v>
      </c>
      <c r="K64" s="152">
        <v>61</v>
      </c>
      <c r="L64" s="153">
        <v>62</v>
      </c>
      <c r="AD64">
        <f t="shared" si="53"/>
        <v>328.44213751445727</v>
      </c>
      <c r="AE64">
        <f>AK59</f>
        <v>7</v>
      </c>
      <c r="AF64">
        <f>AK60</f>
        <v>410</v>
      </c>
      <c r="AG64">
        <f>AK61</f>
        <v>426</v>
      </c>
      <c r="AH64">
        <f>AK62</f>
        <v>325</v>
      </c>
    </row>
    <row r="65" spans="4:37" x14ac:dyDescent="0.35">
      <c r="D65" s="148">
        <v>63</v>
      </c>
      <c r="E65" s="149">
        <v>64</v>
      </c>
      <c r="F65" s="150">
        <v>65</v>
      </c>
      <c r="G65" s="154">
        <v>66</v>
      </c>
      <c r="H65" s="155">
        <v>67</v>
      </c>
      <c r="I65" s="156">
        <v>68</v>
      </c>
      <c r="J65" s="154">
        <v>69</v>
      </c>
      <c r="K65" s="155">
        <v>70</v>
      </c>
      <c r="L65" s="156">
        <v>71</v>
      </c>
    </row>
    <row r="66" spans="4:37" ht="15" thickBot="1" x14ac:dyDescent="0.4">
      <c r="D66" s="157">
        <v>72</v>
      </c>
      <c r="E66" s="158">
        <v>73</v>
      </c>
      <c r="F66" s="159">
        <v>74</v>
      </c>
      <c r="G66" s="160">
        <v>75</v>
      </c>
      <c r="H66" s="161">
        <v>76</v>
      </c>
      <c r="I66" s="162">
        <v>77</v>
      </c>
      <c r="J66" s="160">
        <v>78</v>
      </c>
      <c r="K66" s="161">
        <v>79</v>
      </c>
      <c r="L66" s="162">
        <v>80</v>
      </c>
    </row>
    <row r="67" spans="4:37" x14ac:dyDescent="0.35">
      <c r="AC67" s="205" t="s">
        <v>72</v>
      </c>
      <c r="AD67" s="205"/>
      <c r="AE67" s="205"/>
      <c r="AF67" s="202" t="s">
        <v>73</v>
      </c>
      <c r="AG67" s="202"/>
      <c r="AH67" s="202"/>
    </row>
    <row r="68" spans="4:37" x14ac:dyDescent="0.35">
      <c r="AC68" s="205"/>
      <c r="AD68" s="205"/>
      <c r="AE68" s="205"/>
      <c r="AF68" s="202"/>
      <c r="AG68" s="202"/>
      <c r="AH68" s="202"/>
    </row>
    <row r="69" spans="4:37" x14ac:dyDescent="0.35">
      <c r="P69" t="s">
        <v>88</v>
      </c>
      <c r="Q69" t="s">
        <v>87</v>
      </c>
      <c r="AB69" s="1"/>
      <c r="AC69" s="78">
        <v>1</v>
      </c>
      <c r="AD69" s="78">
        <v>2</v>
      </c>
      <c r="AE69" s="78">
        <v>3</v>
      </c>
      <c r="AF69" s="78">
        <v>1</v>
      </c>
      <c r="AG69" s="78">
        <v>2</v>
      </c>
      <c r="AH69" s="78">
        <v>3</v>
      </c>
      <c r="AI69" s="218" t="s">
        <v>74</v>
      </c>
      <c r="AJ69" s="219"/>
      <c r="AK69" s="78" t="s">
        <v>44</v>
      </c>
    </row>
    <row r="70" spans="4:37" ht="15" thickBot="1" x14ac:dyDescent="0.4">
      <c r="P70">
        <v>6</v>
      </c>
      <c r="Q70">
        <v>2</v>
      </c>
      <c r="AA70" s="205" t="s">
        <v>72</v>
      </c>
      <c r="AB70" s="78">
        <v>1</v>
      </c>
      <c r="AC70" s="100" t="e">
        <f>(#REF!-D5)/D5</f>
        <v>#REF!</v>
      </c>
      <c r="AD70" s="100" t="e">
        <f>(#REF!-E5)/E5</f>
        <v>#REF!</v>
      </c>
      <c r="AE70" s="100">
        <f t="shared" ref="AE70:AH75" si="55">(AE57-F5)/F5</f>
        <v>-1</v>
      </c>
      <c r="AF70" s="100">
        <f t="shared" si="55"/>
        <v>-1</v>
      </c>
      <c r="AG70" s="100">
        <f t="shared" si="55"/>
        <v>-1</v>
      </c>
      <c r="AH70" s="100">
        <f t="shared" si="55"/>
        <v>-1</v>
      </c>
      <c r="AI70" s="101">
        <f t="shared" ref="AI70:AI75" si="56">(AI57-M5)/M5</f>
        <v>-1</v>
      </c>
      <c r="AJ70" s="222" t="s">
        <v>72</v>
      </c>
      <c r="AK70" s="101">
        <f t="shared" ref="AK70:AK75" si="57">(AK57-O5)/O5</f>
        <v>-1</v>
      </c>
    </row>
    <row r="71" spans="4:37" x14ac:dyDescent="0.35">
      <c r="D71" s="139">
        <v>0</v>
      </c>
      <c r="E71" s="140">
        <v>1</v>
      </c>
      <c r="F71" s="141">
        <v>2</v>
      </c>
      <c r="G71" s="142">
        <v>3</v>
      </c>
      <c r="H71" s="143">
        <v>4</v>
      </c>
      <c r="I71" s="144">
        <v>5</v>
      </c>
      <c r="N71">
        <f t="shared" ref="N71:N73" si="58">(C71+1)/$P$57</f>
        <v>0.16666666666666666</v>
      </c>
      <c r="O71">
        <f t="shared" ref="O71:O73" si="59">(D71+1)/$P$57</f>
        <v>0.16666666666666666</v>
      </c>
      <c r="P71">
        <f t="shared" ref="P71:S73" si="60">(E71+1)/$P$57</f>
        <v>0.33333333333333331</v>
      </c>
      <c r="Q71">
        <f t="shared" si="60"/>
        <v>0.5</v>
      </c>
      <c r="R71">
        <f t="shared" si="60"/>
        <v>0.66666666666666663</v>
      </c>
      <c r="S71">
        <f t="shared" si="60"/>
        <v>0.83333333333333337</v>
      </c>
      <c r="T71">
        <f>(I71+1)/$P$57</f>
        <v>1</v>
      </c>
      <c r="AA71" s="205"/>
      <c r="AB71" s="78">
        <v>2</v>
      </c>
      <c r="AC71" s="100" t="e">
        <f>(#REF!-D6)/D6</f>
        <v>#REF!</v>
      </c>
      <c r="AD71" s="100" t="e">
        <f>(#REF!-E6)/E6</f>
        <v>#REF!</v>
      </c>
      <c r="AE71" s="100">
        <f t="shared" si="55"/>
        <v>0</v>
      </c>
      <c r="AF71" s="100">
        <f t="shared" si="55"/>
        <v>-1</v>
      </c>
      <c r="AG71" s="100">
        <f t="shared" si="55"/>
        <v>-1</v>
      </c>
      <c r="AH71" s="100">
        <f t="shared" si="55"/>
        <v>-1</v>
      </c>
      <c r="AI71" s="101">
        <f t="shared" si="56"/>
        <v>-1</v>
      </c>
      <c r="AJ71" s="223"/>
      <c r="AK71" s="101">
        <f t="shared" si="57"/>
        <v>-0.90109890109890112</v>
      </c>
    </row>
    <row r="72" spans="4:37" x14ac:dyDescent="0.35">
      <c r="D72" s="145">
        <v>6</v>
      </c>
      <c r="E72" s="146">
        <v>7</v>
      </c>
      <c r="F72" s="147">
        <v>8</v>
      </c>
      <c r="G72" s="148">
        <v>9</v>
      </c>
      <c r="H72" s="149">
        <v>10</v>
      </c>
      <c r="I72" s="150">
        <v>11</v>
      </c>
      <c r="N72">
        <f t="shared" si="58"/>
        <v>0.16666666666666666</v>
      </c>
      <c r="O72">
        <f t="shared" si="59"/>
        <v>1.1666666666666667</v>
      </c>
      <c r="P72">
        <f t="shared" si="60"/>
        <v>1.3333333333333333</v>
      </c>
      <c r="Q72">
        <f t="shared" si="60"/>
        <v>1.5</v>
      </c>
      <c r="R72">
        <f t="shared" si="60"/>
        <v>1.6666666666666667</v>
      </c>
      <c r="S72">
        <f t="shared" si="60"/>
        <v>1.8333333333333333</v>
      </c>
      <c r="T72">
        <f t="shared" ref="T72:T73" si="61">(I72+1)/$P$57</f>
        <v>2</v>
      </c>
      <c r="AA72" s="205"/>
      <c r="AB72" s="78">
        <v>3</v>
      </c>
      <c r="AC72" s="100" t="e">
        <f>(#REF!-D7)/D7</f>
        <v>#REF!</v>
      </c>
      <c r="AD72" s="100" t="e">
        <f>(#REF!-E7)/E7</f>
        <v>#REF!</v>
      </c>
      <c r="AE72" s="100">
        <f t="shared" si="55"/>
        <v>0</v>
      </c>
      <c r="AF72" s="100">
        <f t="shared" si="55"/>
        <v>-1</v>
      </c>
      <c r="AG72" s="100">
        <f t="shared" si="55"/>
        <v>-1</v>
      </c>
      <c r="AH72" s="100">
        <f t="shared" si="55"/>
        <v>-1</v>
      </c>
      <c r="AI72" s="101">
        <f t="shared" si="56"/>
        <v>-1</v>
      </c>
      <c r="AJ72" s="223"/>
      <c r="AK72" s="101">
        <f t="shared" si="57"/>
        <v>-0.91139240506329111</v>
      </c>
    </row>
    <row r="73" spans="4:37" ht="15" thickBot="1" x14ac:dyDescent="0.4">
      <c r="D73" s="145">
        <v>12</v>
      </c>
      <c r="E73" s="146">
        <v>13</v>
      </c>
      <c r="F73" s="147">
        <v>14</v>
      </c>
      <c r="G73" s="148">
        <v>15</v>
      </c>
      <c r="H73" s="149">
        <v>16</v>
      </c>
      <c r="I73" s="150">
        <v>17</v>
      </c>
      <c r="N73">
        <f t="shared" si="58"/>
        <v>0.16666666666666666</v>
      </c>
      <c r="O73">
        <f t="shared" si="59"/>
        <v>2.1666666666666665</v>
      </c>
      <c r="P73">
        <f t="shared" si="60"/>
        <v>2.3333333333333335</v>
      </c>
      <c r="Q73">
        <f t="shared" si="60"/>
        <v>2.5</v>
      </c>
      <c r="R73">
        <f t="shared" si="60"/>
        <v>2.6666666666666665</v>
      </c>
      <c r="S73">
        <f t="shared" si="60"/>
        <v>2.8333333333333335</v>
      </c>
      <c r="T73">
        <f t="shared" si="61"/>
        <v>3</v>
      </c>
      <c r="AA73" s="202" t="s">
        <v>73</v>
      </c>
      <c r="AB73" s="78">
        <v>1</v>
      </c>
      <c r="AC73" s="100" t="e">
        <f>(#REF!-D8)/D8</f>
        <v>#REF!</v>
      </c>
      <c r="AD73" s="100" t="e">
        <f>(#REF!-E8)/E8</f>
        <v>#REF!</v>
      </c>
      <c r="AE73" s="100">
        <f t="shared" si="55"/>
        <v>0</v>
      </c>
      <c r="AF73" s="100">
        <f t="shared" si="55"/>
        <v>0</v>
      </c>
      <c r="AG73" s="100">
        <f t="shared" si="55"/>
        <v>0</v>
      </c>
      <c r="AH73" s="100">
        <f t="shared" si="55"/>
        <v>0</v>
      </c>
      <c r="AI73" s="101">
        <f t="shared" si="56"/>
        <v>0</v>
      </c>
      <c r="AJ73" s="203" t="s">
        <v>73</v>
      </c>
      <c r="AK73" s="101">
        <f t="shared" si="57"/>
        <v>-3.3018867924528301E-2</v>
      </c>
    </row>
    <row r="74" spans="4:37" x14ac:dyDescent="0.35">
      <c r="D74" s="142">
        <v>18</v>
      </c>
      <c r="E74" s="143">
        <v>19</v>
      </c>
      <c r="F74" s="144">
        <v>20</v>
      </c>
      <c r="G74" s="151">
        <v>21</v>
      </c>
      <c r="H74" s="152">
        <v>22</v>
      </c>
      <c r="I74" s="153">
        <v>23</v>
      </c>
      <c r="AA74" s="202"/>
      <c r="AB74" s="78">
        <v>2</v>
      </c>
      <c r="AC74" s="100" t="e">
        <f>(#REF!-D9)/D9</f>
        <v>#REF!</v>
      </c>
      <c r="AD74" s="100" t="e">
        <f>(#REF!-E9)/E9</f>
        <v>#REF!</v>
      </c>
      <c r="AE74" s="100">
        <f t="shared" si="55"/>
        <v>0</v>
      </c>
      <c r="AF74" s="100">
        <f t="shared" si="55"/>
        <v>0</v>
      </c>
      <c r="AG74" s="100">
        <f t="shared" si="55"/>
        <v>0</v>
      </c>
      <c r="AH74" s="100">
        <f t="shared" si="55"/>
        <v>0</v>
      </c>
      <c r="AI74" s="101">
        <f t="shared" si="56"/>
        <v>0</v>
      </c>
      <c r="AJ74" s="203"/>
      <c r="AK74" s="101">
        <f t="shared" si="57"/>
        <v>-4.9107142857142856E-2</v>
      </c>
    </row>
    <row r="75" spans="4:37" ht="15" thickBot="1" x14ac:dyDescent="0.4">
      <c r="D75" s="148">
        <v>24</v>
      </c>
      <c r="E75" s="149">
        <v>25</v>
      </c>
      <c r="F75" s="150">
        <v>26</v>
      </c>
      <c r="G75" s="154">
        <v>27</v>
      </c>
      <c r="H75" s="155">
        <v>28</v>
      </c>
      <c r="I75" s="156">
        <v>29</v>
      </c>
      <c r="AA75" s="202"/>
      <c r="AB75" s="81">
        <v>3</v>
      </c>
      <c r="AC75" s="100" t="e">
        <f>(#REF!-D10)/D10</f>
        <v>#REF!</v>
      </c>
      <c r="AD75" s="100" t="e">
        <f>(#REF!-E10)/E10</f>
        <v>#REF!</v>
      </c>
      <c r="AE75" s="100">
        <f t="shared" si="55"/>
        <v>0</v>
      </c>
      <c r="AF75" s="100">
        <f t="shared" si="55"/>
        <v>0</v>
      </c>
      <c r="AG75" s="100">
        <f t="shared" si="55"/>
        <v>0</v>
      </c>
      <c r="AH75" s="100">
        <f t="shared" si="55"/>
        <v>0</v>
      </c>
      <c r="AI75" s="101">
        <f t="shared" si="56"/>
        <v>0</v>
      </c>
      <c r="AJ75" s="204"/>
      <c r="AK75" s="101">
        <f t="shared" si="57"/>
        <v>-4.4117647058823532E-2</v>
      </c>
    </row>
    <row r="76" spans="4:37" ht="15" thickTop="1" x14ac:dyDescent="0.35">
      <c r="D76" s="148">
        <v>30</v>
      </c>
      <c r="E76" s="149">
        <v>31</v>
      </c>
      <c r="F76" s="150">
        <v>32</v>
      </c>
      <c r="G76" s="154">
        <v>33</v>
      </c>
      <c r="H76" s="155">
        <v>34</v>
      </c>
      <c r="I76" s="156">
        <v>35</v>
      </c>
      <c r="AB76" s="80" t="s">
        <v>5</v>
      </c>
      <c r="AC76" s="102" t="e">
        <f>(#REF!-D14)/D14</f>
        <v>#REF!</v>
      </c>
      <c r="AD76" s="102" t="e">
        <f>(#REF!-E14)/E14</f>
        <v>#REF!</v>
      </c>
      <c r="AE76" s="102">
        <f t="shared" ref="AE76:AH77" si="62">(AE63-F14)/F14</f>
        <v>-1.71875</v>
      </c>
      <c r="AF76" s="102">
        <f t="shared" si="62"/>
        <v>2.4291497975708502E-2</v>
      </c>
      <c r="AG76" s="102">
        <f t="shared" si="62"/>
        <v>3.4632034632034632E-2</v>
      </c>
      <c r="AH76" s="102">
        <f t="shared" si="62"/>
        <v>0.11464968152866242</v>
      </c>
      <c r="AI76" s="103"/>
      <c r="AJ76" s="103"/>
      <c r="AK76" s="103"/>
    </row>
    <row r="77" spans="4:37" x14ac:dyDescent="0.35">
      <c r="AB77" s="78" t="s">
        <v>44</v>
      </c>
      <c r="AC77" s="102" t="e">
        <f>(#REF!-D15)/D15</f>
        <v>#REF!</v>
      </c>
      <c r="AD77" s="102" t="e">
        <f>(#REF!-E15)/E15</f>
        <v>#REF!</v>
      </c>
      <c r="AE77" s="102">
        <f t="shared" si="62"/>
        <v>-0.91139240506329111</v>
      </c>
      <c r="AF77" s="102">
        <f t="shared" si="62"/>
        <v>-3.3018867924528301E-2</v>
      </c>
      <c r="AG77" s="102">
        <f t="shared" si="62"/>
        <v>-4.9107142857142856E-2</v>
      </c>
      <c r="AH77" s="102">
        <f t="shared" si="62"/>
        <v>-4.4117647058823532E-2</v>
      </c>
      <c r="AI77" s="99"/>
      <c r="AJ77" s="99"/>
      <c r="AK77" s="99"/>
    </row>
    <row r="79" spans="4:37" ht="15" thickBot="1" x14ac:dyDescent="0.4"/>
    <row r="80" spans="4:37" x14ac:dyDescent="0.35">
      <c r="D80" s="139">
        <v>0</v>
      </c>
      <c r="E80" s="140">
        <v>1</v>
      </c>
      <c r="F80" s="141">
        <v>2</v>
      </c>
      <c r="G80" s="142">
        <v>3</v>
      </c>
      <c r="H80" s="143">
        <v>4</v>
      </c>
      <c r="I80" s="144">
        <v>5</v>
      </c>
      <c r="J80" s="142">
        <v>6</v>
      </c>
      <c r="K80" s="143">
        <v>7</v>
      </c>
      <c r="L80" s="144">
        <v>8</v>
      </c>
      <c r="M80" s="139">
        <v>9</v>
      </c>
      <c r="N80" s="140">
        <v>10</v>
      </c>
      <c r="O80" s="141">
        <v>11</v>
      </c>
      <c r="R80">
        <f t="shared" ref="R80:R82" si="63">(G80+1)/$P$57</f>
        <v>0.66666666666666663</v>
      </c>
      <c r="S80">
        <f t="shared" ref="S80:S82" si="64">(H80+1)/$P$57</f>
        <v>0.83333333333333337</v>
      </c>
      <c r="T80">
        <f>(I80+1)/$P$57</f>
        <v>1</v>
      </c>
    </row>
    <row r="81" spans="4:20" x14ac:dyDescent="0.35">
      <c r="D81" s="145">
        <v>12</v>
      </c>
      <c r="E81" s="146">
        <v>13</v>
      </c>
      <c r="F81" s="147">
        <v>14</v>
      </c>
      <c r="G81" s="148">
        <v>15</v>
      </c>
      <c r="H81" s="149">
        <v>16</v>
      </c>
      <c r="I81" s="150">
        <v>17</v>
      </c>
      <c r="J81" s="148">
        <v>18</v>
      </c>
      <c r="K81" s="149">
        <v>19</v>
      </c>
      <c r="L81" s="150">
        <v>20</v>
      </c>
      <c r="M81" s="145">
        <v>21</v>
      </c>
      <c r="N81" s="146">
        <v>22</v>
      </c>
      <c r="O81" s="147">
        <v>23</v>
      </c>
      <c r="R81">
        <f t="shared" si="63"/>
        <v>2.6666666666666665</v>
      </c>
      <c r="S81">
        <f t="shared" si="64"/>
        <v>2.8333333333333335</v>
      </c>
      <c r="T81">
        <f t="shared" ref="T81:T82" si="65">(I81+1)/$P$57</f>
        <v>3</v>
      </c>
    </row>
    <row r="82" spans="4:20" ht="15" thickBot="1" x14ac:dyDescent="0.4">
      <c r="D82" s="145">
        <v>24</v>
      </c>
      <c r="E82" s="146">
        <v>25</v>
      </c>
      <c r="F82" s="147">
        <v>26</v>
      </c>
      <c r="G82" s="148">
        <v>27</v>
      </c>
      <c r="H82" s="149">
        <v>28</v>
      </c>
      <c r="I82" s="150">
        <v>29</v>
      </c>
      <c r="J82" s="148">
        <v>30</v>
      </c>
      <c r="K82" s="149">
        <v>31</v>
      </c>
      <c r="L82" s="150">
        <v>32</v>
      </c>
      <c r="M82" s="145">
        <v>33</v>
      </c>
      <c r="N82" s="146">
        <v>34</v>
      </c>
      <c r="O82" s="147">
        <v>35</v>
      </c>
      <c r="R82">
        <f t="shared" si="63"/>
        <v>4.666666666666667</v>
      </c>
      <c r="S82">
        <f t="shared" si="64"/>
        <v>4.833333333333333</v>
      </c>
      <c r="T82">
        <f t="shared" si="65"/>
        <v>5</v>
      </c>
    </row>
    <row r="83" spans="4:20" x14ac:dyDescent="0.35">
      <c r="D83" s="142">
        <v>36</v>
      </c>
      <c r="E83" s="143">
        <v>37</v>
      </c>
      <c r="F83" s="144">
        <v>38</v>
      </c>
      <c r="G83" s="151">
        <v>39</v>
      </c>
      <c r="H83" s="152">
        <v>40</v>
      </c>
      <c r="I83" s="153">
        <v>41</v>
      </c>
      <c r="J83" s="151">
        <v>42</v>
      </c>
      <c r="K83" s="152">
        <v>43</v>
      </c>
      <c r="L83" s="153">
        <v>44</v>
      </c>
      <c r="M83" s="142">
        <v>45</v>
      </c>
      <c r="N83" s="143">
        <v>46</v>
      </c>
      <c r="O83" s="144">
        <v>47</v>
      </c>
    </row>
    <row r="84" spans="4:20" x14ac:dyDescent="0.35">
      <c r="D84" s="148">
        <v>48</v>
      </c>
      <c r="E84" s="149">
        <v>49</v>
      </c>
      <c r="F84" s="150">
        <v>50</v>
      </c>
      <c r="G84" s="154">
        <v>51</v>
      </c>
      <c r="H84" s="155">
        <v>52</v>
      </c>
      <c r="I84" s="156">
        <v>53</v>
      </c>
      <c r="J84" s="154">
        <v>54</v>
      </c>
      <c r="K84" s="155">
        <v>55</v>
      </c>
      <c r="L84" s="156">
        <v>56</v>
      </c>
      <c r="M84" s="148">
        <v>57</v>
      </c>
      <c r="N84" s="149">
        <v>58</v>
      </c>
      <c r="O84" s="150">
        <v>59</v>
      </c>
      <c r="Q84">
        <f>3+(4*3^2)</f>
        <v>39</v>
      </c>
    </row>
    <row r="85" spans="4:20" ht="15" thickBot="1" x14ac:dyDescent="0.4">
      <c r="D85" s="148">
        <v>60</v>
      </c>
      <c r="E85" s="149">
        <v>61</v>
      </c>
      <c r="F85" s="150">
        <v>62</v>
      </c>
      <c r="G85" s="154">
        <v>63</v>
      </c>
      <c r="H85" s="155">
        <v>64</v>
      </c>
      <c r="I85" s="156">
        <v>65</v>
      </c>
      <c r="J85" s="154">
        <v>66</v>
      </c>
      <c r="K85" s="155">
        <v>67</v>
      </c>
      <c r="L85" s="156">
        <v>68</v>
      </c>
      <c r="M85" s="148">
        <v>69</v>
      </c>
      <c r="N85" s="149">
        <v>70</v>
      </c>
      <c r="O85" s="150">
        <v>71</v>
      </c>
    </row>
    <row r="86" spans="4:20" x14ac:dyDescent="0.35">
      <c r="D86" s="142">
        <v>72</v>
      </c>
      <c r="E86" s="143">
        <v>73</v>
      </c>
      <c r="F86" s="144">
        <v>74</v>
      </c>
      <c r="G86" s="151">
        <v>75</v>
      </c>
      <c r="H86" s="152">
        <v>76</v>
      </c>
      <c r="I86" s="153">
        <v>77</v>
      </c>
      <c r="J86" s="151">
        <v>78</v>
      </c>
      <c r="K86" s="152">
        <v>79</v>
      </c>
      <c r="L86" s="153">
        <v>80</v>
      </c>
      <c r="M86" s="142">
        <v>81</v>
      </c>
      <c r="N86" s="143">
        <v>82</v>
      </c>
      <c r="O86" s="144">
        <v>83</v>
      </c>
      <c r="P86">
        <f>2*4*3^2</f>
        <v>72</v>
      </c>
    </row>
    <row r="87" spans="4:20" x14ac:dyDescent="0.35">
      <c r="D87" s="148">
        <v>84</v>
      </c>
      <c r="E87" s="149">
        <v>85</v>
      </c>
      <c r="F87" s="150">
        <v>86</v>
      </c>
      <c r="G87" s="154">
        <v>87</v>
      </c>
      <c r="H87" s="155">
        <v>88</v>
      </c>
      <c r="I87" s="156">
        <v>89</v>
      </c>
      <c r="J87" s="154">
        <v>90</v>
      </c>
      <c r="K87" s="155">
        <v>91</v>
      </c>
      <c r="L87" s="156">
        <v>92</v>
      </c>
      <c r="M87" s="148">
        <v>93</v>
      </c>
      <c r="N87" s="149">
        <v>94</v>
      </c>
      <c r="O87" s="150">
        <v>95</v>
      </c>
    </row>
    <row r="88" spans="4:20" ht="15" thickBot="1" x14ac:dyDescent="0.4">
      <c r="D88" s="157">
        <v>96</v>
      </c>
      <c r="E88" s="158">
        <v>97</v>
      </c>
      <c r="F88" s="159">
        <v>98</v>
      </c>
      <c r="G88" s="160">
        <v>99</v>
      </c>
      <c r="H88" s="161">
        <v>100</v>
      </c>
      <c r="I88" s="162">
        <v>101</v>
      </c>
      <c r="J88" s="160">
        <v>102</v>
      </c>
      <c r="K88" s="161">
        <v>103</v>
      </c>
      <c r="L88" s="162">
        <v>104</v>
      </c>
      <c r="M88" s="157">
        <v>105</v>
      </c>
      <c r="N88" s="158">
        <v>106</v>
      </c>
      <c r="O88" s="159">
        <v>107</v>
      </c>
    </row>
    <row r="89" spans="4:20" x14ac:dyDescent="0.35">
      <c r="D89" s="139">
        <v>108</v>
      </c>
      <c r="E89" s="140">
        <v>109</v>
      </c>
      <c r="F89" s="141">
        <v>110</v>
      </c>
      <c r="G89" s="142">
        <v>111</v>
      </c>
      <c r="H89" s="143">
        <v>112</v>
      </c>
      <c r="I89" s="144">
        <v>113</v>
      </c>
      <c r="J89" s="142">
        <v>114</v>
      </c>
      <c r="K89" s="143">
        <v>115</v>
      </c>
      <c r="L89" s="144">
        <v>116</v>
      </c>
      <c r="M89" s="139">
        <v>117</v>
      </c>
      <c r="N89" s="140">
        <v>118</v>
      </c>
      <c r="O89" s="141">
        <v>119</v>
      </c>
    </row>
    <row r="90" spans="4:20" x14ac:dyDescent="0.35">
      <c r="D90" s="145">
        <v>120</v>
      </c>
      <c r="E90" s="146">
        <v>121</v>
      </c>
      <c r="F90" s="147">
        <v>122</v>
      </c>
      <c r="G90" s="148">
        <v>123</v>
      </c>
      <c r="H90" s="149">
        <v>124</v>
      </c>
      <c r="I90" s="150">
        <v>125</v>
      </c>
      <c r="J90" s="148">
        <v>126</v>
      </c>
      <c r="K90" s="149">
        <v>127</v>
      </c>
      <c r="L90" s="150">
        <v>128</v>
      </c>
      <c r="M90" s="145">
        <v>129</v>
      </c>
      <c r="N90" s="146">
        <v>130</v>
      </c>
      <c r="O90" s="147">
        <v>131</v>
      </c>
    </row>
    <row r="91" spans="4:20" x14ac:dyDescent="0.35">
      <c r="D91" s="145">
        <v>132</v>
      </c>
      <c r="E91" s="146">
        <v>133</v>
      </c>
      <c r="F91" s="147">
        <v>134</v>
      </c>
      <c r="G91" s="148">
        <v>135</v>
      </c>
      <c r="H91" s="149">
        <v>136</v>
      </c>
      <c r="I91" s="150">
        <v>137</v>
      </c>
      <c r="J91" s="148">
        <v>138</v>
      </c>
      <c r="K91" s="149">
        <v>139</v>
      </c>
      <c r="L91" s="150">
        <v>140</v>
      </c>
      <c r="M91" s="145">
        <v>141</v>
      </c>
      <c r="N91" s="146">
        <v>142</v>
      </c>
      <c r="O91" s="147">
        <v>143</v>
      </c>
    </row>
    <row r="94" spans="4:20" ht="15" thickBot="1" x14ac:dyDescent="0.4"/>
    <row r="95" spans="4:20" x14ac:dyDescent="0.35">
      <c r="D95" s="139">
        <v>0</v>
      </c>
      <c r="E95" s="141">
        <v>1</v>
      </c>
      <c r="F95" s="139">
        <v>2</v>
      </c>
      <c r="G95" s="141">
        <v>3</v>
      </c>
      <c r="H95" s="139">
        <v>4</v>
      </c>
      <c r="I95" s="141">
        <v>5</v>
      </c>
      <c r="J95" s="139">
        <v>6</v>
      </c>
      <c r="K95" s="141">
        <v>7</v>
      </c>
      <c r="L95" s="139">
        <v>8</v>
      </c>
      <c r="M95" s="141">
        <v>9</v>
      </c>
      <c r="N95" s="139">
        <v>10</v>
      </c>
      <c r="O95" s="141">
        <v>11</v>
      </c>
      <c r="Q95">
        <f t="shared" ref="Q95:R97" si="66">(F95+1)/$P$57</f>
        <v>0.5</v>
      </c>
      <c r="R95">
        <f t="shared" si="66"/>
        <v>0.66666666666666663</v>
      </c>
      <c r="S95">
        <f>(H95+1)/$P$57</f>
        <v>0.83333333333333337</v>
      </c>
      <c r="T95">
        <f>(I95+1)/$P$57</f>
        <v>1</v>
      </c>
    </row>
    <row r="96" spans="4:20" ht="15" thickBot="1" x14ac:dyDescent="0.4">
      <c r="D96" s="163">
        <v>12</v>
      </c>
      <c r="E96" s="164">
        <v>13</v>
      </c>
      <c r="F96" s="163">
        <v>14</v>
      </c>
      <c r="G96" s="164">
        <v>15</v>
      </c>
      <c r="H96" s="163">
        <v>16</v>
      </c>
      <c r="I96" s="164">
        <v>17</v>
      </c>
      <c r="J96" s="163">
        <v>18</v>
      </c>
      <c r="K96" s="164">
        <v>19</v>
      </c>
      <c r="L96" s="163">
        <v>20</v>
      </c>
      <c r="M96" s="164">
        <v>21</v>
      </c>
      <c r="N96" s="163">
        <v>22</v>
      </c>
      <c r="O96" s="164">
        <v>23</v>
      </c>
      <c r="Q96">
        <f t="shared" si="66"/>
        <v>2.5</v>
      </c>
      <c r="R96">
        <f t="shared" si="66"/>
        <v>2.6666666666666665</v>
      </c>
      <c r="S96">
        <f t="shared" ref="S96:S97" si="67">(H96+1)/$P$57</f>
        <v>2.8333333333333335</v>
      </c>
      <c r="T96">
        <f t="shared" ref="T96:T97" si="68">(I96+1)/$P$57</f>
        <v>3</v>
      </c>
    </row>
    <row r="97" spans="4:20" x14ac:dyDescent="0.35">
      <c r="D97" s="139">
        <v>24</v>
      </c>
      <c r="E97" s="141">
        <v>25</v>
      </c>
      <c r="F97" s="139">
        <v>26</v>
      </c>
      <c r="G97" s="141">
        <v>27</v>
      </c>
      <c r="H97" s="139">
        <v>28</v>
      </c>
      <c r="I97" s="141">
        <v>29</v>
      </c>
      <c r="J97" s="139">
        <v>30</v>
      </c>
      <c r="K97" s="141">
        <v>31</v>
      </c>
      <c r="L97" s="139">
        <v>32</v>
      </c>
      <c r="M97" s="141">
        <v>33</v>
      </c>
      <c r="N97" s="139">
        <v>34</v>
      </c>
      <c r="O97" s="141">
        <v>35</v>
      </c>
      <c r="Q97">
        <f t="shared" si="66"/>
        <v>4.5</v>
      </c>
      <c r="R97">
        <f t="shared" si="66"/>
        <v>4.666666666666667</v>
      </c>
      <c r="S97">
        <f t="shared" si="67"/>
        <v>4.833333333333333</v>
      </c>
      <c r="T97">
        <f t="shared" si="68"/>
        <v>5</v>
      </c>
    </row>
    <row r="98" spans="4:20" ht="15" thickBot="1" x14ac:dyDescent="0.4">
      <c r="D98" s="163">
        <v>36</v>
      </c>
      <c r="E98" s="164">
        <v>37</v>
      </c>
      <c r="F98" s="163">
        <v>38</v>
      </c>
      <c r="G98" s="164">
        <v>39</v>
      </c>
      <c r="H98" s="163">
        <v>40</v>
      </c>
      <c r="I98" s="164">
        <v>41</v>
      </c>
      <c r="J98" s="163">
        <v>42</v>
      </c>
      <c r="K98" s="164">
        <v>43</v>
      </c>
      <c r="L98" s="163">
        <v>44</v>
      </c>
      <c r="M98" s="164">
        <v>45</v>
      </c>
      <c r="N98" s="163">
        <v>46</v>
      </c>
      <c r="O98" s="164">
        <v>47</v>
      </c>
    </row>
    <row r="99" spans="4:20" x14ac:dyDescent="0.35">
      <c r="D99" s="139">
        <v>48</v>
      </c>
      <c r="E99" s="141">
        <v>49</v>
      </c>
      <c r="F99" s="139">
        <v>50</v>
      </c>
      <c r="G99" s="141">
        <v>51</v>
      </c>
      <c r="H99" s="139">
        <v>52</v>
      </c>
      <c r="I99" s="141">
        <v>53</v>
      </c>
      <c r="J99" s="139">
        <v>54</v>
      </c>
      <c r="K99" s="141">
        <v>55</v>
      </c>
      <c r="L99" s="139">
        <v>56</v>
      </c>
      <c r="M99" s="141">
        <v>57</v>
      </c>
      <c r="N99" s="139">
        <v>58</v>
      </c>
      <c r="O99" s="141">
        <v>59</v>
      </c>
    </row>
    <row r="100" spans="4:20" ht="15" thickBot="1" x14ac:dyDescent="0.4">
      <c r="D100" s="163">
        <v>60</v>
      </c>
      <c r="E100" s="164">
        <v>61</v>
      </c>
      <c r="F100" s="163">
        <v>62</v>
      </c>
      <c r="G100" s="164">
        <v>63</v>
      </c>
      <c r="H100" s="163">
        <v>64</v>
      </c>
      <c r="I100" s="164">
        <v>65</v>
      </c>
      <c r="J100" s="163">
        <v>66</v>
      </c>
      <c r="K100" s="164">
        <v>67</v>
      </c>
      <c r="L100" s="163">
        <v>68</v>
      </c>
      <c r="M100" s="164">
        <v>69</v>
      </c>
      <c r="N100" s="163">
        <v>70</v>
      </c>
      <c r="O100" s="164">
        <v>71</v>
      </c>
      <c r="Q100">
        <f>2*6*2^2</f>
        <v>48</v>
      </c>
    </row>
    <row r="101" spans="4:20" x14ac:dyDescent="0.35">
      <c r="D101" s="139">
        <v>72</v>
      </c>
      <c r="E101" s="141">
        <v>73</v>
      </c>
      <c r="F101" s="139">
        <v>74</v>
      </c>
      <c r="G101" s="141">
        <v>75</v>
      </c>
      <c r="H101" s="139">
        <v>76</v>
      </c>
      <c r="I101" s="141">
        <v>77</v>
      </c>
      <c r="J101" s="139">
        <v>78</v>
      </c>
      <c r="K101" s="141">
        <v>79</v>
      </c>
      <c r="L101" s="139">
        <v>80</v>
      </c>
      <c r="M101" s="141">
        <v>81</v>
      </c>
      <c r="N101" s="139">
        <v>82</v>
      </c>
      <c r="O101" s="141">
        <v>83</v>
      </c>
      <c r="Q101">
        <f>2+(6*2^2)</f>
        <v>26</v>
      </c>
    </row>
    <row r="102" spans="4:20" ht="15" thickBot="1" x14ac:dyDescent="0.4">
      <c r="D102" s="163">
        <v>84</v>
      </c>
      <c r="E102" s="164">
        <v>85</v>
      </c>
      <c r="F102" s="163">
        <v>86</v>
      </c>
      <c r="G102" s="164">
        <v>87</v>
      </c>
      <c r="H102" s="163">
        <v>88</v>
      </c>
      <c r="I102" s="164">
        <v>89</v>
      </c>
      <c r="J102" s="163">
        <v>90</v>
      </c>
      <c r="K102" s="164">
        <v>91</v>
      </c>
      <c r="L102" s="163">
        <v>92</v>
      </c>
      <c r="M102" s="164">
        <v>93</v>
      </c>
      <c r="N102" s="163">
        <v>94</v>
      </c>
      <c r="O102" s="164">
        <v>95</v>
      </c>
    </row>
    <row r="103" spans="4:20" x14ac:dyDescent="0.35">
      <c r="D103" s="139">
        <v>96</v>
      </c>
      <c r="E103" s="141">
        <v>97</v>
      </c>
      <c r="F103" s="139">
        <v>98</v>
      </c>
      <c r="G103" s="141">
        <v>99</v>
      </c>
      <c r="H103" s="139">
        <v>100</v>
      </c>
      <c r="I103" s="141">
        <v>101</v>
      </c>
      <c r="J103" s="139">
        <v>102</v>
      </c>
      <c r="K103" s="141">
        <v>103</v>
      </c>
      <c r="L103" s="139">
        <v>104</v>
      </c>
      <c r="M103" s="141">
        <v>105</v>
      </c>
      <c r="N103" s="139">
        <v>106</v>
      </c>
      <c r="O103" s="141">
        <v>107</v>
      </c>
    </row>
    <row r="104" spans="4:20" ht="15" thickBot="1" x14ac:dyDescent="0.4">
      <c r="D104" s="163">
        <v>108</v>
      </c>
      <c r="E104" s="164">
        <v>109</v>
      </c>
      <c r="F104" s="163">
        <v>110</v>
      </c>
      <c r="G104" s="164">
        <v>111</v>
      </c>
      <c r="H104" s="163">
        <v>112</v>
      </c>
      <c r="I104" s="164">
        <v>113</v>
      </c>
      <c r="J104" s="163">
        <v>114</v>
      </c>
      <c r="K104" s="164">
        <v>115</v>
      </c>
      <c r="L104" s="163">
        <v>116</v>
      </c>
      <c r="M104" s="164">
        <v>117</v>
      </c>
      <c r="N104" s="163">
        <v>118</v>
      </c>
      <c r="O104" s="164">
        <v>119</v>
      </c>
    </row>
    <row r="105" spans="4:20" x14ac:dyDescent="0.35">
      <c r="D105" s="139">
        <v>120</v>
      </c>
      <c r="E105" s="141">
        <v>121</v>
      </c>
      <c r="F105" s="139">
        <v>122</v>
      </c>
      <c r="G105" s="141">
        <v>123</v>
      </c>
      <c r="H105" s="139">
        <v>124</v>
      </c>
      <c r="I105" s="141">
        <v>125</v>
      </c>
      <c r="J105" s="139">
        <v>126</v>
      </c>
      <c r="K105" s="141">
        <v>127</v>
      </c>
      <c r="L105" s="139">
        <v>128</v>
      </c>
      <c r="M105" s="141">
        <v>129</v>
      </c>
      <c r="N105" s="139">
        <v>130</v>
      </c>
      <c r="O105" s="141">
        <v>131</v>
      </c>
    </row>
    <row r="106" spans="4:20" ht="15" thickBot="1" x14ac:dyDescent="0.4">
      <c r="D106" s="163">
        <v>132</v>
      </c>
      <c r="E106" s="164">
        <v>133</v>
      </c>
      <c r="F106" s="163">
        <v>134</v>
      </c>
      <c r="G106" s="164">
        <v>135</v>
      </c>
      <c r="H106" s="163">
        <v>136</v>
      </c>
      <c r="I106" s="164">
        <v>137</v>
      </c>
      <c r="J106" s="163">
        <v>138</v>
      </c>
      <c r="K106" s="164">
        <v>139</v>
      </c>
      <c r="L106" s="163">
        <v>140</v>
      </c>
      <c r="M106" s="164">
        <v>141</v>
      </c>
      <c r="N106" s="163">
        <v>142</v>
      </c>
      <c r="O106" s="164">
        <v>143</v>
      </c>
    </row>
    <row r="108" spans="4:20" ht="15" thickBot="1" x14ac:dyDescent="0.4"/>
    <row r="109" spans="4:20" x14ac:dyDescent="0.35">
      <c r="D109" s="139">
        <v>0</v>
      </c>
      <c r="E109" s="140">
        <v>1</v>
      </c>
      <c r="F109" s="140">
        <v>2</v>
      </c>
      <c r="G109" s="143">
        <v>3</v>
      </c>
      <c r="H109" s="143">
        <v>4</v>
      </c>
      <c r="I109" s="144">
        <v>5</v>
      </c>
      <c r="J109" s="139">
        <v>6</v>
      </c>
      <c r="K109" s="140">
        <v>7</v>
      </c>
      <c r="L109" s="140">
        <v>8</v>
      </c>
      <c r="M109" s="143">
        <v>9</v>
      </c>
      <c r="N109" s="143">
        <v>10</v>
      </c>
      <c r="O109" s="144">
        <v>11</v>
      </c>
      <c r="P109">
        <f>(E109+1)/$P$57</f>
        <v>0.33333333333333331</v>
      </c>
      <c r="Q109">
        <f t="shared" ref="Q109:Q111" si="69">(F109+1)/$P$57</f>
        <v>0.5</v>
      </c>
      <c r="R109">
        <f t="shared" ref="R109:R111" si="70">(G109+1)/$P$57</f>
        <v>0.66666666666666663</v>
      </c>
      <c r="S109">
        <f t="shared" ref="S109:S111" si="71">(H109+1)/$P$57</f>
        <v>0.83333333333333337</v>
      </c>
      <c r="T109">
        <f>(I109+1)/$P$57</f>
        <v>1</v>
      </c>
    </row>
    <row r="110" spans="4:20" x14ac:dyDescent="0.35">
      <c r="D110" s="145">
        <v>12</v>
      </c>
      <c r="E110" s="146">
        <v>13</v>
      </c>
      <c r="F110" s="146">
        <v>14</v>
      </c>
      <c r="G110" s="149">
        <v>15</v>
      </c>
      <c r="H110" s="149">
        <v>16</v>
      </c>
      <c r="I110" s="150">
        <v>17</v>
      </c>
      <c r="J110" s="145">
        <v>18</v>
      </c>
      <c r="K110" s="146">
        <v>19</v>
      </c>
      <c r="L110" s="146">
        <v>20</v>
      </c>
      <c r="M110" s="149">
        <v>21</v>
      </c>
      <c r="N110" s="149">
        <v>22</v>
      </c>
      <c r="O110" s="150">
        <v>23</v>
      </c>
      <c r="P110">
        <f t="shared" ref="P110" si="72">(E110+1)/$P$57</f>
        <v>2.3333333333333335</v>
      </c>
      <c r="Q110">
        <f t="shared" si="69"/>
        <v>2.5</v>
      </c>
      <c r="R110">
        <f t="shared" si="70"/>
        <v>2.6666666666666665</v>
      </c>
      <c r="S110">
        <f t="shared" si="71"/>
        <v>2.8333333333333335</v>
      </c>
      <c r="T110">
        <f t="shared" ref="T110:T111" si="73">(I110+1)/$P$57</f>
        <v>3</v>
      </c>
    </row>
    <row r="111" spans="4:20" x14ac:dyDescent="0.35">
      <c r="D111" s="145">
        <v>24</v>
      </c>
      <c r="E111" s="146">
        <v>25</v>
      </c>
      <c r="F111" s="146">
        <v>26</v>
      </c>
      <c r="G111" s="149">
        <v>27</v>
      </c>
      <c r="H111" s="149">
        <v>28</v>
      </c>
      <c r="I111" s="150">
        <v>29</v>
      </c>
      <c r="J111" s="145">
        <v>30</v>
      </c>
      <c r="K111" s="146">
        <v>31</v>
      </c>
      <c r="L111" s="146">
        <v>32</v>
      </c>
      <c r="M111" s="149">
        <v>33</v>
      </c>
      <c r="N111" s="149">
        <v>34</v>
      </c>
      <c r="O111" s="150">
        <v>35</v>
      </c>
      <c r="P111">
        <f>(E111+1)/$P$57</f>
        <v>4.333333333333333</v>
      </c>
      <c r="Q111">
        <f t="shared" si="69"/>
        <v>4.5</v>
      </c>
      <c r="R111">
        <f t="shared" si="70"/>
        <v>4.666666666666667</v>
      </c>
      <c r="S111">
        <f t="shared" si="71"/>
        <v>4.833333333333333</v>
      </c>
      <c r="T111">
        <f t="shared" si="73"/>
        <v>5</v>
      </c>
    </row>
    <row r="112" spans="4:20" x14ac:dyDescent="0.35">
      <c r="D112" s="148">
        <v>36</v>
      </c>
      <c r="E112" s="149">
        <v>37</v>
      </c>
      <c r="F112" s="149">
        <v>38</v>
      </c>
      <c r="G112" s="155">
        <v>39</v>
      </c>
      <c r="H112" s="155">
        <v>40</v>
      </c>
      <c r="I112" s="156">
        <v>41</v>
      </c>
      <c r="J112" s="148">
        <v>42</v>
      </c>
      <c r="K112" s="149">
        <v>43</v>
      </c>
      <c r="L112" s="149">
        <v>44</v>
      </c>
      <c r="M112" s="155">
        <v>45</v>
      </c>
      <c r="N112" s="155">
        <v>46</v>
      </c>
      <c r="O112" s="156">
        <v>47</v>
      </c>
      <c r="P112">
        <f>(E112+1)/$P$57</f>
        <v>6.333333333333333</v>
      </c>
      <c r="Q112">
        <f t="shared" ref="Q112:Q113" si="74">(F112+1)/$P$57</f>
        <v>6.5</v>
      </c>
      <c r="R112">
        <f t="shared" ref="R112:R114" si="75">(G112+1)/$P$57</f>
        <v>6.666666666666667</v>
      </c>
      <c r="S112">
        <f t="shared" ref="S112:S114" si="76">(H112+1)/$P$57</f>
        <v>6.833333333333333</v>
      </c>
      <c r="T112">
        <f>(I112+1)/$P$57</f>
        <v>7</v>
      </c>
    </row>
    <row r="113" spans="4:20" x14ac:dyDescent="0.35">
      <c r="D113" s="148">
        <v>48</v>
      </c>
      <c r="E113" s="149">
        <v>49</v>
      </c>
      <c r="F113" s="149">
        <v>50</v>
      </c>
      <c r="G113" s="155">
        <v>51</v>
      </c>
      <c r="H113" s="155">
        <v>52</v>
      </c>
      <c r="I113" s="156">
        <v>53</v>
      </c>
      <c r="J113" s="148">
        <v>54</v>
      </c>
      <c r="K113" s="149">
        <v>55</v>
      </c>
      <c r="L113" s="149">
        <v>56</v>
      </c>
      <c r="M113" s="155">
        <v>57</v>
      </c>
      <c r="N113" s="155">
        <v>58</v>
      </c>
      <c r="O113" s="156">
        <v>59</v>
      </c>
      <c r="P113">
        <f t="shared" ref="P113" si="77">(E113+1)/$P$57</f>
        <v>8.3333333333333339</v>
      </c>
      <c r="Q113">
        <f t="shared" si="74"/>
        <v>8.5</v>
      </c>
      <c r="R113">
        <f t="shared" si="75"/>
        <v>8.6666666666666661</v>
      </c>
      <c r="S113">
        <f t="shared" si="76"/>
        <v>8.8333333333333339</v>
      </c>
      <c r="T113">
        <f t="shared" ref="T113:T114" si="78">(I113+1)/$P$57</f>
        <v>9</v>
      </c>
    </row>
    <row r="114" spans="4:20" ht="15" thickBot="1" x14ac:dyDescent="0.4">
      <c r="D114" s="157">
        <v>60</v>
      </c>
      <c r="E114" s="158">
        <v>61</v>
      </c>
      <c r="F114" s="158">
        <v>62</v>
      </c>
      <c r="G114" s="161">
        <v>63</v>
      </c>
      <c r="H114" s="161">
        <v>64</v>
      </c>
      <c r="I114" s="162">
        <v>65</v>
      </c>
      <c r="J114" s="157">
        <v>66</v>
      </c>
      <c r="K114" s="158">
        <v>67</v>
      </c>
      <c r="L114" s="158">
        <v>68</v>
      </c>
      <c r="M114" s="161">
        <v>69</v>
      </c>
      <c r="N114" s="161">
        <v>70</v>
      </c>
      <c r="O114" s="162">
        <v>71</v>
      </c>
      <c r="P114">
        <f>(E114+1)/$P$57</f>
        <v>10.333333333333334</v>
      </c>
      <c r="Q114">
        <f>(F114+1)/$P$57</f>
        <v>10.5</v>
      </c>
      <c r="R114">
        <f t="shared" si="75"/>
        <v>10.666666666666666</v>
      </c>
      <c r="S114">
        <f t="shared" si="76"/>
        <v>10.833333333333334</v>
      </c>
      <c r="T114">
        <f t="shared" si="78"/>
        <v>11</v>
      </c>
    </row>
    <row r="115" spans="4:20" x14ac:dyDescent="0.35">
      <c r="D115" s="139">
        <v>72</v>
      </c>
      <c r="E115" s="140">
        <v>73</v>
      </c>
      <c r="F115" s="140">
        <v>74</v>
      </c>
      <c r="G115" s="143">
        <v>75</v>
      </c>
      <c r="H115" s="143">
        <v>76</v>
      </c>
      <c r="I115" s="144">
        <v>77</v>
      </c>
      <c r="J115" s="139">
        <v>78</v>
      </c>
      <c r="K115" s="140">
        <v>79</v>
      </c>
      <c r="L115" s="140">
        <v>80</v>
      </c>
      <c r="M115" s="143">
        <v>81</v>
      </c>
      <c r="N115" s="143">
        <v>82</v>
      </c>
      <c r="O115" s="144">
        <v>83</v>
      </c>
    </row>
    <row r="116" spans="4:20" x14ac:dyDescent="0.35">
      <c r="D116" s="145">
        <v>84</v>
      </c>
      <c r="E116" s="146">
        <v>85</v>
      </c>
      <c r="F116" s="146">
        <v>86</v>
      </c>
      <c r="G116" s="149">
        <v>87</v>
      </c>
      <c r="H116" s="149">
        <v>88</v>
      </c>
      <c r="I116" s="150">
        <v>89</v>
      </c>
      <c r="J116" s="145">
        <v>90</v>
      </c>
      <c r="K116" s="146">
        <v>91</v>
      </c>
      <c r="L116" s="146">
        <v>92</v>
      </c>
      <c r="M116" s="149">
        <v>93</v>
      </c>
      <c r="N116" s="149">
        <v>94</v>
      </c>
      <c r="O116" s="150">
        <v>95</v>
      </c>
    </row>
    <row r="117" spans="4:20" x14ac:dyDescent="0.35">
      <c r="D117" s="145">
        <v>96</v>
      </c>
      <c r="E117" s="146">
        <v>97</v>
      </c>
      <c r="F117" s="146">
        <v>98</v>
      </c>
      <c r="G117" s="149">
        <v>99</v>
      </c>
      <c r="H117" s="149">
        <v>100</v>
      </c>
      <c r="I117" s="150">
        <v>101</v>
      </c>
      <c r="J117" s="145">
        <v>102</v>
      </c>
      <c r="K117" s="146">
        <v>103</v>
      </c>
      <c r="L117" s="146">
        <v>104</v>
      </c>
      <c r="M117" s="149">
        <v>105</v>
      </c>
      <c r="N117" s="149">
        <v>106</v>
      </c>
      <c r="O117" s="150">
        <v>107</v>
      </c>
    </row>
    <row r="118" spans="4:20" x14ac:dyDescent="0.35">
      <c r="D118" s="148">
        <v>108</v>
      </c>
      <c r="E118" s="149">
        <v>109</v>
      </c>
      <c r="F118" s="149">
        <v>110</v>
      </c>
      <c r="G118" s="155">
        <v>111</v>
      </c>
      <c r="H118" s="155">
        <v>112</v>
      </c>
      <c r="I118" s="156">
        <v>113</v>
      </c>
      <c r="J118" s="148">
        <v>114</v>
      </c>
      <c r="K118" s="149">
        <v>115</v>
      </c>
      <c r="L118" s="149">
        <v>116</v>
      </c>
      <c r="M118" s="155">
        <v>117</v>
      </c>
      <c r="N118" s="155">
        <v>118</v>
      </c>
      <c r="O118" s="156">
        <v>119</v>
      </c>
    </row>
    <row r="119" spans="4:20" x14ac:dyDescent="0.35">
      <c r="D119" s="148">
        <v>120</v>
      </c>
      <c r="E119" s="149">
        <v>121</v>
      </c>
      <c r="F119" s="149">
        <v>122</v>
      </c>
      <c r="G119" s="155">
        <v>123</v>
      </c>
      <c r="H119" s="155">
        <v>124</v>
      </c>
      <c r="I119" s="156">
        <v>125</v>
      </c>
      <c r="J119" s="148">
        <v>126</v>
      </c>
      <c r="K119" s="149">
        <v>127</v>
      </c>
      <c r="L119" s="149">
        <v>128</v>
      </c>
      <c r="M119" s="155">
        <v>129</v>
      </c>
      <c r="N119" s="155">
        <v>130</v>
      </c>
      <c r="O119" s="156">
        <v>131</v>
      </c>
    </row>
    <row r="120" spans="4:20" ht="15" thickBot="1" x14ac:dyDescent="0.4">
      <c r="D120" s="157">
        <v>132</v>
      </c>
      <c r="E120" s="158">
        <v>133</v>
      </c>
      <c r="F120" s="158">
        <v>134</v>
      </c>
      <c r="G120" s="161">
        <v>135</v>
      </c>
      <c r="H120" s="161">
        <v>136</v>
      </c>
      <c r="I120" s="162">
        <v>137</v>
      </c>
      <c r="J120" s="157">
        <v>138</v>
      </c>
      <c r="K120" s="158">
        <v>139</v>
      </c>
      <c r="L120" s="158">
        <v>140</v>
      </c>
      <c r="M120" s="161">
        <v>141</v>
      </c>
      <c r="N120" s="161">
        <v>142</v>
      </c>
      <c r="O120" s="162">
        <v>143</v>
      </c>
    </row>
  </sheetData>
  <mergeCells count="41">
    <mergeCell ref="B8:B10"/>
    <mergeCell ref="B5:B7"/>
    <mergeCell ref="Y3:AA3"/>
    <mergeCell ref="AJ70:AJ72"/>
    <mergeCell ref="J2:L3"/>
    <mergeCell ref="D2:F3"/>
    <mergeCell ref="G2:I3"/>
    <mergeCell ref="N5:N7"/>
    <mergeCell ref="N8:N10"/>
    <mergeCell ref="M4:N4"/>
    <mergeCell ref="O33:Y34"/>
    <mergeCell ref="B17:L18"/>
    <mergeCell ref="Y4:AA4"/>
    <mergeCell ref="Y5:AB5"/>
    <mergeCell ref="D36:F36"/>
    <mergeCell ref="D20:F20"/>
    <mergeCell ref="AJ73:AJ75"/>
    <mergeCell ref="AC67:AE68"/>
    <mergeCell ref="B11:B13"/>
    <mergeCell ref="B38:B40"/>
    <mergeCell ref="B41:B43"/>
    <mergeCell ref="B44:B46"/>
    <mergeCell ref="B22:B24"/>
    <mergeCell ref="B25:B27"/>
    <mergeCell ref="B28:B30"/>
    <mergeCell ref="B51:L52"/>
    <mergeCell ref="O17:Y18"/>
    <mergeCell ref="N11:N13"/>
    <mergeCell ref="AF67:AH68"/>
    <mergeCell ref="AI69:AJ69"/>
    <mergeCell ref="B33:L34"/>
    <mergeCell ref="AA70:AA72"/>
    <mergeCell ref="G20:I20"/>
    <mergeCell ref="J36:L36"/>
    <mergeCell ref="Q36:S36"/>
    <mergeCell ref="AA73:AA75"/>
    <mergeCell ref="W20:Y20"/>
    <mergeCell ref="J20:L20"/>
    <mergeCell ref="Q20:S20"/>
    <mergeCell ref="T20:V20"/>
    <mergeCell ref="G36:I3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6:P51"/>
  <sheetViews>
    <sheetView topLeftCell="A11" zoomScale="85" zoomScaleNormal="85" workbookViewId="0">
      <selection activeCell="G39" sqref="G39:I42"/>
    </sheetView>
  </sheetViews>
  <sheetFormatPr baseColWidth="10" defaultColWidth="11.453125" defaultRowHeight="14.5" x14ac:dyDescent="0.35"/>
  <cols>
    <col min="4" max="6" width="12.6328125" customWidth="1"/>
    <col min="7" max="7" width="12.54296875" customWidth="1"/>
    <col min="8" max="8" width="13.90625" customWidth="1"/>
  </cols>
  <sheetData>
    <row r="6" spans="2:14" x14ac:dyDescent="0.35">
      <c r="C6" s="39" t="s">
        <v>21</v>
      </c>
    </row>
    <row r="7" spans="2:14" x14ac:dyDescent="0.35">
      <c r="D7" t="s">
        <v>24</v>
      </c>
      <c r="E7" t="s">
        <v>26</v>
      </c>
      <c r="F7" t="s">
        <v>25</v>
      </c>
      <c r="G7" t="s">
        <v>23</v>
      </c>
      <c r="H7" t="s">
        <v>22</v>
      </c>
    </row>
    <row r="8" spans="2:14" x14ac:dyDescent="0.35">
      <c r="C8" t="s">
        <v>0</v>
      </c>
      <c r="D8">
        <v>3</v>
      </c>
      <c r="E8" s="29">
        <f>E15</f>
        <v>0</v>
      </c>
      <c r="F8">
        <f>D8*(1+E8)</f>
        <v>3</v>
      </c>
      <c r="G8" s="33">
        <v>0.05</v>
      </c>
      <c r="H8" s="33">
        <f>D22/'3sectors1region'!I36</f>
        <v>4.7499999999999987E-2</v>
      </c>
    </row>
    <row r="9" spans="2:14" x14ac:dyDescent="0.35">
      <c r="C9" t="s">
        <v>1</v>
      </c>
      <c r="D9">
        <v>12</v>
      </c>
      <c r="E9" s="29">
        <f>E16</f>
        <v>0</v>
      </c>
      <c r="F9">
        <f>D9*(1+E9)</f>
        <v>12</v>
      </c>
      <c r="G9" s="33">
        <v>0.2</v>
      </c>
      <c r="H9" s="33">
        <f>D23/'3sectors1region'!I37</f>
        <v>0.18999999999999997</v>
      </c>
    </row>
    <row r="10" spans="2:14" x14ac:dyDescent="0.35">
      <c r="C10" t="s">
        <v>2</v>
      </c>
      <c r="D10">
        <v>6</v>
      </c>
      <c r="E10" s="29">
        <f>E17</f>
        <v>0</v>
      </c>
      <c r="F10">
        <f>D10*(1+E10)</f>
        <v>6</v>
      </c>
      <c r="G10" s="33">
        <v>0.18</v>
      </c>
      <c r="H10" s="33">
        <f>D24/'3sectors1region'!I38</f>
        <v>0.17099999999999996</v>
      </c>
    </row>
    <row r="13" spans="2:14" x14ac:dyDescent="0.35">
      <c r="C13" s="39" t="s">
        <v>29</v>
      </c>
      <c r="H13" s="39" t="s">
        <v>33</v>
      </c>
    </row>
    <row r="14" spans="2:14" x14ac:dyDescent="0.35">
      <c r="D14" s="40" t="s">
        <v>31</v>
      </c>
      <c r="E14" t="s">
        <v>32</v>
      </c>
      <c r="H14" s="40" t="s">
        <v>34</v>
      </c>
    </row>
    <row r="15" spans="2:14" x14ac:dyDescent="0.35">
      <c r="B15" t="s">
        <v>0</v>
      </c>
      <c r="D15" s="42">
        <f>G8*'3sectors1region'!L40</f>
        <v>3.1499999999999995</v>
      </c>
      <c r="E15" s="34"/>
      <c r="H15" s="42">
        <f>(1/G8)*D15</f>
        <v>62.999999999999986</v>
      </c>
      <c r="J15" s="226" t="s">
        <v>47</v>
      </c>
      <c r="K15" s="226"/>
      <c r="L15" s="226"/>
      <c r="M15" s="226"/>
      <c r="N15" s="226"/>
    </row>
    <row r="16" spans="2:14" x14ac:dyDescent="0.35">
      <c r="B16" t="s">
        <v>1</v>
      </c>
      <c r="D16" s="42">
        <f>G9*'3sectors1region'!M40</f>
        <v>12</v>
      </c>
      <c r="E16" s="34"/>
      <c r="H16" s="42">
        <f>(1/G9)*D16</f>
        <v>60</v>
      </c>
      <c r="J16" s="226"/>
      <c r="K16" s="226"/>
      <c r="L16" s="226"/>
      <c r="M16" s="226"/>
      <c r="N16" s="226"/>
    </row>
    <row r="17" spans="2:16" x14ac:dyDescent="0.35">
      <c r="B17" t="s">
        <v>2</v>
      </c>
      <c r="D17" s="42">
        <f>G10*'3sectors1region'!N40</f>
        <v>6.1199999999999983</v>
      </c>
      <c r="E17" s="34"/>
      <c r="H17" s="42">
        <f>(1/G10)*D17</f>
        <v>33.999999999999993</v>
      </c>
    </row>
    <row r="18" spans="2:16" x14ac:dyDescent="0.35">
      <c r="D18" s="41" t="s">
        <v>36</v>
      </c>
      <c r="E18" s="41"/>
      <c r="H18" s="43" t="s">
        <v>37</v>
      </c>
    </row>
    <row r="20" spans="2:16" x14ac:dyDescent="0.35">
      <c r="C20" s="39" t="s">
        <v>35</v>
      </c>
    </row>
    <row r="21" spans="2:16" x14ac:dyDescent="0.35">
      <c r="C21" t="s">
        <v>30</v>
      </c>
      <c r="D21" t="s">
        <v>42</v>
      </c>
      <c r="F21" s="40" t="s">
        <v>34</v>
      </c>
      <c r="I21" s="230" t="s">
        <v>12</v>
      </c>
      <c r="J21" s="230"/>
      <c r="K21" s="230"/>
      <c r="L21" s="230"/>
      <c r="M21" s="230"/>
      <c r="N21" s="230"/>
    </row>
    <row r="22" spans="2:16" x14ac:dyDescent="0.35">
      <c r="B22" t="s">
        <v>0</v>
      </c>
      <c r="C22">
        <v>3</v>
      </c>
      <c r="D22" s="33">
        <f>D15*(1-0.05)</f>
        <v>2.9924999999999993</v>
      </c>
      <c r="F22" s="40">
        <f>(1/G8)*D22</f>
        <v>59.849999999999987</v>
      </c>
      <c r="I22" s="4"/>
      <c r="J22" s="2" t="s">
        <v>0</v>
      </c>
      <c r="K22" s="2" t="s">
        <v>1</v>
      </c>
      <c r="L22" s="4" t="s">
        <v>2</v>
      </c>
    </row>
    <row r="23" spans="2:16" x14ac:dyDescent="0.35">
      <c r="B23" t="s">
        <v>1</v>
      </c>
      <c r="C23">
        <v>12</v>
      </c>
      <c r="D23" s="33">
        <f>D16*(1-0.05)</f>
        <v>11.399999999999999</v>
      </c>
      <c r="F23" s="40">
        <f>(1/G9)*D23</f>
        <v>56.999999999999993</v>
      </c>
      <c r="I23" s="3" t="s">
        <v>0</v>
      </c>
      <c r="J23" s="31" t="e">
        <f>Q15-J15</f>
        <v>#VALUE!</v>
      </c>
      <c r="K23" s="32">
        <f t="shared" ref="K23:L25" si="0">R15-K15</f>
        <v>0</v>
      </c>
      <c r="L23" s="10">
        <f t="shared" si="0"/>
        <v>0</v>
      </c>
    </row>
    <row r="24" spans="2:16" x14ac:dyDescent="0.35">
      <c r="B24" t="s">
        <v>2</v>
      </c>
      <c r="C24">
        <v>6</v>
      </c>
      <c r="D24" s="33">
        <f>D17*(1-0.05)</f>
        <v>5.8139999999999983</v>
      </c>
      <c r="F24" s="40">
        <f>(1/G10)*D24</f>
        <v>32.29999999999999</v>
      </c>
      <c r="I24" s="3" t="s">
        <v>1</v>
      </c>
      <c r="J24" s="11">
        <f>Q16-J16</f>
        <v>0</v>
      </c>
      <c r="K24" s="5">
        <f t="shared" si="0"/>
        <v>0</v>
      </c>
      <c r="L24" s="6">
        <f t="shared" si="0"/>
        <v>0</v>
      </c>
    </row>
    <row r="25" spans="2:16" x14ac:dyDescent="0.35">
      <c r="F25" s="41" t="s">
        <v>38</v>
      </c>
      <c r="I25" s="4" t="s">
        <v>2</v>
      </c>
      <c r="J25" s="9">
        <f>Q17-J17</f>
        <v>0</v>
      </c>
      <c r="K25" s="7">
        <f t="shared" si="0"/>
        <v>0</v>
      </c>
      <c r="L25" s="8">
        <f t="shared" si="0"/>
        <v>0</v>
      </c>
    </row>
    <row r="28" spans="2:16" x14ac:dyDescent="0.35">
      <c r="D28" s="230" t="s">
        <v>39</v>
      </c>
      <c r="E28" s="230"/>
      <c r="F28" s="230"/>
      <c r="G28" s="230"/>
      <c r="H28" s="230"/>
      <c r="I28" s="230"/>
      <c r="K28" s="230" t="s">
        <v>40</v>
      </c>
      <c r="L28" s="230"/>
      <c r="M28" s="230"/>
      <c r="N28" s="230"/>
      <c r="O28" s="230"/>
      <c r="P28" s="230"/>
    </row>
    <row r="29" spans="2:16" x14ac:dyDescent="0.35">
      <c r="D29" s="4"/>
      <c r="E29" s="2" t="s">
        <v>0</v>
      </c>
      <c r="F29" s="2" t="s">
        <v>1</v>
      </c>
      <c r="G29" s="4" t="s">
        <v>2</v>
      </c>
      <c r="H29" s="5" t="s">
        <v>3</v>
      </c>
      <c r="I29" s="5" t="s">
        <v>4</v>
      </c>
      <c r="K29" s="4"/>
      <c r="L29" s="2" t="s">
        <v>0</v>
      </c>
      <c r="M29" s="2" t="s">
        <v>1</v>
      </c>
      <c r="N29" s="4" t="s">
        <v>2</v>
      </c>
      <c r="O29" s="1" t="s">
        <v>3</v>
      </c>
      <c r="P29" s="1" t="s">
        <v>4</v>
      </c>
    </row>
    <row r="30" spans="2:16" x14ac:dyDescent="0.35">
      <c r="D30" s="3" t="s">
        <v>0</v>
      </c>
      <c r="E30" s="5">
        <f>'3sectors1region'!L36</f>
        <v>19.999999999999993</v>
      </c>
      <c r="F30" s="5">
        <f>'3sectors1region'!M36</f>
        <v>19.999999999999996</v>
      </c>
      <c r="G30" s="5">
        <f>'3sectors1region'!N36</f>
        <v>9.9999999999999982</v>
      </c>
      <c r="H30" s="5">
        <f>'3sectors1region'!H36</f>
        <v>13</v>
      </c>
      <c r="I30" s="5">
        <f>SUM(E30:H30)</f>
        <v>62.999999999999986</v>
      </c>
      <c r="K30" s="3" t="s">
        <v>0</v>
      </c>
      <c r="L30" s="5">
        <f>'3sectors1region'!E22*Hoja2!$E$34</f>
        <v>40.849999999999994</v>
      </c>
      <c r="M30" s="5">
        <f>'3sectors1region'!F22*$F$34</f>
        <v>-18.999999999999996</v>
      </c>
      <c r="N30" s="5">
        <f>'3sectors1region'!G22*$G$34</f>
        <v>-9.4999999999999982</v>
      </c>
      <c r="O30" s="12">
        <f>SUM(L30:N30)</f>
        <v>12.35</v>
      </c>
    </row>
    <row r="31" spans="2:16" x14ac:dyDescent="0.35">
      <c r="D31" s="3" t="s">
        <v>1</v>
      </c>
      <c r="E31" s="5">
        <f>'3sectors1region'!L37</f>
        <v>4.9999999999999982</v>
      </c>
      <c r="F31" s="5">
        <f>'3sectors1region'!M37</f>
        <v>12</v>
      </c>
      <c r="G31" s="5">
        <f>'3sectors1region'!N37</f>
        <v>8.9999999999999982</v>
      </c>
      <c r="H31" s="5">
        <f>'3sectors1region'!H37</f>
        <v>34</v>
      </c>
      <c r="I31" s="5">
        <f>SUM(E31:H31)</f>
        <v>60</v>
      </c>
      <c r="K31" s="3" t="s">
        <v>1</v>
      </c>
      <c r="L31" s="5">
        <f>'3sectors1region'!E23*Hoja2!$E$34</f>
        <v>-4.7499999999999991</v>
      </c>
      <c r="M31" s="5">
        <f>'3sectors1region'!F23*$F$34</f>
        <v>45.599999999999994</v>
      </c>
      <c r="N31" s="5">
        <f>'3sectors1region'!G23*$G$34</f>
        <v>-8.5499999999999972</v>
      </c>
      <c r="O31" s="12">
        <f>SUM(L31:N31)</f>
        <v>32.299999999999997</v>
      </c>
    </row>
    <row r="32" spans="2:16" x14ac:dyDescent="0.35">
      <c r="D32" s="4" t="s">
        <v>2</v>
      </c>
      <c r="E32" s="5">
        <f>'3sectors1region'!L38</f>
        <v>0.99999999999999967</v>
      </c>
      <c r="F32" s="5">
        <f>'3sectors1region'!M38</f>
        <v>3.9999999999999996</v>
      </c>
      <c r="G32" s="5">
        <f>'3sectors1region'!N38</f>
        <v>6.9999999999999982</v>
      </c>
      <c r="H32" s="5">
        <f>'3sectors1region'!H38</f>
        <v>22</v>
      </c>
      <c r="I32" s="5">
        <f>SUM(E32:H32)</f>
        <v>34</v>
      </c>
      <c r="K32" s="4" t="s">
        <v>2</v>
      </c>
      <c r="L32" s="5">
        <f>'3sectors1region'!E24*Hoja2!$E$34</f>
        <v>-0.94999999999999973</v>
      </c>
      <c r="M32" s="5">
        <f>'3sectors1region'!F24*$F$34</f>
        <v>-3.7999999999999994</v>
      </c>
      <c r="N32" s="5">
        <f>'3sectors1region'!G24*$G$34</f>
        <v>25.649999999999995</v>
      </c>
      <c r="O32" s="12">
        <f>SUM(L32:N32)</f>
        <v>20.899999999999995</v>
      </c>
    </row>
    <row r="33" spans="4:16" ht="15" thickBot="1" x14ac:dyDescent="0.4">
      <c r="D33" s="3" t="s">
        <v>5</v>
      </c>
      <c r="E33" s="5">
        <f>E34-SUM(E30:E32)</f>
        <v>33.849999999999994</v>
      </c>
      <c r="F33" s="5">
        <f>F34-SUM(F30:F32)</f>
        <v>21</v>
      </c>
      <c r="G33" s="5">
        <f>G34-SUM(G30:G32)</f>
        <v>6.2999999999999972</v>
      </c>
      <c r="H33" s="5"/>
      <c r="I33" s="5"/>
      <c r="K33" s="3" t="s">
        <v>5</v>
      </c>
    </row>
    <row r="34" spans="4:16" x14ac:dyDescent="0.35">
      <c r="D34" s="3" t="s">
        <v>6</v>
      </c>
      <c r="E34" s="5">
        <f>Hoja2!F22</f>
        <v>59.849999999999987</v>
      </c>
      <c r="F34" s="5">
        <f>F23</f>
        <v>56.999999999999993</v>
      </c>
      <c r="G34" s="5">
        <f>F24</f>
        <v>32.29999999999999</v>
      </c>
      <c r="H34" s="1"/>
      <c r="I34" s="1"/>
      <c r="K34" s="15" t="s">
        <v>6</v>
      </c>
      <c r="L34" s="16">
        <f>SUM(L30:L32)</f>
        <v>35.149999999999991</v>
      </c>
      <c r="M34" s="16">
        <f>SUM(M30:M32)</f>
        <v>22.799999999999997</v>
      </c>
      <c r="N34" s="16">
        <f>SUM(N30:N32)</f>
        <v>7.5999999999999979</v>
      </c>
      <c r="O34" s="14"/>
      <c r="P34" s="17"/>
    </row>
    <row r="38" spans="4:16" x14ac:dyDescent="0.35">
      <c r="K38" s="230" t="s">
        <v>17</v>
      </c>
      <c r="L38" s="230"/>
      <c r="M38" s="230"/>
      <c r="N38" s="230"/>
      <c r="O38" s="230"/>
      <c r="P38" s="231"/>
    </row>
    <row r="39" spans="4:16" x14ac:dyDescent="0.35">
      <c r="G39" s="195" t="s">
        <v>43</v>
      </c>
      <c r="H39" s="195"/>
      <c r="I39" s="195"/>
      <c r="K39" s="4"/>
      <c r="L39" s="2" t="s">
        <v>0</v>
      </c>
      <c r="M39" s="2" t="s">
        <v>1</v>
      </c>
      <c r="N39" s="4" t="s">
        <v>2</v>
      </c>
      <c r="O39" s="2" t="s">
        <v>3</v>
      </c>
      <c r="P39" s="20" t="s">
        <v>4</v>
      </c>
    </row>
    <row r="40" spans="4:16" x14ac:dyDescent="0.35">
      <c r="G40" s="195"/>
      <c r="H40" s="195"/>
      <c r="I40" s="195"/>
      <c r="K40" s="3" t="s">
        <v>0</v>
      </c>
      <c r="L40" s="5">
        <f>$E$34*'3sectors1region'!E14</f>
        <v>18.999999999999996</v>
      </c>
      <c r="M40" s="5">
        <f>$F$34*'3sectors1region'!F14</f>
        <v>18.999999999999996</v>
      </c>
      <c r="N40" s="5">
        <f>$G$34*'3sectors1region'!G14</f>
        <v>9.4999999999999982</v>
      </c>
      <c r="O40" s="38">
        <f>O30</f>
        <v>12.35</v>
      </c>
      <c r="P40" s="21">
        <f>SUM(L40:O40)</f>
        <v>59.849999999999994</v>
      </c>
    </row>
    <row r="41" spans="4:16" x14ac:dyDescent="0.35">
      <c r="G41" s="195"/>
      <c r="H41" s="195"/>
      <c r="I41" s="195"/>
      <c r="K41" s="3" t="s">
        <v>1</v>
      </c>
      <c r="L41" s="5">
        <f>$E$34*'3sectors1region'!E15</f>
        <v>4.7499999999999991</v>
      </c>
      <c r="M41" s="5">
        <f>$F$34*'3sectors1region'!F15</f>
        <v>11.399999999999999</v>
      </c>
      <c r="N41" s="5">
        <f>$G$34*'3sectors1region'!G15</f>
        <v>8.5499999999999972</v>
      </c>
      <c r="O41" s="38">
        <f>O31</f>
        <v>32.299999999999997</v>
      </c>
      <c r="P41" s="21">
        <f>SUM(L41:O41)</f>
        <v>56.999999999999993</v>
      </c>
    </row>
    <row r="42" spans="4:16" x14ac:dyDescent="0.35">
      <c r="G42" s="195"/>
      <c r="H42" s="195"/>
      <c r="I42" s="195"/>
      <c r="K42" s="4" t="s">
        <v>2</v>
      </c>
      <c r="L42" s="5">
        <f>$E$34*'3sectors1region'!E16</f>
        <v>0.94999999999999973</v>
      </c>
      <c r="M42" s="5">
        <f>$F$34*'3sectors1region'!F16</f>
        <v>3.7999999999999994</v>
      </c>
      <c r="N42" s="5">
        <f>$G$34*'3sectors1region'!G16</f>
        <v>6.6499999999999977</v>
      </c>
      <c r="O42" s="38">
        <f>O32</f>
        <v>20.899999999999995</v>
      </c>
      <c r="P42" s="21">
        <f>SUM(L42:O42)</f>
        <v>32.29999999999999</v>
      </c>
    </row>
    <row r="43" spans="4:16" x14ac:dyDescent="0.35">
      <c r="K43" s="3" t="s">
        <v>5</v>
      </c>
      <c r="L43" s="5">
        <f>L44-(SUM(L40:L42))</f>
        <v>35.15</v>
      </c>
      <c r="M43" s="5">
        <f>M44-(SUM(M40:M42))</f>
        <v>22.799999999999997</v>
      </c>
      <c r="N43" s="5">
        <f>N44-(SUM(N40:N42))</f>
        <v>7.5999999999999943</v>
      </c>
      <c r="O43" s="228" t="s">
        <v>41</v>
      </c>
      <c r="P43" s="229"/>
    </row>
    <row r="44" spans="4:16" x14ac:dyDescent="0.35">
      <c r="K44" s="5" t="s">
        <v>6</v>
      </c>
      <c r="L44" s="5">
        <f>P40</f>
        <v>59.849999999999994</v>
      </c>
      <c r="M44" s="5">
        <f>P41</f>
        <v>56.999999999999993</v>
      </c>
      <c r="N44" s="5">
        <f>P42</f>
        <v>32.29999999999999</v>
      </c>
      <c r="O44" s="227"/>
      <c r="P44" s="227"/>
    </row>
    <row r="46" spans="4:16" x14ac:dyDescent="0.35">
      <c r="L46" t="s">
        <v>45</v>
      </c>
    </row>
    <row r="47" spans="4:16" x14ac:dyDescent="0.35">
      <c r="K47" t="s">
        <v>0</v>
      </c>
      <c r="L47">
        <f>(P40-I30)/I30</f>
        <v>-4.9999999999999878E-2</v>
      </c>
    </row>
    <row r="48" spans="4:16" x14ac:dyDescent="0.35">
      <c r="K48" t="s">
        <v>1</v>
      </c>
      <c r="L48">
        <f>(P41-I31)/I31</f>
        <v>-5.0000000000000121E-2</v>
      </c>
    </row>
    <row r="49" spans="11:12" x14ac:dyDescent="0.35">
      <c r="K49" t="s">
        <v>2</v>
      </c>
      <c r="L49">
        <f>(P42-I32)/I32</f>
        <v>-5.0000000000000294E-2</v>
      </c>
    </row>
    <row r="51" spans="11:12" x14ac:dyDescent="0.35">
      <c r="K51" t="s">
        <v>46</v>
      </c>
    </row>
  </sheetData>
  <mergeCells count="8">
    <mergeCell ref="J15:N16"/>
    <mergeCell ref="O44:P44"/>
    <mergeCell ref="O43:P43"/>
    <mergeCell ref="G39:I42"/>
    <mergeCell ref="I21:N21"/>
    <mergeCell ref="D28:I28"/>
    <mergeCell ref="K28:P28"/>
    <mergeCell ref="K38:P3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BD83"/>
  <sheetViews>
    <sheetView showGridLines="0" zoomScale="70" zoomScaleNormal="70" workbookViewId="0">
      <selection activeCell="W48" sqref="W48"/>
    </sheetView>
  </sheetViews>
  <sheetFormatPr baseColWidth="10" defaultColWidth="11.453125" defaultRowHeight="14.5" x14ac:dyDescent="0.35"/>
  <cols>
    <col min="3" max="12" width="9.453125" customWidth="1"/>
    <col min="13" max="22" width="6.6328125" customWidth="1"/>
    <col min="31" max="31" width="9.453125" bestFit="1" customWidth="1"/>
    <col min="32" max="32" width="12.6328125" bestFit="1" customWidth="1"/>
    <col min="33" max="33" width="15.36328125" customWidth="1"/>
  </cols>
  <sheetData>
    <row r="2" spans="2:22" x14ac:dyDescent="0.35">
      <c r="D2" s="237">
        <v>223</v>
      </c>
      <c r="E2" s="237"/>
      <c r="F2" s="237"/>
    </row>
    <row r="3" spans="2:22" x14ac:dyDescent="0.35">
      <c r="D3" s="237"/>
      <c r="E3" s="237"/>
      <c r="F3" s="237"/>
    </row>
    <row r="4" spans="2:22" x14ac:dyDescent="0.35">
      <c r="D4" s="237"/>
      <c r="E4" s="237"/>
      <c r="F4" s="237"/>
    </row>
    <row r="6" spans="2:22" ht="15" thickBot="1" x14ac:dyDescent="0.4">
      <c r="C6" s="230" t="s">
        <v>10</v>
      </c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0"/>
      <c r="Q6" s="230"/>
      <c r="R6" s="230"/>
      <c r="S6" s="230"/>
      <c r="T6" s="230"/>
      <c r="U6" s="230"/>
      <c r="V6" s="230"/>
    </row>
    <row r="7" spans="2:22" x14ac:dyDescent="0.35">
      <c r="D7" s="234" t="s">
        <v>48</v>
      </c>
      <c r="E7" s="235"/>
      <c r="F7" s="236"/>
      <c r="G7" s="234" t="s">
        <v>49</v>
      </c>
      <c r="H7" s="235"/>
      <c r="I7" s="236"/>
      <c r="J7" s="234" t="s">
        <v>50</v>
      </c>
      <c r="K7" s="235"/>
      <c r="L7" s="236"/>
      <c r="M7" s="56" t="s">
        <v>59</v>
      </c>
      <c r="N7" s="56" t="s">
        <v>60</v>
      </c>
      <c r="O7" s="56"/>
      <c r="P7" s="56" t="s">
        <v>65</v>
      </c>
      <c r="Q7" s="56" t="s">
        <v>61</v>
      </c>
      <c r="R7" s="56"/>
      <c r="S7" s="56" t="s">
        <v>62</v>
      </c>
      <c r="T7" s="56" t="s">
        <v>63</v>
      </c>
      <c r="U7" s="56"/>
      <c r="V7" s="56" t="s">
        <v>44</v>
      </c>
    </row>
    <row r="8" spans="2:22" ht="15" thickBot="1" x14ac:dyDescent="0.4">
      <c r="C8" s="1"/>
      <c r="D8" s="53" t="s">
        <v>51</v>
      </c>
      <c r="E8" s="54" t="s">
        <v>52</v>
      </c>
      <c r="F8" s="59" t="s">
        <v>58</v>
      </c>
      <c r="G8" s="53" t="s">
        <v>51</v>
      </c>
      <c r="H8" s="54" t="s">
        <v>52</v>
      </c>
      <c r="I8" s="59" t="s">
        <v>58</v>
      </c>
      <c r="J8" s="53" t="s">
        <v>51</v>
      </c>
      <c r="K8" s="54" t="s">
        <v>52</v>
      </c>
      <c r="L8" s="59" t="s">
        <v>58</v>
      </c>
      <c r="M8" s="53"/>
      <c r="N8" s="30"/>
      <c r="O8" s="30"/>
      <c r="P8" s="44"/>
      <c r="Q8" s="72"/>
      <c r="R8" s="72"/>
      <c r="S8" s="54"/>
      <c r="T8" s="73"/>
      <c r="U8" s="73"/>
      <c r="V8" s="55"/>
    </row>
    <row r="9" spans="2:22" ht="15" thickBot="1" x14ac:dyDescent="0.4">
      <c r="B9" s="238" t="s">
        <v>48</v>
      </c>
      <c r="C9" s="51" t="s">
        <v>51</v>
      </c>
      <c r="D9" s="45">
        <v>10</v>
      </c>
      <c r="E9" s="46">
        <v>3</v>
      </c>
      <c r="F9" s="46">
        <v>2</v>
      </c>
      <c r="G9" s="46">
        <v>2</v>
      </c>
      <c r="H9" s="46">
        <v>1</v>
      </c>
      <c r="I9" s="46">
        <v>2</v>
      </c>
      <c r="J9" s="46">
        <v>1</v>
      </c>
      <c r="K9" s="46">
        <v>2</v>
      </c>
      <c r="L9" s="47">
        <v>2</v>
      </c>
      <c r="M9" s="61">
        <v>15</v>
      </c>
      <c r="N9" s="61">
        <v>3</v>
      </c>
      <c r="O9" s="61">
        <v>2</v>
      </c>
      <c r="P9" s="61">
        <v>2</v>
      </c>
      <c r="Q9" s="61">
        <v>4</v>
      </c>
      <c r="R9" s="61">
        <v>2</v>
      </c>
      <c r="S9" s="61">
        <v>1</v>
      </c>
      <c r="T9" s="61">
        <v>3</v>
      </c>
      <c r="U9" s="74">
        <v>1</v>
      </c>
      <c r="V9" s="56">
        <f>SUM(D9:L9)+SUM(M9:U9)</f>
        <v>58</v>
      </c>
    </row>
    <row r="10" spans="2:22" ht="15" thickBot="1" x14ac:dyDescent="0.4">
      <c r="B10" s="239"/>
      <c r="C10" s="52" t="s">
        <v>52</v>
      </c>
      <c r="D10" s="65">
        <v>6</v>
      </c>
      <c r="E10" s="64">
        <v>15</v>
      </c>
      <c r="F10" s="64">
        <v>4</v>
      </c>
      <c r="G10" s="64">
        <v>1</v>
      </c>
      <c r="H10" s="64">
        <v>3</v>
      </c>
      <c r="I10" s="64">
        <v>3</v>
      </c>
      <c r="J10" s="64">
        <v>2</v>
      </c>
      <c r="K10" s="64">
        <v>2</v>
      </c>
      <c r="L10" s="66">
        <v>1</v>
      </c>
      <c r="M10" s="61">
        <v>12</v>
      </c>
      <c r="N10" s="61">
        <v>1</v>
      </c>
      <c r="O10" s="61">
        <v>4</v>
      </c>
      <c r="P10" s="61">
        <v>1</v>
      </c>
      <c r="Q10" s="61">
        <v>2</v>
      </c>
      <c r="R10" s="61">
        <v>1</v>
      </c>
      <c r="S10" s="61">
        <v>3</v>
      </c>
      <c r="T10" s="61">
        <v>5</v>
      </c>
      <c r="U10" s="74">
        <v>2</v>
      </c>
      <c r="V10" s="56">
        <f t="shared" ref="V10:V17" si="0">SUM(D10:L10)+SUM(M10:U10)</f>
        <v>68</v>
      </c>
    </row>
    <row r="11" spans="2:22" ht="15" thickBot="1" x14ac:dyDescent="0.4">
      <c r="B11" s="240"/>
      <c r="C11" s="58" t="s">
        <v>58</v>
      </c>
      <c r="D11" s="65">
        <v>1</v>
      </c>
      <c r="E11" s="64">
        <v>2</v>
      </c>
      <c r="F11" s="64">
        <v>12</v>
      </c>
      <c r="G11" s="64">
        <v>1</v>
      </c>
      <c r="H11" s="64">
        <v>3</v>
      </c>
      <c r="I11" s="64">
        <v>6</v>
      </c>
      <c r="J11" s="64">
        <v>2</v>
      </c>
      <c r="K11" s="64">
        <v>4</v>
      </c>
      <c r="L11" s="66">
        <v>5</v>
      </c>
      <c r="M11" s="61">
        <v>5</v>
      </c>
      <c r="N11" s="61">
        <v>3</v>
      </c>
      <c r="O11" s="61">
        <v>5</v>
      </c>
      <c r="P11" s="61">
        <v>4</v>
      </c>
      <c r="Q11" s="61">
        <v>5</v>
      </c>
      <c r="R11" s="61">
        <v>2</v>
      </c>
      <c r="S11" s="61">
        <v>3</v>
      </c>
      <c r="T11" s="61">
        <v>6</v>
      </c>
      <c r="U11" s="74">
        <v>3</v>
      </c>
      <c r="V11" s="56">
        <f t="shared" si="0"/>
        <v>72</v>
      </c>
    </row>
    <row r="12" spans="2:22" ht="15" thickBot="1" x14ac:dyDescent="0.4">
      <c r="B12" s="238" t="s">
        <v>49</v>
      </c>
      <c r="C12" s="51" t="s">
        <v>51</v>
      </c>
      <c r="D12" s="65">
        <v>1</v>
      </c>
      <c r="E12" s="64">
        <v>4</v>
      </c>
      <c r="F12" s="64">
        <v>4</v>
      </c>
      <c r="G12" s="64">
        <v>12</v>
      </c>
      <c r="H12" s="64">
        <v>7</v>
      </c>
      <c r="I12" s="64">
        <v>3</v>
      </c>
      <c r="J12" s="64">
        <v>3</v>
      </c>
      <c r="K12" s="64">
        <v>1</v>
      </c>
      <c r="L12" s="66">
        <v>1</v>
      </c>
      <c r="M12" s="61">
        <v>4</v>
      </c>
      <c r="N12" s="61">
        <v>5</v>
      </c>
      <c r="O12" s="61">
        <v>6</v>
      </c>
      <c r="P12" s="61">
        <v>18</v>
      </c>
      <c r="Q12" s="61">
        <v>4</v>
      </c>
      <c r="R12" s="61">
        <v>3</v>
      </c>
      <c r="S12" s="61">
        <v>2</v>
      </c>
      <c r="T12" s="61">
        <v>2</v>
      </c>
      <c r="U12" s="74">
        <v>4</v>
      </c>
      <c r="V12" s="56">
        <f t="shared" si="0"/>
        <v>84</v>
      </c>
    </row>
    <row r="13" spans="2:22" ht="15" thickBot="1" x14ac:dyDescent="0.4">
      <c r="B13" s="239"/>
      <c r="C13" s="52" t="s">
        <v>52</v>
      </c>
      <c r="D13" s="65">
        <v>2</v>
      </c>
      <c r="E13" s="64">
        <v>3</v>
      </c>
      <c r="F13" s="64">
        <v>2</v>
      </c>
      <c r="G13" s="64">
        <v>4</v>
      </c>
      <c r="H13" s="64">
        <v>20</v>
      </c>
      <c r="I13" s="64">
        <v>4</v>
      </c>
      <c r="J13" s="64">
        <v>1</v>
      </c>
      <c r="K13" s="64">
        <v>4</v>
      </c>
      <c r="L13" s="66">
        <v>2</v>
      </c>
      <c r="M13" s="61">
        <v>2</v>
      </c>
      <c r="N13" s="61">
        <v>2</v>
      </c>
      <c r="O13" s="61">
        <v>7</v>
      </c>
      <c r="P13" s="61">
        <v>19</v>
      </c>
      <c r="Q13" s="61">
        <v>1</v>
      </c>
      <c r="R13" s="61">
        <v>5</v>
      </c>
      <c r="S13" s="61">
        <v>1</v>
      </c>
      <c r="T13" s="61">
        <v>3</v>
      </c>
      <c r="U13" s="74">
        <v>5</v>
      </c>
      <c r="V13" s="56">
        <f t="shared" si="0"/>
        <v>87</v>
      </c>
    </row>
    <row r="14" spans="2:22" ht="15" thickBot="1" x14ac:dyDescent="0.4">
      <c r="B14" s="240"/>
      <c r="C14" s="58" t="s">
        <v>58</v>
      </c>
      <c r="D14" s="65">
        <v>2</v>
      </c>
      <c r="E14" s="64">
        <v>4</v>
      </c>
      <c r="F14" s="64">
        <v>1</v>
      </c>
      <c r="G14" s="64">
        <v>2</v>
      </c>
      <c r="H14" s="64">
        <v>2</v>
      </c>
      <c r="I14" s="64">
        <v>1</v>
      </c>
      <c r="J14" s="64">
        <v>2</v>
      </c>
      <c r="K14" s="64">
        <v>3</v>
      </c>
      <c r="L14" s="66">
        <v>3</v>
      </c>
      <c r="M14" s="61">
        <v>0</v>
      </c>
      <c r="N14" s="61">
        <v>1</v>
      </c>
      <c r="O14" s="61">
        <v>8</v>
      </c>
      <c r="P14" s="61">
        <v>1</v>
      </c>
      <c r="Q14" s="61">
        <v>2</v>
      </c>
      <c r="R14" s="61">
        <v>4</v>
      </c>
      <c r="S14" s="61">
        <v>2</v>
      </c>
      <c r="T14" s="61">
        <v>4</v>
      </c>
      <c r="U14" s="74">
        <v>6</v>
      </c>
      <c r="V14" s="56">
        <f t="shared" si="0"/>
        <v>48</v>
      </c>
    </row>
    <row r="15" spans="2:22" ht="15" thickBot="1" x14ac:dyDescent="0.4">
      <c r="B15" s="238" t="s">
        <v>50</v>
      </c>
      <c r="C15" s="51" t="s">
        <v>51</v>
      </c>
      <c r="D15" s="65">
        <v>1</v>
      </c>
      <c r="E15" s="64">
        <v>4</v>
      </c>
      <c r="F15" s="64">
        <v>2</v>
      </c>
      <c r="G15" s="64">
        <v>1</v>
      </c>
      <c r="H15" s="64">
        <v>2</v>
      </c>
      <c r="I15" s="64">
        <v>2</v>
      </c>
      <c r="J15" s="64">
        <v>21</v>
      </c>
      <c r="K15" s="64">
        <v>10</v>
      </c>
      <c r="L15" s="66">
        <v>4</v>
      </c>
      <c r="M15" s="61">
        <v>3</v>
      </c>
      <c r="N15" s="61">
        <v>2</v>
      </c>
      <c r="O15" s="61">
        <v>7</v>
      </c>
      <c r="P15" s="61">
        <v>3</v>
      </c>
      <c r="Q15" s="61">
        <v>3</v>
      </c>
      <c r="R15" s="61">
        <v>4</v>
      </c>
      <c r="S15" s="61">
        <v>17</v>
      </c>
      <c r="T15" s="61">
        <v>5</v>
      </c>
      <c r="U15" s="74">
        <v>7</v>
      </c>
      <c r="V15" s="56">
        <f t="shared" si="0"/>
        <v>98</v>
      </c>
    </row>
    <row r="16" spans="2:22" ht="15" thickBot="1" x14ac:dyDescent="0.4">
      <c r="B16" s="239"/>
      <c r="C16" s="57" t="s">
        <v>52</v>
      </c>
      <c r="D16" s="65">
        <v>4</v>
      </c>
      <c r="E16" s="64">
        <v>1</v>
      </c>
      <c r="F16" s="64">
        <v>3</v>
      </c>
      <c r="G16" s="64">
        <v>2</v>
      </c>
      <c r="H16" s="64">
        <v>1</v>
      </c>
      <c r="I16" s="64">
        <v>1</v>
      </c>
      <c r="J16" s="64">
        <v>9</v>
      </c>
      <c r="K16" s="64">
        <v>18</v>
      </c>
      <c r="L16" s="66">
        <v>5</v>
      </c>
      <c r="M16" s="61">
        <v>1</v>
      </c>
      <c r="N16" s="61">
        <v>3</v>
      </c>
      <c r="O16" s="61">
        <v>5</v>
      </c>
      <c r="P16" s="61">
        <v>2</v>
      </c>
      <c r="Q16" s="61">
        <v>4</v>
      </c>
      <c r="R16" s="61">
        <v>3</v>
      </c>
      <c r="S16" s="61">
        <v>20</v>
      </c>
      <c r="T16" s="61">
        <v>6</v>
      </c>
      <c r="U16" s="74">
        <v>8</v>
      </c>
      <c r="V16" s="56">
        <f t="shared" si="0"/>
        <v>96</v>
      </c>
    </row>
    <row r="17" spans="2:33" ht="15" thickBot="1" x14ac:dyDescent="0.4">
      <c r="B17" s="241"/>
      <c r="C17" s="64" t="s">
        <v>58</v>
      </c>
      <c r="D17" s="62">
        <v>1</v>
      </c>
      <c r="E17" s="49">
        <v>2</v>
      </c>
      <c r="F17" s="49">
        <v>2</v>
      </c>
      <c r="G17" s="49">
        <v>3</v>
      </c>
      <c r="H17" s="49">
        <v>3</v>
      </c>
      <c r="I17" s="49">
        <v>6</v>
      </c>
      <c r="J17" s="49">
        <v>6</v>
      </c>
      <c r="K17" s="49">
        <v>7</v>
      </c>
      <c r="L17" s="50">
        <v>6</v>
      </c>
      <c r="M17" s="61">
        <v>3</v>
      </c>
      <c r="N17" s="61">
        <v>2</v>
      </c>
      <c r="O17" s="61">
        <v>4</v>
      </c>
      <c r="P17" s="61">
        <v>2</v>
      </c>
      <c r="Q17" s="61">
        <v>3</v>
      </c>
      <c r="R17" s="61">
        <v>2</v>
      </c>
      <c r="S17" s="61">
        <v>3</v>
      </c>
      <c r="T17" s="61">
        <v>3</v>
      </c>
      <c r="U17" s="74">
        <v>9</v>
      </c>
      <c r="V17" s="56">
        <f t="shared" si="0"/>
        <v>67</v>
      </c>
    </row>
    <row r="18" spans="2:33" x14ac:dyDescent="0.35">
      <c r="C18" s="68" t="s">
        <v>5</v>
      </c>
      <c r="D18" s="63">
        <f>D19-SUM(D9:D17)</f>
        <v>30</v>
      </c>
      <c r="E18" s="63">
        <f t="shared" ref="E18:L18" si="1">E19-SUM(E9:E17)</f>
        <v>30</v>
      </c>
      <c r="F18" s="63">
        <f t="shared" si="1"/>
        <v>40</v>
      </c>
      <c r="G18" s="63">
        <f t="shared" si="1"/>
        <v>56</v>
      </c>
      <c r="H18" s="63">
        <f t="shared" si="1"/>
        <v>45</v>
      </c>
      <c r="I18" s="63">
        <f t="shared" si="1"/>
        <v>20</v>
      </c>
      <c r="J18" s="63">
        <f t="shared" si="1"/>
        <v>51</v>
      </c>
      <c r="K18" s="63">
        <f t="shared" si="1"/>
        <v>45</v>
      </c>
      <c r="L18" s="63">
        <f t="shared" si="1"/>
        <v>38</v>
      </c>
      <c r="M18" s="1"/>
      <c r="N18" s="1"/>
      <c r="O18" s="1"/>
      <c r="P18" s="1"/>
      <c r="Q18" s="1"/>
      <c r="R18" s="1"/>
      <c r="S18" s="1"/>
      <c r="T18" s="1"/>
      <c r="U18" s="1"/>
      <c r="V18" s="56">
        <f>SUM(V9:V17)</f>
        <v>678</v>
      </c>
    </row>
    <row r="19" spans="2:33" ht="15" thickBot="1" x14ac:dyDescent="0.4">
      <c r="C19" s="52" t="s">
        <v>44</v>
      </c>
      <c r="D19" s="48">
        <f>V9</f>
        <v>58</v>
      </c>
      <c r="E19" s="50">
        <f>V10</f>
        <v>68</v>
      </c>
      <c r="F19" s="60">
        <f>V11</f>
        <v>72</v>
      </c>
      <c r="G19" s="48">
        <f>V12</f>
        <v>84</v>
      </c>
      <c r="H19" s="50">
        <f>V13</f>
        <v>87</v>
      </c>
      <c r="I19" s="60">
        <f>V14</f>
        <v>48</v>
      </c>
      <c r="J19" s="48">
        <f>V15</f>
        <v>98</v>
      </c>
      <c r="K19" s="50">
        <f>V16</f>
        <v>96</v>
      </c>
      <c r="L19" s="1">
        <f>V17</f>
        <v>67</v>
      </c>
      <c r="M19" s="1"/>
      <c r="N19" s="1"/>
      <c r="O19" s="1"/>
      <c r="P19" s="1"/>
      <c r="Q19" s="1"/>
      <c r="R19" s="1"/>
      <c r="S19" s="1"/>
      <c r="T19" s="1"/>
      <c r="U19" s="1"/>
      <c r="V19" s="1"/>
    </row>
    <row r="21" spans="2:33" ht="15" thickBot="1" x14ac:dyDescent="0.4"/>
    <row r="22" spans="2:33" x14ac:dyDescent="0.35">
      <c r="D22" s="234" t="s">
        <v>53</v>
      </c>
      <c r="E22" s="235"/>
      <c r="F22" s="236"/>
      <c r="G22" s="234" t="s">
        <v>50</v>
      </c>
      <c r="H22" s="235"/>
      <c r="I22" s="236"/>
      <c r="J22" s="56" t="s">
        <v>64</v>
      </c>
      <c r="K22" s="56" t="s">
        <v>66</v>
      </c>
      <c r="M22" s="56" t="s">
        <v>62</v>
      </c>
      <c r="N22" s="56" t="s">
        <v>63</v>
      </c>
      <c r="O22" s="1"/>
      <c r="P22" s="56" t="s">
        <v>44</v>
      </c>
    </row>
    <row r="23" spans="2:33" ht="15" thickBot="1" x14ac:dyDescent="0.4">
      <c r="C23" s="1"/>
      <c r="D23" s="53" t="s">
        <v>51</v>
      </c>
      <c r="E23" s="54" t="s">
        <v>52</v>
      </c>
      <c r="F23" s="59" t="s">
        <v>58</v>
      </c>
      <c r="G23" s="53" t="s">
        <v>51</v>
      </c>
      <c r="H23" s="54" t="s">
        <v>52</v>
      </c>
      <c r="I23" s="59" t="s">
        <v>58</v>
      </c>
      <c r="J23" s="53"/>
      <c r="K23" s="54"/>
      <c r="M23" s="54"/>
      <c r="N23" s="54"/>
      <c r="O23" s="1"/>
      <c r="P23" s="55"/>
    </row>
    <row r="24" spans="2:33" ht="15" thickBot="1" x14ac:dyDescent="0.4">
      <c r="B24" s="238" t="s">
        <v>53</v>
      </c>
      <c r="C24" s="51" t="s">
        <v>51</v>
      </c>
      <c r="D24" s="45">
        <f>D9+G9+D12+G12</f>
        <v>25</v>
      </c>
      <c r="E24" s="46">
        <f>E9+H9+E12+H12</f>
        <v>15</v>
      </c>
      <c r="F24" s="47">
        <f>F9+I9+F12+I12</f>
        <v>11</v>
      </c>
      <c r="G24" s="45">
        <f t="shared" ref="G24:I26" si="2">J9+J12</f>
        <v>4</v>
      </c>
      <c r="H24" s="46">
        <f t="shared" si="2"/>
        <v>3</v>
      </c>
      <c r="I24" s="47">
        <f t="shared" si="2"/>
        <v>3</v>
      </c>
      <c r="J24" s="45">
        <f t="shared" ref="J24:L26" si="3">M9+P9+M12+P12</f>
        <v>39</v>
      </c>
      <c r="K24" s="45">
        <f t="shared" si="3"/>
        <v>16</v>
      </c>
      <c r="L24" s="45">
        <f t="shared" si="3"/>
        <v>13</v>
      </c>
      <c r="M24" s="46">
        <f t="shared" ref="M24:O26" si="4">S9+S12</f>
        <v>3</v>
      </c>
      <c r="N24" s="46">
        <f t="shared" si="4"/>
        <v>5</v>
      </c>
      <c r="O24" s="46">
        <f t="shared" si="4"/>
        <v>5</v>
      </c>
      <c r="P24" s="56">
        <f t="shared" ref="P24:P29" si="5">SUM(D24:O24)</f>
        <v>142</v>
      </c>
      <c r="X24" s="71" t="s">
        <v>48</v>
      </c>
      <c r="Y24" s="51" t="s">
        <v>51</v>
      </c>
      <c r="Z24">
        <f>Z38/Z$47</f>
        <v>0.14925373134328357</v>
      </c>
      <c r="AA24">
        <f>AA38/AA$47</f>
        <v>4.1095890410958902E-2</v>
      </c>
      <c r="AB24">
        <f t="shared" ref="AB24:AG24" si="6">AB38/AB$47</f>
        <v>2.7397260273972601E-2</v>
      </c>
      <c r="AC24">
        <f t="shared" si="6"/>
        <v>1.3157894736842105E-2</v>
      </c>
      <c r="AD24">
        <f t="shared" si="6"/>
        <v>1.2195121951219513E-2</v>
      </c>
      <c r="AE24">
        <f t="shared" si="6"/>
        <v>2.3255813953488372E-2</v>
      </c>
      <c r="AF24">
        <f t="shared" si="6"/>
        <v>9.6153846153846159E-3</v>
      </c>
      <c r="AG24">
        <f t="shared" si="6"/>
        <v>1.5873015873015872E-2</v>
      </c>
    </row>
    <row r="25" spans="2:33" ht="15" thickBot="1" x14ac:dyDescent="0.4">
      <c r="B25" s="239"/>
      <c r="C25" s="52" t="s">
        <v>52</v>
      </c>
      <c r="D25" s="65">
        <f>D10+G10+D13+G13</f>
        <v>13</v>
      </c>
      <c r="E25" s="64">
        <f>E10+H10+H13+E13</f>
        <v>41</v>
      </c>
      <c r="F25" s="66">
        <f>F10+I10+F13+I13</f>
        <v>13</v>
      </c>
      <c r="G25" s="65">
        <f t="shared" si="2"/>
        <v>3</v>
      </c>
      <c r="H25" s="64">
        <f t="shared" si="2"/>
        <v>6</v>
      </c>
      <c r="I25" s="66">
        <f t="shared" si="2"/>
        <v>3</v>
      </c>
      <c r="J25" s="65">
        <f t="shared" si="3"/>
        <v>34</v>
      </c>
      <c r="K25" s="65">
        <f t="shared" si="3"/>
        <v>6</v>
      </c>
      <c r="L25" s="65">
        <f t="shared" si="3"/>
        <v>17</v>
      </c>
      <c r="M25" s="64">
        <f t="shared" si="4"/>
        <v>4</v>
      </c>
      <c r="N25" s="64">
        <f t="shared" si="4"/>
        <v>8</v>
      </c>
      <c r="O25" s="64">
        <f t="shared" si="4"/>
        <v>7</v>
      </c>
      <c r="P25" s="56">
        <f t="shared" si="5"/>
        <v>155</v>
      </c>
      <c r="X25" s="71" t="s">
        <v>48</v>
      </c>
      <c r="Y25" s="52" t="s">
        <v>52</v>
      </c>
      <c r="Z25">
        <f t="shared" ref="Z25:AG32" si="7">Z39/Z$47</f>
        <v>8.9552238805970144E-2</v>
      </c>
      <c r="AA25">
        <f t="shared" si="7"/>
        <v>0.20547945205479451</v>
      </c>
      <c r="AB25">
        <f t="shared" si="7"/>
        <v>1.3698630136986301E-2</v>
      </c>
      <c r="AC25">
        <f t="shared" si="7"/>
        <v>3.9473684210526314E-2</v>
      </c>
      <c r="AD25">
        <f t="shared" si="7"/>
        <v>2.4390243902439025E-2</v>
      </c>
      <c r="AE25">
        <f t="shared" si="7"/>
        <v>2.3255813953488372E-2</v>
      </c>
      <c r="AF25">
        <f t="shared" si="7"/>
        <v>1.9230769230769232E-2</v>
      </c>
      <c r="AG25">
        <f t="shared" si="7"/>
        <v>1.5873015873015872E-2</v>
      </c>
    </row>
    <row r="26" spans="2:33" ht="15" thickBot="1" x14ac:dyDescent="0.4">
      <c r="B26" s="239"/>
      <c r="C26" s="58" t="s">
        <v>58</v>
      </c>
      <c r="D26" s="48">
        <f>D11+G11+D14+G14</f>
        <v>6</v>
      </c>
      <c r="E26" s="49">
        <f>E11+H11+E14+H14</f>
        <v>11</v>
      </c>
      <c r="F26" s="50">
        <f>F11+I11+I14+F14</f>
        <v>20</v>
      </c>
      <c r="G26" s="48">
        <f t="shared" si="2"/>
        <v>4</v>
      </c>
      <c r="H26" s="49">
        <f t="shared" si="2"/>
        <v>7</v>
      </c>
      <c r="I26" s="50">
        <f t="shared" si="2"/>
        <v>8</v>
      </c>
      <c r="J26" s="48">
        <f t="shared" si="3"/>
        <v>10</v>
      </c>
      <c r="K26" s="48">
        <f t="shared" si="3"/>
        <v>11</v>
      </c>
      <c r="L26" s="48">
        <f t="shared" si="3"/>
        <v>19</v>
      </c>
      <c r="M26" s="49">
        <f t="shared" si="4"/>
        <v>5</v>
      </c>
      <c r="N26" s="49">
        <f t="shared" si="4"/>
        <v>10</v>
      </c>
      <c r="O26" s="49">
        <f t="shared" si="4"/>
        <v>9</v>
      </c>
      <c r="P26" s="56">
        <f t="shared" si="5"/>
        <v>120</v>
      </c>
      <c r="X26" s="71" t="s">
        <v>49</v>
      </c>
      <c r="Y26" s="51" t="s">
        <v>51</v>
      </c>
      <c r="Z26">
        <f t="shared" si="7"/>
        <v>1.4925373134328358E-2</v>
      </c>
      <c r="AA26">
        <f t="shared" si="7"/>
        <v>5.4794520547945202E-2</v>
      </c>
      <c r="AB26">
        <f t="shared" si="7"/>
        <v>0.16438356164383561</v>
      </c>
      <c r="AC26">
        <f t="shared" si="7"/>
        <v>9.2105263157894732E-2</v>
      </c>
      <c r="AD26">
        <f t="shared" si="7"/>
        <v>3.6585365853658534E-2</v>
      </c>
      <c r="AE26">
        <f t="shared" si="7"/>
        <v>1.1627906976744186E-2</v>
      </c>
      <c r="AF26">
        <f t="shared" si="7"/>
        <v>2.8846153846153848E-2</v>
      </c>
      <c r="AG26">
        <f t="shared" si="7"/>
        <v>7.9365079365079361E-3</v>
      </c>
    </row>
    <row r="27" spans="2:33" ht="15" thickBot="1" x14ac:dyDescent="0.4">
      <c r="B27" s="238" t="s">
        <v>50</v>
      </c>
      <c r="C27" s="51" t="s">
        <v>51</v>
      </c>
      <c r="D27" s="45">
        <f>D15+G15</f>
        <v>2</v>
      </c>
      <c r="E27" s="46">
        <f t="shared" ref="E27:F29" si="8">E15+H15</f>
        <v>6</v>
      </c>
      <c r="F27" s="47">
        <f t="shared" si="8"/>
        <v>4</v>
      </c>
      <c r="G27" s="64">
        <v>21</v>
      </c>
      <c r="H27" s="64">
        <v>10</v>
      </c>
      <c r="I27" s="66">
        <v>4</v>
      </c>
      <c r="J27" s="45">
        <f t="shared" ref="J27:L29" si="9">M15+P15</f>
        <v>6</v>
      </c>
      <c r="K27" s="45">
        <f t="shared" si="9"/>
        <v>5</v>
      </c>
      <c r="L27" s="45">
        <f t="shared" si="9"/>
        <v>11</v>
      </c>
      <c r="M27" s="46">
        <f t="shared" ref="M27:O29" si="10">S15</f>
        <v>17</v>
      </c>
      <c r="N27" s="46">
        <f t="shared" si="10"/>
        <v>5</v>
      </c>
      <c r="O27" s="46">
        <f t="shared" si="10"/>
        <v>7</v>
      </c>
      <c r="P27" s="56">
        <f t="shared" si="5"/>
        <v>98</v>
      </c>
      <c r="X27" s="71" t="s">
        <v>49</v>
      </c>
      <c r="Y27" s="52" t="s">
        <v>52</v>
      </c>
      <c r="Z27">
        <f t="shared" si="7"/>
        <v>2.9850746268656716E-2</v>
      </c>
      <c r="AA27">
        <f t="shared" si="7"/>
        <v>4.1095890410958902E-2</v>
      </c>
      <c r="AB27">
        <f t="shared" si="7"/>
        <v>5.4794520547945202E-2</v>
      </c>
      <c r="AC27">
        <f t="shared" si="7"/>
        <v>0.26315789473684209</v>
      </c>
      <c r="AD27">
        <f t="shared" si="7"/>
        <v>1.2195121951219513E-2</v>
      </c>
      <c r="AE27">
        <f t="shared" si="7"/>
        <v>4.6511627906976744E-2</v>
      </c>
      <c r="AF27">
        <f t="shared" si="7"/>
        <v>9.6153846153846159E-3</v>
      </c>
      <c r="AG27">
        <f t="shared" si="7"/>
        <v>3.1746031746031744E-2</v>
      </c>
    </row>
    <row r="28" spans="2:33" ht="15" thickBot="1" x14ac:dyDescent="0.4">
      <c r="B28" s="239"/>
      <c r="C28" s="69" t="s">
        <v>52</v>
      </c>
      <c r="D28" s="65">
        <f>D16+G16</f>
        <v>6</v>
      </c>
      <c r="E28" s="64">
        <f t="shared" si="8"/>
        <v>2</v>
      </c>
      <c r="F28" s="66">
        <f t="shared" si="8"/>
        <v>4</v>
      </c>
      <c r="G28" s="64">
        <v>9</v>
      </c>
      <c r="H28" s="64">
        <v>18</v>
      </c>
      <c r="I28" s="66">
        <v>5</v>
      </c>
      <c r="J28" s="65">
        <f t="shared" si="9"/>
        <v>3</v>
      </c>
      <c r="K28" s="65">
        <f t="shared" si="9"/>
        <v>7</v>
      </c>
      <c r="L28" s="65">
        <f t="shared" si="9"/>
        <v>8</v>
      </c>
      <c r="M28" s="64">
        <f t="shared" si="10"/>
        <v>20</v>
      </c>
      <c r="N28" s="64">
        <f t="shared" si="10"/>
        <v>6</v>
      </c>
      <c r="O28" s="64">
        <f t="shared" si="10"/>
        <v>8</v>
      </c>
      <c r="P28" s="56">
        <f t="shared" si="5"/>
        <v>96</v>
      </c>
      <c r="X28" s="71" t="s">
        <v>50</v>
      </c>
      <c r="Y28" s="51" t="s">
        <v>51</v>
      </c>
      <c r="Z28">
        <f t="shared" si="7"/>
        <v>1.4925373134328358E-2</v>
      </c>
      <c r="AA28">
        <f t="shared" si="7"/>
        <v>5.4794520547945202E-2</v>
      </c>
      <c r="AB28">
        <f>AB42/AB$47</f>
        <v>1.3698630136986301E-2</v>
      </c>
      <c r="AC28">
        <f t="shared" si="7"/>
        <v>2.6315789473684209E-2</v>
      </c>
      <c r="AD28">
        <f t="shared" si="7"/>
        <v>0.25609756097560976</v>
      </c>
      <c r="AE28">
        <f t="shared" si="7"/>
        <v>0.11627906976744186</v>
      </c>
      <c r="AF28">
        <f t="shared" si="7"/>
        <v>2.8846153846153848E-2</v>
      </c>
      <c r="AG28">
        <f t="shared" si="7"/>
        <v>7.9365079365079361E-3</v>
      </c>
    </row>
    <row r="29" spans="2:33" ht="15" thickBot="1" x14ac:dyDescent="0.4">
      <c r="B29" s="240"/>
      <c r="C29" s="58" t="s">
        <v>58</v>
      </c>
      <c r="D29" s="48">
        <f>D17+G17</f>
        <v>4</v>
      </c>
      <c r="E29" s="49">
        <f t="shared" si="8"/>
        <v>5</v>
      </c>
      <c r="F29" s="50">
        <f t="shared" si="8"/>
        <v>8</v>
      </c>
      <c r="G29" s="49">
        <v>6</v>
      </c>
      <c r="H29" s="49">
        <v>7</v>
      </c>
      <c r="I29" s="50">
        <v>6</v>
      </c>
      <c r="J29" s="48">
        <f t="shared" si="9"/>
        <v>5</v>
      </c>
      <c r="K29" s="48">
        <f t="shared" si="9"/>
        <v>5</v>
      </c>
      <c r="L29" s="48">
        <f t="shared" si="9"/>
        <v>6</v>
      </c>
      <c r="M29" s="49">
        <f t="shared" si="10"/>
        <v>3</v>
      </c>
      <c r="N29" s="49">
        <f t="shared" si="10"/>
        <v>3</v>
      </c>
      <c r="O29" s="49">
        <f t="shared" si="10"/>
        <v>9</v>
      </c>
      <c r="P29" s="56">
        <f t="shared" si="5"/>
        <v>67</v>
      </c>
      <c r="X29" s="71" t="s">
        <v>50</v>
      </c>
      <c r="Y29" s="57" t="s">
        <v>52</v>
      </c>
      <c r="Z29">
        <f t="shared" si="7"/>
        <v>5.9701492537313432E-2</v>
      </c>
      <c r="AA29">
        <f t="shared" si="7"/>
        <v>1.3698630136986301E-2</v>
      </c>
      <c r="AB29">
        <f t="shared" si="7"/>
        <v>2.7397260273972601E-2</v>
      </c>
      <c r="AC29">
        <f t="shared" si="7"/>
        <v>1.3157894736842105E-2</v>
      </c>
      <c r="AD29">
        <f t="shared" si="7"/>
        <v>0.10975609756097561</v>
      </c>
      <c r="AE29">
        <f t="shared" si="7"/>
        <v>0.20930232558139536</v>
      </c>
      <c r="AF29">
        <f t="shared" si="7"/>
        <v>9.6153846153846159E-3</v>
      </c>
      <c r="AG29">
        <f t="shared" si="7"/>
        <v>3.1746031746031744E-2</v>
      </c>
    </row>
    <row r="30" spans="2:33" ht="15" thickBot="1" x14ac:dyDescent="0.4">
      <c r="C30" s="51" t="s">
        <v>5</v>
      </c>
      <c r="D30" s="45">
        <f t="shared" ref="D30:I30" si="11">D31-SUM(D24:D29)</f>
        <v>86</v>
      </c>
      <c r="E30" s="46">
        <f t="shared" si="11"/>
        <v>75</v>
      </c>
      <c r="F30" s="56">
        <f t="shared" si="11"/>
        <v>60</v>
      </c>
      <c r="G30" s="45">
        <f t="shared" si="11"/>
        <v>51</v>
      </c>
      <c r="H30" s="46">
        <f t="shared" si="11"/>
        <v>45</v>
      </c>
      <c r="I30" s="56">
        <f t="shared" si="11"/>
        <v>38</v>
      </c>
      <c r="J30" s="1"/>
      <c r="K30" s="1"/>
      <c r="O30" s="1"/>
      <c r="P30" s="56">
        <f>SUM(P24:P29)</f>
        <v>678</v>
      </c>
      <c r="X30" s="71" t="s">
        <v>54</v>
      </c>
      <c r="Y30" s="51" t="s">
        <v>51</v>
      </c>
      <c r="Z30">
        <f t="shared" si="7"/>
        <v>5.9701492537313432E-2</v>
      </c>
      <c r="AA30">
        <f t="shared" si="7"/>
        <v>2.7397260273972601E-2</v>
      </c>
      <c r="AB30">
        <f t="shared" si="7"/>
        <v>2.7397260273972601E-2</v>
      </c>
      <c r="AC30">
        <f t="shared" si="7"/>
        <v>1.3157894736842105E-2</v>
      </c>
      <c r="AD30">
        <f t="shared" si="7"/>
        <v>2.4390243902439025E-2</v>
      </c>
      <c r="AE30">
        <f t="shared" si="7"/>
        <v>3.4883720930232558E-2</v>
      </c>
      <c r="AF30">
        <f t="shared" si="7"/>
        <v>0.15384615384615385</v>
      </c>
      <c r="AG30">
        <f t="shared" si="7"/>
        <v>7.9365079365079361E-2</v>
      </c>
    </row>
    <row r="31" spans="2:33" ht="15" thickBot="1" x14ac:dyDescent="0.4">
      <c r="C31" s="52" t="s">
        <v>44</v>
      </c>
      <c r="D31" s="48">
        <f>P24</f>
        <v>142</v>
      </c>
      <c r="E31" s="49">
        <f>P25</f>
        <v>155</v>
      </c>
      <c r="F31" s="67">
        <f>P26</f>
        <v>120</v>
      </c>
      <c r="G31" s="48">
        <f>P27</f>
        <v>98</v>
      </c>
      <c r="H31" s="49">
        <f>P28</f>
        <v>96</v>
      </c>
      <c r="I31" s="67">
        <f>P29</f>
        <v>67</v>
      </c>
      <c r="J31" s="1"/>
      <c r="K31" s="1"/>
      <c r="L31" s="1"/>
      <c r="M31" s="1"/>
      <c r="N31" s="1"/>
      <c r="O31" s="1"/>
      <c r="X31" s="71" t="s">
        <v>54</v>
      </c>
      <c r="Y31" s="57" t="s">
        <v>52</v>
      </c>
      <c r="Z31">
        <f t="shared" si="7"/>
        <v>2.9850746268656716E-2</v>
      </c>
      <c r="AA31">
        <f t="shared" si="7"/>
        <v>4.1095890410958902E-2</v>
      </c>
      <c r="AB31">
        <f t="shared" si="7"/>
        <v>5.4794520547945202E-2</v>
      </c>
      <c r="AC31">
        <f t="shared" si="7"/>
        <v>3.9473684210526314E-2</v>
      </c>
      <c r="AD31">
        <f t="shared" si="7"/>
        <v>2.4390243902439025E-2</v>
      </c>
      <c r="AE31">
        <f t="shared" si="7"/>
        <v>4.6511627906976744E-2</v>
      </c>
      <c r="AF31">
        <f t="shared" si="7"/>
        <v>4.807692307692308E-2</v>
      </c>
      <c r="AG31">
        <f t="shared" si="7"/>
        <v>0.15873015873015872</v>
      </c>
    </row>
    <row r="32" spans="2:33" x14ac:dyDescent="0.35">
      <c r="Z32">
        <f t="shared" si="7"/>
        <v>0.55223880597014929</v>
      </c>
    </row>
    <row r="35" spans="24:56" ht="15" thickBot="1" x14ac:dyDescent="0.4"/>
    <row r="36" spans="24:56" ht="15" thickBot="1" x14ac:dyDescent="0.4">
      <c r="Z36" s="234" t="s">
        <v>48</v>
      </c>
      <c r="AA36" s="236"/>
      <c r="AB36" s="234" t="s">
        <v>49</v>
      </c>
      <c r="AC36" s="236"/>
      <c r="AD36" s="234" t="s">
        <v>50</v>
      </c>
      <c r="AE36" s="236"/>
      <c r="AF36" s="234" t="s">
        <v>54</v>
      </c>
      <c r="AG36" s="236"/>
      <c r="AH36" s="56" t="s">
        <v>59</v>
      </c>
      <c r="AI36" s="56" t="s">
        <v>60</v>
      </c>
      <c r="AJ36" s="56" t="s">
        <v>65</v>
      </c>
      <c r="AK36" s="56" t="s">
        <v>61</v>
      </c>
      <c r="AL36" s="56" t="s">
        <v>62</v>
      </c>
      <c r="AM36" s="56" t="s">
        <v>63</v>
      </c>
      <c r="AN36" s="56" t="s">
        <v>68</v>
      </c>
      <c r="AO36" s="56" t="s">
        <v>69</v>
      </c>
      <c r="AP36" s="56" t="s">
        <v>44</v>
      </c>
    </row>
    <row r="37" spans="24:56" ht="15" thickBot="1" x14ac:dyDescent="0.4">
      <c r="Y37" s="1"/>
      <c r="Z37" s="53" t="s">
        <v>51</v>
      </c>
      <c r="AA37" s="54" t="s">
        <v>52</v>
      </c>
      <c r="AB37" s="53" t="s">
        <v>51</v>
      </c>
      <c r="AC37" s="54" t="s">
        <v>52</v>
      </c>
      <c r="AD37" s="53" t="s">
        <v>51</v>
      </c>
      <c r="AE37" s="54" t="s">
        <v>52</v>
      </c>
      <c r="AF37" s="53" t="s">
        <v>51</v>
      </c>
      <c r="AG37" s="54" t="s">
        <v>52</v>
      </c>
      <c r="AH37" s="53"/>
      <c r="AI37" s="30"/>
      <c r="AJ37" s="44"/>
      <c r="AK37" s="72"/>
      <c r="AL37" s="54"/>
      <c r="AM37" s="54"/>
      <c r="AN37" s="54"/>
      <c r="AO37" s="73"/>
      <c r="AP37" s="55"/>
      <c r="AU37" s="71" t="s">
        <v>48</v>
      </c>
      <c r="AV37" s="51" t="s">
        <v>51</v>
      </c>
      <c r="AW37" s="45">
        <v>10</v>
      </c>
      <c r="AX37" s="47">
        <v>3</v>
      </c>
      <c r="AY37" s="45">
        <v>2</v>
      </c>
      <c r="AZ37" s="47">
        <v>1</v>
      </c>
      <c r="BA37" s="45">
        <v>1</v>
      </c>
      <c r="BB37" s="47">
        <v>2</v>
      </c>
      <c r="BC37" s="45">
        <v>1</v>
      </c>
      <c r="BD37" s="47">
        <v>2</v>
      </c>
    </row>
    <row r="38" spans="24:56" ht="15" thickBot="1" x14ac:dyDescent="0.4">
      <c r="X38" s="71" t="s">
        <v>48</v>
      </c>
      <c r="Y38" s="51" t="s">
        <v>51</v>
      </c>
      <c r="Z38" s="45">
        <v>10</v>
      </c>
      <c r="AA38" s="47">
        <v>3</v>
      </c>
      <c r="AB38" s="45">
        <v>2</v>
      </c>
      <c r="AC38" s="47">
        <v>1</v>
      </c>
      <c r="AD38" s="45">
        <v>1</v>
      </c>
      <c r="AE38" s="47">
        <v>2</v>
      </c>
      <c r="AF38" s="45">
        <v>1</v>
      </c>
      <c r="AG38" s="47">
        <v>2</v>
      </c>
      <c r="AH38" s="45">
        <v>15</v>
      </c>
      <c r="AI38" s="61">
        <v>1</v>
      </c>
      <c r="AJ38" s="46">
        <v>2</v>
      </c>
      <c r="AK38" s="75">
        <v>7</v>
      </c>
      <c r="AL38" s="47">
        <v>1</v>
      </c>
      <c r="AM38" s="47">
        <v>8</v>
      </c>
      <c r="AN38" s="47">
        <v>6</v>
      </c>
      <c r="AO38" s="77">
        <v>5</v>
      </c>
      <c r="AP38" s="56">
        <f>SUM(Z38:AG38)+SUM(AH38:AO38)</f>
        <v>67</v>
      </c>
      <c r="AU38" s="71" t="s">
        <v>48</v>
      </c>
      <c r="AV38" s="52" t="s">
        <v>52</v>
      </c>
      <c r="AW38" s="48">
        <v>6</v>
      </c>
      <c r="AX38" s="50">
        <v>15</v>
      </c>
      <c r="AY38" s="48">
        <v>1</v>
      </c>
      <c r="AZ38" s="50">
        <v>3</v>
      </c>
      <c r="BA38" s="48">
        <v>2</v>
      </c>
      <c r="BB38" s="50">
        <v>2</v>
      </c>
      <c r="BC38" s="48">
        <v>2</v>
      </c>
      <c r="BD38" s="50">
        <v>2</v>
      </c>
    </row>
    <row r="39" spans="24:56" ht="15" thickBot="1" x14ac:dyDescent="0.4">
      <c r="X39" s="71" t="s">
        <v>48</v>
      </c>
      <c r="Y39" s="52" t="s">
        <v>52</v>
      </c>
      <c r="Z39" s="48">
        <v>6</v>
      </c>
      <c r="AA39" s="50">
        <v>15</v>
      </c>
      <c r="AB39" s="48">
        <v>1</v>
      </c>
      <c r="AC39" s="50">
        <v>3</v>
      </c>
      <c r="AD39" s="48">
        <v>2</v>
      </c>
      <c r="AE39" s="50">
        <v>2</v>
      </c>
      <c r="AF39" s="48">
        <v>2</v>
      </c>
      <c r="AG39" s="50">
        <v>2</v>
      </c>
      <c r="AH39" s="48">
        <v>12</v>
      </c>
      <c r="AI39" s="62">
        <v>2</v>
      </c>
      <c r="AJ39" s="49">
        <v>1</v>
      </c>
      <c r="AK39" s="76">
        <v>6</v>
      </c>
      <c r="AL39" s="50">
        <v>3</v>
      </c>
      <c r="AM39" s="50">
        <v>9</v>
      </c>
      <c r="AN39" s="50">
        <v>3</v>
      </c>
      <c r="AO39" s="22">
        <v>4</v>
      </c>
      <c r="AP39" s="56">
        <f t="shared" ref="AP39:AP45" si="12">SUM(Z39:AG39)+SUM(AH39:AO39)</f>
        <v>73</v>
      </c>
      <c r="AU39" s="71" t="s">
        <v>50</v>
      </c>
      <c r="AV39" s="51" t="s">
        <v>51</v>
      </c>
      <c r="AW39" s="45">
        <v>1</v>
      </c>
      <c r="AX39" s="47">
        <v>4</v>
      </c>
      <c r="AY39" s="45">
        <v>1</v>
      </c>
      <c r="AZ39" s="47">
        <v>2</v>
      </c>
      <c r="BA39" s="45">
        <v>21</v>
      </c>
      <c r="BB39" s="47">
        <v>10</v>
      </c>
      <c r="BC39" s="45">
        <v>3</v>
      </c>
      <c r="BD39" s="47">
        <v>1</v>
      </c>
    </row>
    <row r="40" spans="24:56" ht="15" thickBot="1" x14ac:dyDescent="0.4">
      <c r="X40" s="71" t="s">
        <v>49</v>
      </c>
      <c r="Y40" s="51" t="s">
        <v>51</v>
      </c>
      <c r="Z40" s="45">
        <v>1</v>
      </c>
      <c r="AA40" s="47">
        <v>4</v>
      </c>
      <c r="AB40" s="45">
        <v>12</v>
      </c>
      <c r="AC40" s="47">
        <v>7</v>
      </c>
      <c r="AD40" s="45">
        <v>3</v>
      </c>
      <c r="AE40" s="47">
        <v>1</v>
      </c>
      <c r="AF40" s="45">
        <v>3</v>
      </c>
      <c r="AG40" s="47">
        <v>1</v>
      </c>
      <c r="AH40" s="45">
        <v>4</v>
      </c>
      <c r="AI40" s="61">
        <v>3</v>
      </c>
      <c r="AJ40" s="46">
        <v>18</v>
      </c>
      <c r="AK40" s="75">
        <v>5</v>
      </c>
      <c r="AL40" s="47">
        <v>2</v>
      </c>
      <c r="AM40" s="47">
        <v>1</v>
      </c>
      <c r="AN40" s="47">
        <v>5</v>
      </c>
      <c r="AO40" s="77">
        <v>3</v>
      </c>
      <c r="AP40" s="56">
        <f t="shared" si="12"/>
        <v>73</v>
      </c>
      <c r="AU40" s="71" t="s">
        <v>50</v>
      </c>
      <c r="AV40" s="52" t="s">
        <v>52</v>
      </c>
      <c r="AW40" s="48">
        <v>4</v>
      </c>
      <c r="AX40" s="50">
        <v>1</v>
      </c>
      <c r="AY40" s="48">
        <v>2</v>
      </c>
      <c r="AZ40" s="50">
        <v>1</v>
      </c>
      <c r="BA40" s="48">
        <v>9</v>
      </c>
      <c r="BB40" s="50">
        <v>18</v>
      </c>
      <c r="BC40" s="48">
        <v>1</v>
      </c>
      <c r="BD40" s="50">
        <v>4</v>
      </c>
    </row>
    <row r="41" spans="24:56" ht="15" thickBot="1" x14ac:dyDescent="0.4">
      <c r="X41" s="71" t="s">
        <v>49</v>
      </c>
      <c r="Y41" s="52" t="s">
        <v>52</v>
      </c>
      <c r="Z41" s="48">
        <v>2</v>
      </c>
      <c r="AA41" s="50">
        <v>3</v>
      </c>
      <c r="AB41" s="48">
        <v>4</v>
      </c>
      <c r="AC41" s="50">
        <v>20</v>
      </c>
      <c r="AD41" s="48">
        <v>1</v>
      </c>
      <c r="AE41" s="50">
        <v>4</v>
      </c>
      <c r="AF41" s="48">
        <v>1</v>
      </c>
      <c r="AG41" s="50">
        <v>4</v>
      </c>
      <c r="AH41" s="48">
        <v>2</v>
      </c>
      <c r="AI41" s="62">
        <v>4</v>
      </c>
      <c r="AJ41" s="49">
        <v>19</v>
      </c>
      <c r="AK41" s="76">
        <v>4</v>
      </c>
      <c r="AL41" s="50">
        <v>1</v>
      </c>
      <c r="AM41" s="50">
        <v>2</v>
      </c>
      <c r="AN41" s="50">
        <v>3</v>
      </c>
      <c r="AO41" s="22">
        <v>2</v>
      </c>
      <c r="AP41" s="56">
        <f t="shared" si="12"/>
        <v>76</v>
      </c>
      <c r="AU41" s="71" t="s">
        <v>49</v>
      </c>
      <c r="AV41" s="51" t="s">
        <v>51</v>
      </c>
      <c r="AW41" s="45">
        <v>1</v>
      </c>
      <c r="AX41" s="47">
        <v>4</v>
      </c>
      <c r="AY41" s="45">
        <v>12</v>
      </c>
      <c r="AZ41" s="47">
        <v>7</v>
      </c>
      <c r="BA41" s="45">
        <v>3</v>
      </c>
      <c r="BB41" s="47">
        <v>1</v>
      </c>
      <c r="BC41" s="45">
        <v>3</v>
      </c>
      <c r="BD41" s="47">
        <v>1</v>
      </c>
    </row>
    <row r="42" spans="24:56" ht="15" thickBot="1" x14ac:dyDescent="0.4">
      <c r="X42" s="71" t="s">
        <v>50</v>
      </c>
      <c r="Y42" s="51" t="s">
        <v>51</v>
      </c>
      <c r="Z42" s="45">
        <v>1</v>
      </c>
      <c r="AA42" s="47">
        <v>4</v>
      </c>
      <c r="AB42" s="45">
        <v>1</v>
      </c>
      <c r="AC42" s="47">
        <v>2</v>
      </c>
      <c r="AD42" s="45">
        <v>21</v>
      </c>
      <c r="AE42" s="47">
        <v>10</v>
      </c>
      <c r="AF42" s="45">
        <v>3</v>
      </c>
      <c r="AG42" s="47">
        <v>1</v>
      </c>
      <c r="AH42" s="45">
        <v>3</v>
      </c>
      <c r="AI42" s="61">
        <v>5</v>
      </c>
      <c r="AJ42" s="46">
        <v>3</v>
      </c>
      <c r="AK42" s="75">
        <v>3</v>
      </c>
      <c r="AL42" s="47">
        <v>17</v>
      </c>
      <c r="AM42" s="47">
        <v>3</v>
      </c>
      <c r="AN42" s="47">
        <v>4</v>
      </c>
      <c r="AO42" s="77">
        <v>1</v>
      </c>
      <c r="AP42" s="56">
        <f t="shared" si="12"/>
        <v>82</v>
      </c>
      <c r="AU42" s="71" t="s">
        <v>49</v>
      </c>
      <c r="AV42" s="57" t="s">
        <v>52</v>
      </c>
      <c r="AW42" s="53">
        <v>2</v>
      </c>
      <c r="AX42" s="54">
        <v>3</v>
      </c>
      <c r="AY42" s="53">
        <v>4</v>
      </c>
      <c r="AZ42" s="54">
        <v>20</v>
      </c>
      <c r="BA42" s="53">
        <v>1</v>
      </c>
      <c r="BB42" s="54">
        <v>4</v>
      </c>
      <c r="BC42" s="48">
        <v>1</v>
      </c>
      <c r="BD42" s="50">
        <v>4</v>
      </c>
    </row>
    <row r="43" spans="24:56" ht="15" thickBot="1" x14ac:dyDescent="0.4">
      <c r="X43" s="71" t="s">
        <v>50</v>
      </c>
      <c r="Y43" s="57" t="s">
        <v>52</v>
      </c>
      <c r="Z43" s="53">
        <v>4</v>
      </c>
      <c r="AA43" s="54">
        <v>1</v>
      </c>
      <c r="AB43" s="53">
        <v>2</v>
      </c>
      <c r="AC43" s="54">
        <v>1</v>
      </c>
      <c r="AD43" s="53">
        <v>9</v>
      </c>
      <c r="AE43" s="54">
        <v>18</v>
      </c>
      <c r="AF43" s="48">
        <v>1</v>
      </c>
      <c r="AG43" s="50">
        <v>4</v>
      </c>
      <c r="AH43" s="48">
        <v>1</v>
      </c>
      <c r="AI43" s="62">
        <v>6</v>
      </c>
      <c r="AJ43" s="49">
        <v>2</v>
      </c>
      <c r="AK43" s="76">
        <v>2</v>
      </c>
      <c r="AL43" s="50">
        <v>20</v>
      </c>
      <c r="AM43" s="50">
        <v>4</v>
      </c>
      <c r="AN43" s="50">
        <v>2</v>
      </c>
      <c r="AO43" s="22">
        <v>9</v>
      </c>
      <c r="AP43" s="56">
        <f t="shared" si="12"/>
        <v>86</v>
      </c>
      <c r="AU43" s="71" t="s">
        <v>54</v>
      </c>
      <c r="AV43" s="51" t="s">
        <v>51</v>
      </c>
      <c r="AW43" s="45">
        <v>4</v>
      </c>
      <c r="AX43" s="47">
        <v>2</v>
      </c>
      <c r="AY43" s="45">
        <v>2</v>
      </c>
      <c r="AZ43" s="47">
        <v>1</v>
      </c>
      <c r="BA43" s="45">
        <v>2</v>
      </c>
      <c r="BB43" s="47">
        <v>3</v>
      </c>
      <c r="BC43" s="45">
        <v>16</v>
      </c>
      <c r="BD43" s="47">
        <v>10</v>
      </c>
    </row>
    <row r="44" spans="24:56" ht="15" thickBot="1" x14ac:dyDescent="0.4">
      <c r="X44" s="71" t="s">
        <v>54</v>
      </c>
      <c r="Y44" s="51" t="s">
        <v>51</v>
      </c>
      <c r="Z44" s="45">
        <v>4</v>
      </c>
      <c r="AA44" s="47">
        <v>2</v>
      </c>
      <c r="AB44" s="45">
        <v>2</v>
      </c>
      <c r="AC44" s="47">
        <v>1</v>
      </c>
      <c r="AD44" s="45">
        <v>2</v>
      </c>
      <c r="AE44" s="47">
        <v>3</v>
      </c>
      <c r="AF44" s="45">
        <v>16</v>
      </c>
      <c r="AG44" s="47">
        <v>10</v>
      </c>
      <c r="AH44" s="45">
        <v>3</v>
      </c>
      <c r="AI44" s="61">
        <v>7</v>
      </c>
      <c r="AJ44" s="46">
        <v>3</v>
      </c>
      <c r="AK44" s="75">
        <v>1</v>
      </c>
      <c r="AL44" s="47">
        <v>17</v>
      </c>
      <c r="AM44" s="47">
        <v>5</v>
      </c>
      <c r="AN44" s="47">
        <v>20</v>
      </c>
      <c r="AO44" s="77">
        <v>8</v>
      </c>
      <c r="AP44" s="56">
        <f t="shared" si="12"/>
        <v>104</v>
      </c>
      <c r="AU44" s="71" t="s">
        <v>54</v>
      </c>
      <c r="AV44" s="57" t="s">
        <v>52</v>
      </c>
      <c r="AW44" s="53">
        <v>2</v>
      </c>
      <c r="AX44" s="54">
        <v>3</v>
      </c>
      <c r="AY44" s="53">
        <v>4</v>
      </c>
      <c r="AZ44" s="54">
        <v>3</v>
      </c>
      <c r="BA44" s="53">
        <v>2</v>
      </c>
      <c r="BB44" s="54">
        <v>4</v>
      </c>
      <c r="BC44" s="53">
        <v>5</v>
      </c>
      <c r="BD44" s="54">
        <v>20</v>
      </c>
    </row>
    <row r="45" spans="24:56" ht="15" thickBot="1" x14ac:dyDescent="0.4">
      <c r="X45" s="71" t="s">
        <v>54</v>
      </c>
      <c r="Y45" s="57" t="s">
        <v>52</v>
      </c>
      <c r="Z45" s="53">
        <v>2</v>
      </c>
      <c r="AA45" s="54">
        <v>3</v>
      </c>
      <c r="AB45" s="53">
        <v>4</v>
      </c>
      <c r="AC45" s="54">
        <v>3</v>
      </c>
      <c r="AD45" s="53">
        <v>2</v>
      </c>
      <c r="AE45" s="54">
        <v>4</v>
      </c>
      <c r="AF45" s="53">
        <v>5</v>
      </c>
      <c r="AG45" s="54">
        <v>20</v>
      </c>
      <c r="AH45" s="48">
        <v>1</v>
      </c>
      <c r="AI45" s="62">
        <v>8</v>
      </c>
      <c r="AJ45" s="49">
        <v>2</v>
      </c>
      <c r="AK45" s="76">
        <v>9</v>
      </c>
      <c r="AL45" s="50">
        <v>20</v>
      </c>
      <c r="AM45" s="50">
        <v>6</v>
      </c>
      <c r="AN45" s="50">
        <v>30</v>
      </c>
      <c r="AO45" s="22">
        <v>7</v>
      </c>
      <c r="AP45" s="56">
        <f t="shared" si="12"/>
        <v>126</v>
      </c>
    </row>
    <row r="46" spans="24:56" x14ac:dyDescent="0.35">
      <c r="Y46" s="51" t="s">
        <v>5</v>
      </c>
      <c r="Z46" s="45">
        <f>Z47-SUM(Z38:Z45)</f>
        <v>37</v>
      </c>
      <c r="AA46" s="47">
        <f t="shared" ref="AA46:AG46" si="13">AA47-SUM(AA38:AA45)</f>
        <v>38</v>
      </c>
      <c r="AB46" s="45">
        <f t="shared" si="13"/>
        <v>45</v>
      </c>
      <c r="AC46" s="47">
        <f t="shared" si="13"/>
        <v>38</v>
      </c>
      <c r="AD46" s="45">
        <f t="shared" si="13"/>
        <v>41</v>
      </c>
      <c r="AE46" s="47">
        <f t="shared" si="13"/>
        <v>42</v>
      </c>
      <c r="AF46" s="45">
        <f t="shared" si="13"/>
        <v>72</v>
      </c>
      <c r="AG46" s="47">
        <f t="shared" si="13"/>
        <v>82</v>
      </c>
      <c r="AH46" s="1"/>
      <c r="AI46" s="1"/>
      <c r="AJ46" s="1"/>
      <c r="AK46" s="1"/>
      <c r="AL46" s="1"/>
      <c r="AM46" s="1"/>
      <c r="AN46" s="1"/>
      <c r="AO46" s="1"/>
      <c r="AP46" s="56">
        <f>SUM(AP38:AP45)</f>
        <v>687</v>
      </c>
    </row>
    <row r="47" spans="24:56" ht="15" thickBot="1" x14ac:dyDescent="0.4">
      <c r="Y47" s="52" t="s">
        <v>44</v>
      </c>
      <c r="Z47" s="48">
        <f>AP38</f>
        <v>67</v>
      </c>
      <c r="AA47" s="50">
        <f>AP39</f>
        <v>73</v>
      </c>
      <c r="AB47" s="48">
        <f>AP40</f>
        <v>73</v>
      </c>
      <c r="AC47" s="50">
        <f>AP41</f>
        <v>76</v>
      </c>
      <c r="AD47" s="48">
        <f>AP42</f>
        <v>82</v>
      </c>
      <c r="AE47" s="50">
        <f>AP43</f>
        <v>86</v>
      </c>
      <c r="AF47" s="48">
        <f>AP44</f>
        <v>104</v>
      </c>
      <c r="AG47" s="50">
        <f>AP45</f>
        <v>126</v>
      </c>
      <c r="AH47" s="1"/>
      <c r="AI47" s="1"/>
      <c r="AJ47" s="1"/>
      <c r="AK47" s="1"/>
      <c r="AL47" s="1"/>
      <c r="AM47" s="1"/>
      <c r="AN47" s="1"/>
      <c r="AO47" s="1"/>
      <c r="AP47" s="1"/>
    </row>
    <row r="48" spans="24:56" ht="15" thickBot="1" x14ac:dyDescent="0.4">
      <c r="AV48" s="71" t="s">
        <v>48</v>
      </c>
      <c r="AW48" s="45">
        <v>10</v>
      </c>
      <c r="AX48" s="48">
        <v>6</v>
      </c>
      <c r="AY48" s="45">
        <v>1</v>
      </c>
      <c r="AZ48" s="48">
        <v>4</v>
      </c>
      <c r="BA48" s="45">
        <v>1</v>
      </c>
      <c r="BB48" s="53">
        <v>2</v>
      </c>
      <c r="BC48" s="45">
        <v>4</v>
      </c>
      <c r="BD48" s="53">
        <v>2</v>
      </c>
    </row>
    <row r="49" spans="24:56" ht="15" thickBot="1" x14ac:dyDescent="0.4">
      <c r="AV49" s="71" t="s">
        <v>48</v>
      </c>
      <c r="AW49" s="47">
        <v>3</v>
      </c>
      <c r="AX49" s="50">
        <v>15</v>
      </c>
      <c r="AY49" s="47">
        <v>4</v>
      </c>
      <c r="AZ49" s="50">
        <v>1</v>
      </c>
      <c r="BA49" s="47">
        <v>4</v>
      </c>
      <c r="BB49" s="54">
        <v>3</v>
      </c>
      <c r="BC49" s="47">
        <v>2</v>
      </c>
      <c r="BD49" s="54">
        <v>3</v>
      </c>
    </row>
    <row r="50" spans="24:56" ht="15" thickBot="1" x14ac:dyDescent="0.4">
      <c r="AV50" s="71" t="s">
        <v>50</v>
      </c>
      <c r="AW50" s="45">
        <v>1</v>
      </c>
      <c r="AX50" s="48">
        <v>2</v>
      </c>
      <c r="AY50" s="45">
        <v>21</v>
      </c>
      <c r="AZ50" s="48">
        <v>9</v>
      </c>
      <c r="BA50" s="45">
        <v>3</v>
      </c>
      <c r="BB50" s="53">
        <v>1</v>
      </c>
      <c r="BC50" s="45">
        <v>2</v>
      </c>
      <c r="BD50" s="53">
        <v>2</v>
      </c>
    </row>
    <row r="51" spans="24:56" ht="15" thickBot="1" x14ac:dyDescent="0.4">
      <c r="AV51" s="71" t="s">
        <v>50</v>
      </c>
      <c r="AW51" s="47">
        <v>2</v>
      </c>
      <c r="AX51" s="50">
        <v>2</v>
      </c>
      <c r="AY51" s="47">
        <v>10</v>
      </c>
      <c r="AZ51" s="50">
        <v>18</v>
      </c>
      <c r="BA51" s="47">
        <v>1</v>
      </c>
      <c r="BB51" s="54">
        <v>4</v>
      </c>
      <c r="BC51" s="47">
        <v>3</v>
      </c>
      <c r="BD51" s="54">
        <v>4</v>
      </c>
    </row>
    <row r="52" spans="24:56" ht="15" thickBot="1" x14ac:dyDescent="0.4">
      <c r="AV52" s="71" t="s">
        <v>49</v>
      </c>
      <c r="AW52" s="45">
        <v>2</v>
      </c>
      <c r="AX52" s="48">
        <v>1</v>
      </c>
      <c r="AY52" s="45">
        <v>1</v>
      </c>
      <c r="AZ52" s="48">
        <v>2</v>
      </c>
      <c r="BA52" s="45">
        <v>12</v>
      </c>
      <c r="BB52" s="53">
        <v>4</v>
      </c>
      <c r="BC52" s="45">
        <v>2</v>
      </c>
      <c r="BD52" s="53">
        <v>4</v>
      </c>
    </row>
    <row r="53" spans="24:56" ht="15" thickBot="1" x14ac:dyDescent="0.4">
      <c r="Z53" s="232" t="s">
        <v>53</v>
      </c>
      <c r="AA53" s="233"/>
      <c r="AB53" s="232" t="s">
        <v>50</v>
      </c>
      <c r="AC53" s="233"/>
      <c r="AD53" s="232" t="s">
        <v>54</v>
      </c>
      <c r="AE53" s="233"/>
      <c r="AF53" s="56" t="s">
        <v>64</v>
      </c>
      <c r="AG53" s="56" t="s">
        <v>66</v>
      </c>
      <c r="AH53" s="56" t="s">
        <v>62</v>
      </c>
      <c r="AI53" s="56" t="s">
        <v>63</v>
      </c>
      <c r="AJ53" s="56" t="s">
        <v>68</v>
      </c>
      <c r="AK53" s="56" t="s">
        <v>69</v>
      </c>
      <c r="AL53" s="56" t="s">
        <v>44</v>
      </c>
      <c r="AV53" s="71" t="s">
        <v>49</v>
      </c>
      <c r="AW53" s="47">
        <v>1</v>
      </c>
      <c r="AX53" s="50">
        <v>3</v>
      </c>
      <c r="AY53" s="47">
        <v>2</v>
      </c>
      <c r="AZ53" s="50">
        <v>1</v>
      </c>
      <c r="BA53" s="47">
        <v>7</v>
      </c>
      <c r="BB53" s="54">
        <v>20</v>
      </c>
      <c r="BC53" s="47">
        <v>1</v>
      </c>
      <c r="BD53" s="54">
        <v>3</v>
      </c>
    </row>
    <row r="54" spans="24:56" ht="15" thickBot="1" x14ac:dyDescent="0.4">
      <c r="Y54" s="1"/>
      <c r="Z54" s="53" t="s">
        <v>51</v>
      </c>
      <c r="AA54" s="54" t="s">
        <v>52</v>
      </c>
      <c r="AB54" s="53" t="s">
        <v>51</v>
      </c>
      <c r="AC54" s="54" t="s">
        <v>52</v>
      </c>
      <c r="AD54" s="53" t="s">
        <v>51</v>
      </c>
      <c r="AE54" s="54" t="s">
        <v>52</v>
      </c>
      <c r="AF54" s="53"/>
      <c r="AG54" s="53"/>
      <c r="AH54" s="44"/>
      <c r="AI54" s="44"/>
      <c r="AJ54" s="44"/>
      <c r="AK54" s="59"/>
      <c r="AL54" s="55"/>
      <c r="AV54" s="71" t="s">
        <v>54</v>
      </c>
      <c r="AW54" s="45">
        <v>1</v>
      </c>
      <c r="AX54" s="48">
        <v>2</v>
      </c>
      <c r="AY54" s="45">
        <v>3</v>
      </c>
      <c r="AZ54" s="48">
        <v>1</v>
      </c>
      <c r="BA54" s="45">
        <v>3</v>
      </c>
      <c r="BB54" s="48">
        <v>1</v>
      </c>
      <c r="BC54" s="45">
        <v>16</v>
      </c>
      <c r="BD54" s="53">
        <v>5</v>
      </c>
    </row>
    <row r="55" spans="24:56" ht="15" thickBot="1" x14ac:dyDescent="0.4">
      <c r="X55" s="242" t="s">
        <v>53</v>
      </c>
      <c r="Y55" s="51" t="s">
        <v>51</v>
      </c>
      <c r="Z55" s="45">
        <f>Z38+Z40+AB38+AB40</f>
        <v>25</v>
      </c>
      <c r="AA55" s="47">
        <f>AA38+AA40+AC38+AC40</f>
        <v>15</v>
      </c>
      <c r="AB55" s="45">
        <f t="shared" ref="AB55:AE56" si="14">AD38+AD40</f>
        <v>4</v>
      </c>
      <c r="AC55" s="47">
        <f t="shared" si="14"/>
        <v>3</v>
      </c>
      <c r="AD55" s="45">
        <f t="shared" si="14"/>
        <v>4</v>
      </c>
      <c r="AE55" s="47">
        <f t="shared" si="14"/>
        <v>3</v>
      </c>
      <c r="AF55" s="45">
        <f>AH38+AJ38+AH40+AJ40</f>
        <v>39</v>
      </c>
      <c r="AG55" s="45">
        <f>AI38+AK38+AI40+AK40</f>
        <v>16</v>
      </c>
      <c r="AH55" s="45">
        <f>AL38+AL40</f>
        <v>3</v>
      </c>
      <c r="AI55" s="45">
        <f>AM38+AM40</f>
        <v>9</v>
      </c>
      <c r="AJ55" s="45">
        <f>AN38+AN40</f>
        <v>11</v>
      </c>
      <c r="AK55" s="45">
        <f t="shared" ref="AH55:AK56" si="15">AO38+AO40</f>
        <v>8</v>
      </c>
      <c r="AL55" s="45">
        <f t="shared" ref="AL55:AL60" si="16">SUM(Z55:AK55)</f>
        <v>140</v>
      </c>
      <c r="AV55" s="71" t="s">
        <v>54</v>
      </c>
      <c r="AW55" s="47">
        <v>2</v>
      </c>
      <c r="AX55" s="50">
        <v>2</v>
      </c>
      <c r="AY55" s="47">
        <v>1</v>
      </c>
      <c r="AZ55" s="50">
        <v>4</v>
      </c>
      <c r="BA55" s="47">
        <v>1</v>
      </c>
      <c r="BB55" s="50">
        <v>4</v>
      </c>
      <c r="BC55" s="47">
        <v>10</v>
      </c>
      <c r="BD55" s="54">
        <v>20</v>
      </c>
    </row>
    <row r="56" spans="24:56" ht="15" thickBot="1" x14ac:dyDescent="0.4">
      <c r="X56" s="243"/>
      <c r="Y56" s="52" t="s">
        <v>52</v>
      </c>
      <c r="Z56" s="48">
        <f>Z39+Z41+AB39+AB41</f>
        <v>13</v>
      </c>
      <c r="AA56" s="50">
        <f>AA39+AA41+AC39+AC41</f>
        <v>41</v>
      </c>
      <c r="AB56" s="45">
        <f t="shared" si="14"/>
        <v>3</v>
      </c>
      <c r="AC56" s="50">
        <f t="shared" si="14"/>
        <v>6</v>
      </c>
      <c r="AD56" s="48">
        <f t="shared" si="14"/>
        <v>3</v>
      </c>
      <c r="AE56" s="50">
        <f t="shared" si="14"/>
        <v>6</v>
      </c>
      <c r="AF56" s="48">
        <f>AH39+AJ39+AH41+AJ41</f>
        <v>34</v>
      </c>
      <c r="AG56" s="48">
        <f>AI39+AK39+AI41+AK41</f>
        <v>16</v>
      </c>
      <c r="AH56" s="45">
        <f t="shared" si="15"/>
        <v>4</v>
      </c>
      <c r="AI56" s="45">
        <f t="shared" si="15"/>
        <v>11</v>
      </c>
      <c r="AJ56" s="48">
        <f t="shared" si="15"/>
        <v>6</v>
      </c>
      <c r="AK56" s="48">
        <f t="shared" si="15"/>
        <v>6</v>
      </c>
      <c r="AL56" s="45">
        <f t="shared" si="16"/>
        <v>149</v>
      </c>
    </row>
    <row r="57" spans="24:56" ht="15" thickBot="1" x14ac:dyDescent="0.4">
      <c r="X57" s="238" t="s">
        <v>50</v>
      </c>
      <c r="Y57" s="51" t="s">
        <v>51</v>
      </c>
      <c r="Z57" s="45">
        <f t="shared" ref="Z57:AA60" si="17">Z42+AB42</f>
        <v>2</v>
      </c>
      <c r="AA57" s="47">
        <f t="shared" si="17"/>
        <v>6</v>
      </c>
      <c r="AB57" s="45">
        <v>21</v>
      </c>
      <c r="AC57" s="47">
        <v>10</v>
      </c>
      <c r="AD57" s="45">
        <v>3</v>
      </c>
      <c r="AE57" s="47">
        <v>1</v>
      </c>
      <c r="AF57" s="45">
        <f>AH42+AJ42</f>
        <v>6</v>
      </c>
      <c r="AG57" s="45">
        <f>AI42+AK42</f>
        <v>8</v>
      </c>
      <c r="AH57" s="45">
        <f t="shared" ref="AH57:AK60" si="18">AL42</f>
        <v>17</v>
      </c>
      <c r="AI57" s="45">
        <f t="shared" si="18"/>
        <v>3</v>
      </c>
      <c r="AJ57" s="45">
        <f t="shared" si="18"/>
        <v>4</v>
      </c>
      <c r="AK57" s="45">
        <f t="shared" si="18"/>
        <v>1</v>
      </c>
      <c r="AL57" s="45">
        <f t="shared" si="16"/>
        <v>82</v>
      </c>
    </row>
    <row r="58" spans="24:56" ht="15" thickBot="1" x14ac:dyDescent="0.4">
      <c r="X58" s="240"/>
      <c r="Y58" s="52" t="s">
        <v>52</v>
      </c>
      <c r="Z58" s="48">
        <f t="shared" si="17"/>
        <v>6</v>
      </c>
      <c r="AA58" s="50">
        <f t="shared" si="17"/>
        <v>2</v>
      </c>
      <c r="AB58" s="48">
        <v>9</v>
      </c>
      <c r="AC58" s="50">
        <v>18</v>
      </c>
      <c r="AD58" s="48">
        <v>1</v>
      </c>
      <c r="AE58" s="50">
        <v>4</v>
      </c>
      <c r="AF58" s="45">
        <f t="shared" ref="AF58:AG60" si="19">AH43+AJ43</f>
        <v>3</v>
      </c>
      <c r="AG58" s="45">
        <f t="shared" si="19"/>
        <v>8</v>
      </c>
      <c r="AH58" s="45">
        <f t="shared" si="18"/>
        <v>20</v>
      </c>
      <c r="AI58" s="45">
        <f t="shared" si="18"/>
        <v>4</v>
      </c>
      <c r="AJ58" s="45">
        <f t="shared" si="18"/>
        <v>2</v>
      </c>
      <c r="AK58" s="45">
        <f t="shared" si="18"/>
        <v>9</v>
      </c>
      <c r="AL58" s="45">
        <f t="shared" si="16"/>
        <v>86</v>
      </c>
      <c r="AW58" s="45">
        <v>10</v>
      </c>
      <c r="AX58" s="47">
        <v>3</v>
      </c>
      <c r="AY58" s="45">
        <v>1</v>
      </c>
      <c r="AZ58" s="47">
        <v>2</v>
      </c>
      <c r="BA58" s="45">
        <v>2</v>
      </c>
      <c r="BB58" s="47">
        <v>1</v>
      </c>
      <c r="BC58" s="45">
        <v>1</v>
      </c>
      <c r="BD58" s="47">
        <v>2</v>
      </c>
    </row>
    <row r="59" spans="24:56" ht="15" thickBot="1" x14ac:dyDescent="0.4">
      <c r="X59" s="238" t="s">
        <v>54</v>
      </c>
      <c r="Y59" s="51" t="s">
        <v>51</v>
      </c>
      <c r="Z59" s="45">
        <f t="shared" si="17"/>
        <v>6</v>
      </c>
      <c r="AA59" s="47">
        <f t="shared" si="17"/>
        <v>3</v>
      </c>
      <c r="AB59" s="45">
        <v>2</v>
      </c>
      <c r="AC59" s="47">
        <v>3</v>
      </c>
      <c r="AD59" s="45">
        <v>16</v>
      </c>
      <c r="AE59" s="47">
        <v>10</v>
      </c>
      <c r="AF59" s="45">
        <f t="shared" si="19"/>
        <v>6</v>
      </c>
      <c r="AG59" s="45">
        <f t="shared" si="19"/>
        <v>8</v>
      </c>
      <c r="AH59" s="45">
        <f t="shared" si="18"/>
        <v>17</v>
      </c>
      <c r="AI59" s="45">
        <f t="shared" si="18"/>
        <v>5</v>
      </c>
      <c r="AJ59" s="45">
        <f t="shared" si="18"/>
        <v>20</v>
      </c>
      <c r="AK59" s="45">
        <f t="shared" si="18"/>
        <v>8</v>
      </c>
      <c r="AL59" s="45">
        <f t="shared" si="16"/>
        <v>104</v>
      </c>
      <c r="AW59" s="48">
        <v>6</v>
      </c>
      <c r="AX59" s="50">
        <v>15</v>
      </c>
      <c r="AY59" s="48">
        <v>2</v>
      </c>
      <c r="AZ59" s="50">
        <v>2</v>
      </c>
      <c r="BA59" s="48">
        <v>1</v>
      </c>
      <c r="BB59" s="50">
        <v>3</v>
      </c>
      <c r="BC59" s="48">
        <v>2</v>
      </c>
      <c r="BD59" s="50">
        <v>2</v>
      </c>
    </row>
    <row r="60" spans="24:56" ht="15" thickBot="1" x14ac:dyDescent="0.4">
      <c r="X60" s="240"/>
      <c r="Y60" s="52" t="s">
        <v>52</v>
      </c>
      <c r="Z60" s="48">
        <f t="shared" si="17"/>
        <v>6</v>
      </c>
      <c r="AA60" s="50">
        <f t="shared" si="17"/>
        <v>6</v>
      </c>
      <c r="AB60" s="48">
        <v>2</v>
      </c>
      <c r="AC60" s="50">
        <v>4</v>
      </c>
      <c r="AD60" s="48">
        <v>5</v>
      </c>
      <c r="AE60" s="50">
        <v>20</v>
      </c>
      <c r="AF60" s="45">
        <f t="shared" si="19"/>
        <v>3</v>
      </c>
      <c r="AG60" s="45">
        <f t="shared" si="19"/>
        <v>17</v>
      </c>
      <c r="AH60" s="45">
        <f t="shared" si="18"/>
        <v>20</v>
      </c>
      <c r="AI60" s="45">
        <f t="shared" si="18"/>
        <v>6</v>
      </c>
      <c r="AJ60" s="45">
        <f t="shared" si="18"/>
        <v>30</v>
      </c>
      <c r="AK60" s="45">
        <f t="shared" si="18"/>
        <v>7</v>
      </c>
      <c r="AL60" s="45">
        <f t="shared" si="16"/>
        <v>126</v>
      </c>
      <c r="AW60" s="45">
        <v>1</v>
      </c>
      <c r="AX60" s="47">
        <v>4</v>
      </c>
      <c r="AY60" s="45">
        <v>21</v>
      </c>
      <c r="AZ60" s="47">
        <v>10</v>
      </c>
      <c r="BA60" s="45">
        <v>1</v>
      </c>
      <c r="BB60" s="47">
        <v>2</v>
      </c>
      <c r="BC60" s="45">
        <v>3</v>
      </c>
      <c r="BD60" s="47">
        <v>1</v>
      </c>
    </row>
    <row r="61" spans="24:56" ht="15" thickBot="1" x14ac:dyDescent="0.4">
      <c r="Y61" s="51" t="s">
        <v>5</v>
      </c>
      <c r="Z61" s="45">
        <f t="shared" ref="Z61:AE61" si="20">Z62-SUM(Z55:Z60)</f>
        <v>82</v>
      </c>
      <c r="AA61" s="47">
        <f t="shared" si="20"/>
        <v>76</v>
      </c>
      <c r="AB61" s="45">
        <f t="shared" si="20"/>
        <v>41</v>
      </c>
      <c r="AC61" s="47">
        <f t="shared" si="20"/>
        <v>42</v>
      </c>
      <c r="AD61" s="45">
        <f t="shared" si="20"/>
        <v>72</v>
      </c>
      <c r="AE61" s="47">
        <f t="shared" si="20"/>
        <v>82</v>
      </c>
      <c r="AJ61" s="70"/>
      <c r="AK61" s="1"/>
      <c r="AL61" s="70">
        <f>SUM(AL55:AL60)</f>
        <v>687</v>
      </c>
      <c r="AW61" s="48">
        <v>4</v>
      </c>
      <c r="AX61" s="50">
        <v>1</v>
      </c>
      <c r="AY61" s="48">
        <v>9</v>
      </c>
      <c r="AZ61" s="50">
        <v>18</v>
      </c>
      <c r="BA61" s="48">
        <v>2</v>
      </c>
      <c r="BB61" s="50">
        <v>1</v>
      </c>
      <c r="BC61" s="48">
        <v>1</v>
      </c>
      <c r="BD61" s="50">
        <v>4</v>
      </c>
    </row>
    <row r="62" spans="24:56" ht="15" thickBot="1" x14ac:dyDescent="0.4">
      <c r="Y62" s="52" t="s">
        <v>44</v>
      </c>
      <c r="Z62" s="48">
        <f>AL55</f>
        <v>140</v>
      </c>
      <c r="AA62" s="50">
        <f>AL56</f>
        <v>149</v>
      </c>
      <c r="AB62" s="48">
        <f>AL57</f>
        <v>82</v>
      </c>
      <c r="AC62" s="50">
        <f>AL58</f>
        <v>86</v>
      </c>
      <c r="AD62" s="48">
        <f>AL59</f>
        <v>104</v>
      </c>
      <c r="AE62" s="50">
        <f>AL60</f>
        <v>126</v>
      </c>
      <c r="AW62" s="45">
        <v>1</v>
      </c>
      <c r="AX62" s="47">
        <v>4</v>
      </c>
      <c r="AY62" s="45">
        <v>3</v>
      </c>
      <c r="AZ62" s="47">
        <v>1</v>
      </c>
      <c r="BA62" s="45">
        <v>12</v>
      </c>
      <c r="BB62" s="47">
        <v>7</v>
      </c>
      <c r="BC62" s="45">
        <v>3</v>
      </c>
      <c r="BD62" s="47">
        <v>1</v>
      </c>
    </row>
    <row r="63" spans="24:56" ht="15" thickBot="1" x14ac:dyDescent="0.4">
      <c r="AW63" s="53">
        <v>2</v>
      </c>
      <c r="AX63" s="54">
        <v>3</v>
      </c>
      <c r="AY63" s="53">
        <v>1</v>
      </c>
      <c r="AZ63" s="54">
        <v>4</v>
      </c>
      <c r="BA63" s="53">
        <v>4</v>
      </c>
      <c r="BB63" s="54">
        <v>20</v>
      </c>
      <c r="BC63" s="48">
        <v>1</v>
      </c>
      <c r="BD63" s="50">
        <v>4</v>
      </c>
    </row>
    <row r="64" spans="24:56" x14ac:dyDescent="0.35">
      <c r="AW64" s="45">
        <v>4</v>
      </c>
      <c r="AX64" s="47">
        <v>2</v>
      </c>
      <c r="AY64" s="45">
        <v>2</v>
      </c>
      <c r="AZ64" s="47">
        <v>3</v>
      </c>
      <c r="BA64" s="45">
        <v>2</v>
      </c>
      <c r="BB64" s="47">
        <v>1</v>
      </c>
      <c r="BC64" s="45">
        <v>16</v>
      </c>
      <c r="BD64" s="47">
        <v>10</v>
      </c>
    </row>
    <row r="65" spans="24:56" ht="15" thickBot="1" x14ac:dyDescent="0.4">
      <c r="AW65" s="53">
        <v>2</v>
      </c>
      <c r="AX65" s="54">
        <v>3</v>
      </c>
      <c r="AY65" s="53">
        <v>2</v>
      </c>
      <c r="AZ65" s="54">
        <v>4</v>
      </c>
      <c r="BA65" s="53">
        <v>4</v>
      </c>
      <c r="BB65" s="54">
        <v>3</v>
      </c>
      <c r="BC65" s="53">
        <v>5</v>
      </c>
      <c r="BD65" s="54">
        <v>20</v>
      </c>
    </row>
    <row r="66" spans="24:56" x14ac:dyDescent="0.35">
      <c r="Z66" s="232" t="s">
        <v>53</v>
      </c>
      <c r="AA66" s="233"/>
      <c r="AB66" s="232" t="s">
        <v>67</v>
      </c>
      <c r="AC66" s="233"/>
      <c r="AD66" s="56" t="s">
        <v>64</v>
      </c>
      <c r="AE66" s="56" t="s">
        <v>66</v>
      </c>
      <c r="AF66" s="56" t="s">
        <v>70</v>
      </c>
      <c r="AG66" s="56" t="s">
        <v>71</v>
      </c>
      <c r="AH66" s="56" t="s">
        <v>44</v>
      </c>
      <c r="AI66" s="56"/>
      <c r="AJ66" s="56"/>
      <c r="AP66" s="232" t="s">
        <v>54</v>
      </c>
      <c r="AQ66" s="233"/>
    </row>
    <row r="67" spans="24:56" ht="15" thickBot="1" x14ac:dyDescent="0.4">
      <c r="Y67" s="1"/>
      <c r="Z67" s="53" t="s">
        <v>51</v>
      </c>
      <c r="AA67" s="54" t="s">
        <v>52</v>
      </c>
      <c r="AB67" s="53" t="s">
        <v>51</v>
      </c>
      <c r="AC67" s="54" t="s">
        <v>52</v>
      </c>
      <c r="AD67" s="53"/>
      <c r="AE67" s="53"/>
      <c r="AF67" s="44"/>
      <c r="AG67" s="44"/>
      <c r="AH67" s="55"/>
      <c r="AI67" s="44"/>
      <c r="AJ67" s="44"/>
      <c r="AP67" s="53" t="s">
        <v>51</v>
      </c>
      <c r="AQ67" s="54" t="s">
        <v>52</v>
      </c>
    </row>
    <row r="68" spans="24:56" ht="15" thickBot="1" x14ac:dyDescent="0.4">
      <c r="X68" s="242" t="s">
        <v>53</v>
      </c>
      <c r="Y68" s="51" t="s">
        <v>51</v>
      </c>
      <c r="Z68" s="45">
        <v>25</v>
      </c>
      <c r="AA68" s="47">
        <v>15</v>
      </c>
      <c r="AB68" s="45">
        <f>AB55+AD55</f>
        <v>8</v>
      </c>
      <c r="AC68" s="45">
        <f>AC55+AE55</f>
        <v>6</v>
      </c>
      <c r="AD68" s="45">
        <f>AF55</f>
        <v>39</v>
      </c>
      <c r="AE68" s="45">
        <f>AG55</f>
        <v>16</v>
      </c>
      <c r="AF68" s="45">
        <f>AH55+AJ55</f>
        <v>14</v>
      </c>
      <c r="AG68" s="45">
        <f>AI55+AK55</f>
        <v>17</v>
      </c>
      <c r="AH68" s="45">
        <f>SUM(Z68:AG68)</f>
        <v>140</v>
      </c>
      <c r="AI68" s="45"/>
      <c r="AJ68" s="45"/>
      <c r="AP68" s="45" t="e">
        <f>AF51+AF53</f>
        <v>#VALUE!</v>
      </c>
      <c r="AQ68" s="47" t="e">
        <f>AG51+AH53</f>
        <v>#VALUE!</v>
      </c>
    </row>
    <row r="69" spans="24:56" ht="15" thickBot="1" x14ac:dyDescent="0.4">
      <c r="X69" s="243"/>
      <c r="Y69" s="52" t="s">
        <v>52</v>
      </c>
      <c r="Z69" s="48">
        <v>13</v>
      </c>
      <c r="AA69" s="50">
        <v>41</v>
      </c>
      <c r="AB69" s="45">
        <f>AB56+AD56</f>
        <v>6</v>
      </c>
      <c r="AC69" s="45">
        <f>AC56+AE56</f>
        <v>12</v>
      </c>
      <c r="AD69" s="45">
        <f>AF56</f>
        <v>34</v>
      </c>
      <c r="AE69" s="45">
        <f>AG56</f>
        <v>16</v>
      </c>
      <c r="AF69" s="45">
        <f>AH56+AJ56</f>
        <v>10</v>
      </c>
      <c r="AG69" s="45">
        <f>AI56+AK56</f>
        <v>17</v>
      </c>
      <c r="AH69" s="45">
        <f>SUM(Z69:AG69)</f>
        <v>149</v>
      </c>
      <c r="AI69" s="48"/>
      <c r="AJ69" s="48"/>
      <c r="AP69" s="48">
        <f>AF52+AF54</f>
        <v>0</v>
      </c>
      <c r="AQ69" s="50">
        <f>AG52+AH54</f>
        <v>0</v>
      </c>
    </row>
    <row r="70" spans="24:56" ht="15" thickBot="1" x14ac:dyDescent="0.4">
      <c r="X70" s="238" t="s">
        <v>67</v>
      </c>
      <c r="Y70" s="51" t="s">
        <v>51</v>
      </c>
      <c r="Z70" s="45">
        <f>Z57+Z59</f>
        <v>8</v>
      </c>
      <c r="AA70" s="45">
        <f>AA57+AA59</f>
        <v>9</v>
      </c>
      <c r="AB70" s="45">
        <f>AB57+AD57+AD59+AB59</f>
        <v>42</v>
      </c>
      <c r="AC70" s="45">
        <f>AC57+AE57+AE59+AC59</f>
        <v>24</v>
      </c>
      <c r="AD70" s="45">
        <f>AF57+AF59</f>
        <v>12</v>
      </c>
      <c r="AE70" s="45">
        <f>AG57+AG59</f>
        <v>16</v>
      </c>
      <c r="AF70" s="45">
        <f>AH57+AJ57+AH59+AJ59</f>
        <v>58</v>
      </c>
      <c r="AG70" s="45">
        <f>AI57+AK57+AI59+AK59</f>
        <v>17</v>
      </c>
      <c r="AH70" s="45">
        <f>SUM(Z70:AG70)</f>
        <v>186</v>
      </c>
      <c r="AI70" s="45"/>
      <c r="AJ70" s="45"/>
      <c r="AP70" s="45">
        <v>3</v>
      </c>
      <c r="AQ70" s="47">
        <v>1</v>
      </c>
    </row>
    <row r="71" spans="24:56" ht="15" thickBot="1" x14ac:dyDescent="0.4">
      <c r="X71" s="240"/>
      <c r="Y71" s="52" t="s">
        <v>52</v>
      </c>
      <c r="Z71" s="45">
        <f>Z58+Z60</f>
        <v>12</v>
      </c>
      <c r="AA71" s="45">
        <f>AA58+AA60</f>
        <v>8</v>
      </c>
      <c r="AB71" s="45">
        <f>AB58+AD58+AD60+AB60</f>
        <v>17</v>
      </c>
      <c r="AC71" s="45">
        <f>AC58+AE58+AE60+AC60</f>
        <v>46</v>
      </c>
      <c r="AD71" s="45">
        <f>AF58+AF60</f>
        <v>6</v>
      </c>
      <c r="AE71" s="45">
        <f>AG58+AG60</f>
        <v>25</v>
      </c>
      <c r="AF71" s="45">
        <f>AH58+AJ58+AH60+AJ60</f>
        <v>72</v>
      </c>
      <c r="AG71" s="45">
        <f>AI58+AK58+AI60+AK60</f>
        <v>26</v>
      </c>
      <c r="AH71" s="45">
        <f>SUM(Z71:AG71)</f>
        <v>212</v>
      </c>
      <c r="AI71" s="48"/>
      <c r="AJ71" s="48"/>
      <c r="AP71" s="48">
        <v>1</v>
      </c>
      <c r="AQ71" s="50">
        <v>4</v>
      </c>
    </row>
    <row r="72" spans="24:56" x14ac:dyDescent="0.35">
      <c r="Y72" s="51" t="s">
        <v>5</v>
      </c>
      <c r="Z72" s="45">
        <f>Z73-SUM(Z68:Z71)</f>
        <v>82</v>
      </c>
      <c r="AA72" s="47">
        <f>AA73-SUM(AA68:AA71)</f>
        <v>76</v>
      </c>
      <c r="AB72" s="45">
        <f>AB73-SUM(AB68:AB71)</f>
        <v>113</v>
      </c>
      <c r="AC72" s="47">
        <f>AC73-SUM(AC68:AC71)</f>
        <v>124</v>
      </c>
      <c r="AF72" s="70">
        <f>SUM(AH68:AH71)</f>
        <v>687</v>
      </c>
      <c r="AH72" s="70">
        <f>SUM(AH68:AH71)</f>
        <v>687</v>
      </c>
      <c r="AP72" s="45" t="e">
        <f>AP73-SUM(AP68:AP71)</f>
        <v>#REF!</v>
      </c>
      <c r="AQ72" s="47" t="e">
        <f>AQ73-SUM(AQ68:AQ71)</f>
        <v>#REF!</v>
      </c>
    </row>
    <row r="73" spans="24:56" ht="15" thickBot="1" x14ac:dyDescent="0.4">
      <c r="Y73" s="52" t="s">
        <v>44</v>
      </c>
      <c r="Z73" s="48">
        <f>AH68</f>
        <v>140</v>
      </c>
      <c r="AA73" s="50">
        <f>AH69</f>
        <v>149</v>
      </c>
      <c r="AB73" s="48">
        <f>AH70</f>
        <v>186</v>
      </c>
      <c r="AC73" s="50">
        <f>AH71</f>
        <v>212</v>
      </c>
      <c r="AP73" s="48" t="e">
        <f>#REF!</f>
        <v>#REF!</v>
      </c>
      <c r="AQ73" s="50" t="e">
        <f>#REF!</f>
        <v>#REF!</v>
      </c>
    </row>
    <row r="75" spans="24:56" ht="15" thickBot="1" x14ac:dyDescent="0.4"/>
    <row r="76" spans="24:56" x14ac:dyDescent="0.35">
      <c r="AA76" s="232" t="s">
        <v>56</v>
      </c>
      <c r="AB76" s="233"/>
      <c r="AC76" s="232" t="s">
        <v>54</v>
      </c>
      <c r="AD76" s="233"/>
      <c r="AE76" s="56" t="s">
        <v>57</v>
      </c>
      <c r="AF76" s="56" t="s">
        <v>55</v>
      </c>
      <c r="AG76" s="56" t="s">
        <v>44</v>
      </c>
    </row>
    <row r="77" spans="24:56" ht="15" thickBot="1" x14ac:dyDescent="0.4">
      <c r="Z77" s="1"/>
      <c r="AA77" s="53" t="s">
        <v>51</v>
      </c>
      <c r="AB77" s="54" t="s">
        <v>52</v>
      </c>
      <c r="AC77" s="53" t="s">
        <v>51</v>
      </c>
      <c r="AD77" s="54" t="s">
        <v>52</v>
      </c>
      <c r="AE77" s="53"/>
      <c r="AF77" s="44"/>
      <c r="AG77" s="55"/>
    </row>
    <row r="78" spans="24:56" ht="15" thickBot="1" x14ac:dyDescent="0.4">
      <c r="Y78" s="242" t="s">
        <v>56</v>
      </c>
      <c r="Z78" s="51" t="s">
        <v>51</v>
      </c>
      <c r="AA78" s="45">
        <f>Z38+AB38+AD38+Z40+AB40+AD40+Z42+AB42+AD42</f>
        <v>52</v>
      </c>
      <c r="AB78" s="45">
        <f>AA38+AC38+AE38+AA40+AC40+AE40+AA42+AC42+AE42</f>
        <v>34</v>
      </c>
      <c r="AC78" s="45">
        <f>AF38+AF40+AF42</f>
        <v>7</v>
      </c>
      <c r="AD78" s="45">
        <f>AG38+AG40+AG42</f>
        <v>4</v>
      </c>
      <c r="AE78" s="45">
        <f>AH38+AJ38+AL38+AH40+AJ40+AL40+AH42+AJ42+AL42</f>
        <v>65</v>
      </c>
      <c r="AF78" s="47">
        <f>AN38+AN40+AN42</f>
        <v>15</v>
      </c>
      <c r="AG78" s="56">
        <f>SUM(AA78:AD78)+SUM(AE78:AF78)</f>
        <v>177</v>
      </c>
    </row>
    <row r="79" spans="24:56" ht="15" thickBot="1" x14ac:dyDescent="0.4">
      <c r="Y79" s="243"/>
      <c r="Z79" s="52" t="s">
        <v>52</v>
      </c>
      <c r="AA79" s="45">
        <f>Z39+AB39+AD39+Z41+AB41+AD41+Z43+AB43+AD43</f>
        <v>31</v>
      </c>
      <c r="AB79" s="45">
        <f>AA39+AC39+AE39+AA41+AC41+AE41+AA43+AC43+AE43</f>
        <v>67</v>
      </c>
      <c r="AC79" s="45">
        <f>AF39+AF41+AF43</f>
        <v>4</v>
      </c>
      <c r="AD79" s="45">
        <f>AG39+AG41+AG43</f>
        <v>10</v>
      </c>
      <c r="AE79" s="45">
        <f>AH39+AJ39+AL39+AH41+AJ41+AL41+AH43+AJ43+AL43</f>
        <v>61</v>
      </c>
      <c r="AF79" s="47">
        <f>AN39+AN41+AN43</f>
        <v>8</v>
      </c>
      <c r="AG79" s="56">
        <f>SUM(AA79:AD79)+SUM(AE79:AF79)</f>
        <v>181</v>
      </c>
    </row>
    <row r="80" spans="24:56" ht="15" thickBot="1" x14ac:dyDescent="0.4">
      <c r="Y80" s="238" t="s">
        <v>54</v>
      </c>
      <c r="Z80" s="51" t="s">
        <v>51</v>
      </c>
      <c r="AA80" s="53">
        <f>Z44+AB44+AD44</f>
        <v>8</v>
      </c>
      <c r="AB80" s="53">
        <f>AA44+AC44+AE44</f>
        <v>6</v>
      </c>
      <c r="AC80" s="45">
        <v>16</v>
      </c>
      <c r="AD80" s="47">
        <v>10</v>
      </c>
      <c r="AE80" s="45">
        <f>AH44+AJ44+AL44</f>
        <v>23</v>
      </c>
      <c r="AF80" s="47">
        <v>20</v>
      </c>
      <c r="AG80" s="56">
        <f>SUM(AA80:AD80)+SUM(AE80:AF80)</f>
        <v>83</v>
      </c>
    </row>
    <row r="81" spans="25:35" ht="15" thickBot="1" x14ac:dyDescent="0.4">
      <c r="Y81" s="240"/>
      <c r="Z81" s="52" t="s">
        <v>52</v>
      </c>
      <c r="AA81" s="53">
        <f>Z45+AB45+AD45</f>
        <v>8</v>
      </c>
      <c r="AB81" s="53">
        <f>AA45+AC45+AE45</f>
        <v>10</v>
      </c>
      <c r="AC81" s="53">
        <v>5</v>
      </c>
      <c r="AD81" s="54">
        <v>20</v>
      </c>
      <c r="AE81" s="45">
        <f>AH45+AJ45+AL45</f>
        <v>23</v>
      </c>
      <c r="AF81" s="50">
        <v>30</v>
      </c>
      <c r="AG81" s="56">
        <f>SUM(AA81:AD81)+SUM(AE81:AF81)</f>
        <v>96</v>
      </c>
    </row>
    <row r="82" spans="25:35" x14ac:dyDescent="0.35">
      <c r="Z82" s="51" t="s">
        <v>5</v>
      </c>
      <c r="AA82" s="45">
        <f>AA83-SUM(AA78:AA81)</f>
        <v>78</v>
      </c>
      <c r="AB82" s="45">
        <f>AB83-SUM(AB78:AB81)</f>
        <v>64</v>
      </c>
      <c r="AC82" s="45">
        <f>AC83-SUM(AC78:AC81)</f>
        <v>51</v>
      </c>
      <c r="AD82" s="45">
        <f>AD83-SUM(AD78:AD81)</f>
        <v>52</v>
      </c>
      <c r="AE82" s="1"/>
      <c r="AF82" s="1"/>
      <c r="AG82" s="1">
        <f>SUM(AG78:AG81)</f>
        <v>537</v>
      </c>
      <c r="AH82" s="1"/>
      <c r="AI82" s="1"/>
    </row>
    <row r="83" spans="25:35" ht="15" thickBot="1" x14ac:dyDescent="0.4">
      <c r="Z83" s="52" t="s">
        <v>44</v>
      </c>
      <c r="AA83" s="48">
        <f>AG78</f>
        <v>177</v>
      </c>
      <c r="AB83" s="50">
        <f>AG79</f>
        <v>181</v>
      </c>
      <c r="AC83" s="48">
        <f>AG80</f>
        <v>83</v>
      </c>
      <c r="AD83" s="50">
        <f>AG81</f>
        <v>96</v>
      </c>
      <c r="AE83" s="1"/>
      <c r="AF83" s="1"/>
      <c r="AG83" s="1"/>
      <c r="AH83" s="1"/>
      <c r="AI83" s="1"/>
    </row>
  </sheetData>
  <sortState xmlns:xlrd2="http://schemas.microsoft.com/office/spreadsheetml/2017/richdata2" ref="AV48:BD55">
    <sortCondition ref="AV48:AV55" customList="Región A,Región C,Región B,Región D"/>
  </sortState>
  <mergeCells count="31">
    <mergeCell ref="Y78:Y79"/>
    <mergeCell ref="Y80:Y81"/>
    <mergeCell ref="B24:B26"/>
    <mergeCell ref="B27:B29"/>
    <mergeCell ref="X55:X56"/>
    <mergeCell ref="X57:X58"/>
    <mergeCell ref="X59:X60"/>
    <mergeCell ref="X68:X69"/>
    <mergeCell ref="X70:X71"/>
    <mergeCell ref="AA76:AB76"/>
    <mergeCell ref="AC76:AD76"/>
    <mergeCell ref="Z36:AA36"/>
    <mergeCell ref="AB36:AC36"/>
    <mergeCell ref="AD36:AE36"/>
    <mergeCell ref="AD53:AE53"/>
    <mergeCell ref="Z53:AA53"/>
    <mergeCell ref="AB53:AC53"/>
    <mergeCell ref="Z66:AA66"/>
    <mergeCell ref="AB66:AC66"/>
    <mergeCell ref="AP66:AQ66"/>
    <mergeCell ref="D22:F22"/>
    <mergeCell ref="G22:I22"/>
    <mergeCell ref="D2:F4"/>
    <mergeCell ref="B12:B14"/>
    <mergeCell ref="B15:B17"/>
    <mergeCell ref="C6:V6"/>
    <mergeCell ref="B9:B11"/>
    <mergeCell ref="D7:F7"/>
    <mergeCell ref="G7:I7"/>
    <mergeCell ref="J7:L7"/>
    <mergeCell ref="AF36:AG3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W294"/>
  <sheetViews>
    <sheetView topLeftCell="EC85" zoomScale="70" zoomScaleNormal="70" workbookViewId="0">
      <selection activeCell="ET186" sqref="ET152:EU186"/>
    </sheetView>
  </sheetViews>
  <sheetFormatPr baseColWidth="10" defaultColWidth="11.453125" defaultRowHeight="14.5" x14ac:dyDescent="0.35"/>
  <cols>
    <col min="2" max="2" width="11.54296875" customWidth="1"/>
    <col min="3" max="70" width="11.54296875" bestFit="1" customWidth="1"/>
    <col min="71" max="71" width="14.90625" bestFit="1" customWidth="1"/>
    <col min="73" max="73" width="14.54296875" bestFit="1" customWidth="1"/>
    <col min="74" max="74" width="15.453125" bestFit="1" customWidth="1"/>
    <col min="75" max="144" width="12" customWidth="1"/>
    <col min="147" max="147" width="14.36328125" bestFit="1" customWidth="1"/>
    <col min="149" max="149" width="15.90625" bestFit="1" customWidth="1"/>
    <col min="153" max="153" width="14.54296875" bestFit="1" customWidth="1"/>
  </cols>
  <sheetData>
    <row r="1" spans="1:71" x14ac:dyDescent="0.35">
      <c r="B1" s="85">
        <v>1</v>
      </c>
      <c r="C1" s="85">
        <v>2</v>
      </c>
      <c r="D1" s="85">
        <v>3</v>
      </c>
      <c r="E1" s="85">
        <v>4</v>
      </c>
      <c r="F1" s="85">
        <v>5</v>
      </c>
      <c r="G1" s="85">
        <v>6</v>
      </c>
      <c r="H1" s="85">
        <v>7</v>
      </c>
      <c r="I1" s="85">
        <v>8</v>
      </c>
      <c r="J1" s="85">
        <v>9</v>
      </c>
      <c r="K1" s="85">
        <v>10</v>
      </c>
      <c r="L1" s="85">
        <v>11</v>
      </c>
      <c r="M1" s="85">
        <v>12</v>
      </c>
      <c r="N1" s="85">
        <v>13</v>
      </c>
      <c r="O1" s="85">
        <v>14</v>
      </c>
      <c r="P1" s="85">
        <v>15</v>
      </c>
      <c r="Q1" s="85">
        <v>16</v>
      </c>
      <c r="R1" s="85">
        <v>17</v>
      </c>
      <c r="S1" s="85">
        <v>18</v>
      </c>
      <c r="T1" s="85">
        <v>19</v>
      </c>
      <c r="U1" s="85">
        <v>20</v>
      </c>
      <c r="V1" s="85">
        <v>21</v>
      </c>
      <c r="W1" s="85">
        <v>22</v>
      </c>
      <c r="X1" s="85">
        <v>23</v>
      </c>
      <c r="Y1" s="85">
        <v>24</v>
      </c>
      <c r="Z1" s="85">
        <v>25</v>
      </c>
      <c r="AA1" s="85">
        <v>26</v>
      </c>
      <c r="AB1" s="85">
        <v>27</v>
      </c>
      <c r="AC1" s="85">
        <v>28</v>
      </c>
      <c r="AD1" s="85">
        <v>29</v>
      </c>
      <c r="AE1" s="85">
        <v>30</v>
      </c>
      <c r="AF1" s="85">
        <v>31</v>
      </c>
      <c r="AG1" s="85">
        <v>32</v>
      </c>
      <c r="AH1" s="85">
        <v>33</v>
      </c>
      <c r="AI1" s="85">
        <v>34</v>
      </c>
      <c r="AJ1" s="85">
        <v>35</v>
      </c>
      <c r="AK1" s="86">
        <v>1</v>
      </c>
      <c r="AL1" s="86">
        <v>2</v>
      </c>
      <c r="AM1" s="86">
        <v>3</v>
      </c>
      <c r="AN1" s="86">
        <v>4</v>
      </c>
      <c r="AO1" s="86">
        <v>5</v>
      </c>
      <c r="AP1" s="86">
        <v>6</v>
      </c>
      <c r="AQ1" s="86">
        <v>7</v>
      </c>
      <c r="AR1" s="86">
        <v>8</v>
      </c>
      <c r="AS1" s="86">
        <v>9</v>
      </c>
      <c r="AT1" s="86">
        <v>10</v>
      </c>
      <c r="AU1" s="86">
        <v>11</v>
      </c>
      <c r="AV1" s="86">
        <v>12</v>
      </c>
      <c r="AW1" s="86">
        <v>13</v>
      </c>
      <c r="AX1" s="86">
        <v>14</v>
      </c>
      <c r="AY1" s="86">
        <v>15</v>
      </c>
      <c r="AZ1" s="86">
        <v>16</v>
      </c>
      <c r="BA1" s="86">
        <v>17</v>
      </c>
      <c r="BB1" s="86">
        <v>18</v>
      </c>
      <c r="BC1" s="86">
        <v>19</v>
      </c>
      <c r="BD1" s="86">
        <v>20</v>
      </c>
      <c r="BE1" s="86">
        <v>21</v>
      </c>
      <c r="BF1" s="86">
        <v>22</v>
      </c>
      <c r="BG1" s="86">
        <v>23</v>
      </c>
      <c r="BH1" s="86">
        <v>24</v>
      </c>
      <c r="BI1" s="86">
        <v>25</v>
      </c>
      <c r="BJ1" s="86">
        <v>26</v>
      </c>
      <c r="BK1" s="86">
        <v>27</v>
      </c>
      <c r="BL1" s="86">
        <v>28</v>
      </c>
      <c r="BM1" s="86">
        <v>29</v>
      </c>
      <c r="BN1" s="86">
        <v>30</v>
      </c>
      <c r="BO1" s="86">
        <v>31</v>
      </c>
      <c r="BP1" s="86">
        <v>32</v>
      </c>
      <c r="BQ1" s="86">
        <v>33</v>
      </c>
      <c r="BR1" s="86">
        <v>34</v>
      </c>
      <c r="BS1" s="86">
        <v>35</v>
      </c>
    </row>
    <row r="2" spans="1:71" x14ac:dyDescent="0.35">
      <c r="A2" s="85">
        <v>1</v>
      </c>
      <c r="B2" s="87">
        <v>0.13757660861483964</v>
      </c>
      <c r="C2" s="88">
        <v>1.3713847910535198E-3</v>
      </c>
      <c r="D2" s="88">
        <v>0.20967058614164411</v>
      </c>
      <c r="E2" s="88">
        <v>1.0526196153905227E-2</v>
      </c>
      <c r="F2" s="88">
        <v>1.0146607910334494E-2</v>
      </c>
      <c r="G2" s="88">
        <v>0.13373953573434522</v>
      </c>
      <c r="H2" s="88">
        <v>1.5377872868045884E-2</v>
      </c>
      <c r="I2" s="88">
        <v>2.9250866573923953E-4</v>
      </c>
      <c r="J2" s="88">
        <v>1.8857048270440402E-3</v>
      </c>
      <c r="K2" s="88">
        <v>8.9724389186063621E-3</v>
      </c>
      <c r="L2" s="88">
        <v>6.1910122183632442E-4</v>
      </c>
      <c r="M2" s="88">
        <v>4.3155018665599567E-4</v>
      </c>
      <c r="N2" s="88">
        <v>3.9005229017100587E-4</v>
      </c>
      <c r="O2" s="88">
        <v>2.9765084313502311E-4</v>
      </c>
      <c r="P2" s="88">
        <v>2.8001799502797513E-4</v>
      </c>
      <c r="Q2" s="88">
        <v>2.399327960193467E-3</v>
      </c>
      <c r="R2" s="88">
        <v>1.6901973533014765E-3</v>
      </c>
      <c r="S2" s="88">
        <v>2.4856601254489409E-3</v>
      </c>
      <c r="T2" s="88">
        <v>6.705990515860833E-4</v>
      </c>
      <c r="U2" s="88">
        <v>3.9639604753870881E-3</v>
      </c>
      <c r="V2" s="88">
        <v>4.5786412872234634E-3</v>
      </c>
      <c r="W2" s="88">
        <v>2.4782231448016938E-2</v>
      </c>
      <c r="X2" s="88">
        <v>5.3368952922396896E-4</v>
      </c>
      <c r="Y2" s="88">
        <v>2.458893069227904E-3</v>
      </c>
      <c r="Z2" s="88">
        <v>8.3567511806688973E-4</v>
      </c>
      <c r="AA2" s="88">
        <v>9.4286801864246227E-4</v>
      </c>
      <c r="AB2" s="88">
        <v>2.277857855018996E-4</v>
      </c>
      <c r="AC2" s="88">
        <v>1.5261352114830676E-4</v>
      </c>
      <c r="AD2" s="88">
        <v>9.7208083530785192E-4</v>
      </c>
      <c r="AE2" s="88">
        <v>4.3243321792552243E-4</v>
      </c>
      <c r="AF2" s="88">
        <v>3.2428421488448706E-3</v>
      </c>
      <c r="AG2" s="88">
        <v>1.6578041346453538E-3</v>
      </c>
      <c r="AH2" s="88">
        <v>2.5208571299215792E-3</v>
      </c>
      <c r="AI2" s="88">
        <v>3.1223579669992247E-3</v>
      </c>
      <c r="AJ2" s="89">
        <v>0</v>
      </c>
      <c r="AK2" s="87">
        <v>1.7628478949687084E-3</v>
      </c>
      <c r="AL2" s="88">
        <v>2.3752364139063946E-5</v>
      </c>
      <c r="AM2" s="88">
        <v>3.0387236851159953E-3</v>
      </c>
      <c r="AN2" s="88">
        <v>6.721624126743435E-4</v>
      </c>
      <c r="AO2" s="88">
        <v>7.5232353353130502E-4</v>
      </c>
      <c r="AP2" s="88">
        <v>3.7144226567178977E-3</v>
      </c>
      <c r="AQ2" s="88">
        <v>7.4946889004490072E-4</v>
      </c>
      <c r="AR2" s="88">
        <v>3.1756221030041538E-5</v>
      </c>
      <c r="AS2" s="88">
        <v>1.8867762366360147E-4</v>
      </c>
      <c r="AT2" s="88">
        <v>3.6919650772965288E-4</v>
      </c>
      <c r="AU2" s="88">
        <v>6.975107183077843E-5</v>
      </c>
      <c r="AV2" s="88">
        <v>1.4590533459567054E-5</v>
      </c>
      <c r="AW2" s="88">
        <v>1.5971435445043233E-5</v>
      </c>
      <c r="AX2" s="88">
        <v>7.5671400297445184E-6</v>
      </c>
      <c r="AY2" s="88">
        <v>1.7387877317200947E-5</v>
      </c>
      <c r="AZ2" s="88">
        <v>2.5107057836887373E-4</v>
      </c>
      <c r="BA2" s="88">
        <v>1.4236483301934145E-5</v>
      </c>
      <c r="BB2" s="88">
        <v>7.2721916578445111E-5</v>
      </c>
      <c r="BC2" s="88">
        <v>5.6699254586333101E-5</v>
      </c>
      <c r="BD2" s="88">
        <v>4.5595665499971855E-5</v>
      </c>
      <c r="BE2" s="88">
        <v>3.6974700950157139E-5</v>
      </c>
      <c r="BF2" s="88">
        <v>4.6513182071347133E-4</v>
      </c>
      <c r="BG2" s="88">
        <v>2.8449093290870656E-5</v>
      </c>
      <c r="BH2" s="88">
        <v>1.2847055964685405E-5</v>
      </c>
      <c r="BI2" s="88">
        <v>1.88996944262449E-5</v>
      </c>
      <c r="BJ2" s="88">
        <v>1.6229746825700524E-4</v>
      </c>
      <c r="BK2" s="88">
        <v>8.8747251947046921E-6</v>
      </c>
      <c r="BL2" s="88">
        <v>3.0079046005004942E-5</v>
      </c>
      <c r="BM2" s="88">
        <v>8.9080080683875668E-6</v>
      </c>
      <c r="BN2" s="88">
        <v>1.9466014201099589E-5</v>
      </c>
      <c r="BO2" s="88">
        <v>6.4893226552923303E-5</v>
      </c>
      <c r="BP2" s="88">
        <v>9.7610214139306692E-5</v>
      </c>
      <c r="BQ2" s="88">
        <v>7.8214393056533251E-5</v>
      </c>
      <c r="BR2" s="88">
        <v>3.7452369621366669E-5</v>
      </c>
      <c r="BS2" s="89">
        <v>4.3718797483454821E-6</v>
      </c>
    </row>
    <row r="3" spans="1:71" x14ac:dyDescent="0.35">
      <c r="A3" s="85">
        <v>2</v>
      </c>
      <c r="B3" s="90">
        <v>9.3402727631788874E-4</v>
      </c>
      <c r="C3" s="91">
        <v>4.0286614623320685E-2</v>
      </c>
      <c r="D3" s="91">
        <v>7.2251359133291063E-4</v>
      </c>
      <c r="E3" s="91">
        <v>3.4887557238456331E-4</v>
      </c>
      <c r="F3" s="91">
        <v>3.9278516975790531E-4</v>
      </c>
      <c r="G3" s="91">
        <v>4.4789840121353295E-4</v>
      </c>
      <c r="H3" s="91">
        <v>1.7580469820811626E-3</v>
      </c>
      <c r="I3" s="91">
        <v>7.8165544024502986E-2</v>
      </c>
      <c r="J3" s="91">
        <v>3.9380677950229936E-3</v>
      </c>
      <c r="K3" s="91">
        <v>7.733280649997238E-4</v>
      </c>
      <c r="L3" s="91">
        <v>3.4928663554370465E-2</v>
      </c>
      <c r="M3" s="91">
        <v>6.0151932819110339E-3</v>
      </c>
      <c r="N3" s="91">
        <v>7.6246998031307789E-4</v>
      </c>
      <c r="O3" s="91">
        <v>5.0069831382633693E-4</v>
      </c>
      <c r="P3" s="91">
        <v>4.483769776626306E-4</v>
      </c>
      <c r="Q3" s="91">
        <v>1.2488504807358298E-3</v>
      </c>
      <c r="R3" s="91">
        <v>3.089180537309472E-2</v>
      </c>
      <c r="S3" s="91">
        <v>4.8163877826439012E-3</v>
      </c>
      <c r="T3" s="91">
        <v>3.2593438551773503E-4</v>
      </c>
      <c r="U3" s="91">
        <v>5.3975057150920636E-4</v>
      </c>
      <c r="V3" s="91">
        <v>5.3349790893862236E-4</v>
      </c>
      <c r="W3" s="91">
        <v>2.7573996660937034E-4</v>
      </c>
      <c r="X3" s="91">
        <v>3.1801343318717772E-4</v>
      </c>
      <c r="Y3" s="91">
        <v>1.6589183099281158E-4</v>
      </c>
      <c r="Z3" s="91">
        <v>2.8817397497841817E-4</v>
      </c>
      <c r="AA3" s="91">
        <v>4.1057162705639122E-4</v>
      </c>
      <c r="AB3" s="91">
        <v>1.7670207887223146E-4</v>
      </c>
      <c r="AC3" s="91">
        <v>1.304717404969081E-4</v>
      </c>
      <c r="AD3" s="91">
        <v>2.0470157830462517E-4</v>
      </c>
      <c r="AE3" s="91">
        <v>2.4113081338651528E-4</v>
      </c>
      <c r="AF3" s="91">
        <v>4.7282716944546465E-4</v>
      </c>
      <c r="AG3" s="91">
        <v>1.5910918359150904E-4</v>
      </c>
      <c r="AH3" s="91">
        <v>1.6300305735656372E-4</v>
      </c>
      <c r="AI3" s="91">
        <v>3.7832541264584755E-4</v>
      </c>
      <c r="AJ3" s="92">
        <v>0</v>
      </c>
      <c r="AK3" s="90">
        <v>3.1772469289257738E-6</v>
      </c>
      <c r="AL3" s="91">
        <v>1.0819317561099657E-4</v>
      </c>
      <c r="AM3" s="91">
        <v>6.7293293908529217E-6</v>
      </c>
      <c r="AN3" s="91">
        <v>6.32536275026549E-6</v>
      </c>
      <c r="AO3" s="91">
        <v>3.8638614176441479E-6</v>
      </c>
      <c r="AP3" s="91">
        <v>6.044742806091125E-6</v>
      </c>
      <c r="AQ3" s="91">
        <v>1.0976382529881943E-5</v>
      </c>
      <c r="AR3" s="91">
        <v>2.0064028268911892E-3</v>
      </c>
      <c r="AS3" s="91">
        <v>1.2309802998671331E-4</v>
      </c>
      <c r="AT3" s="91">
        <v>1.2419916839298017E-5</v>
      </c>
      <c r="AU3" s="91">
        <v>1.0991925434700161E-3</v>
      </c>
      <c r="AV3" s="91">
        <v>3.5923617539957684E-4</v>
      </c>
      <c r="AW3" s="91">
        <v>3.0033808477370295E-5</v>
      </c>
      <c r="AX3" s="91">
        <v>1.510109174378312E-5</v>
      </c>
      <c r="AY3" s="91">
        <v>1.3240484179469445E-5</v>
      </c>
      <c r="AZ3" s="91">
        <v>7.2784419477704774E-4</v>
      </c>
      <c r="BA3" s="91">
        <v>2.3054502378580896E-4</v>
      </c>
      <c r="BB3" s="91">
        <v>4.3767867673956287E-4</v>
      </c>
      <c r="BC3" s="91">
        <v>5.9730038376456124E-6</v>
      </c>
      <c r="BD3" s="91">
        <v>4.5366590703240469E-6</v>
      </c>
      <c r="BE3" s="91">
        <v>4.2214239195496879E-6</v>
      </c>
      <c r="BF3" s="91">
        <v>7.1444815400437733E-6</v>
      </c>
      <c r="BG3" s="91">
        <v>1.1346470289301272E-5</v>
      </c>
      <c r="BH3" s="91">
        <v>3.9558983406070262E-6</v>
      </c>
      <c r="BI3" s="91">
        <v>7.5872776098336343E-6</v>
      </c>
      <c r="BJ3" s="91">
        <v>1.6059625049357907E-5</v>
      </c>
      <c r="BK3" s="91">
        <v>5.848902035241234E-6</v>
      </c>
      <c r="BL3" s="91">
        <v>5.5061519499223689E-6</v>
      </c>
      <c r="BM3" s="91">
        <v>6.6429337784863416E-6</v>
      </c>
      <c r="BN3" s="91">
        <v>6.7070480629353187E-6</v>
      </c>
      <c r="BO3" s="91">
        <v>1.5431767805354373E-5</v>
      </c>
      <c r="BP3" s="91">
        <v>5.9406569673475232E-6</v>
      </c>
      <c r="BQ3" s="91">
        <v>7.0589339425196471E-6</v>
      </c>
      <c r="BR3" s="91">
        <v>7.5814003171151153E-6</v>
      </c>
      <c r="BS3" s="92">
        <v>2.1868737959287061E-6</v>
      </c>
    </row>
    <row r="4" spans="1:71" x14ac:dyDescent="0.35">
      <c r="A4" s="85">
        <v>3</v>
      </c>
      <c r="B4" s="90">
        <v>5.8615153351070967E-2</v>
      </c>
      <c r="C4" s="91">
        <v>1.5723099824711906E-3</v>
      </c>
      <c r="D4" s="91">
        <v>0.13503610114150094</v>
      </c>
      <c r="E4" s="91">
        <v>4.7773790271199721E-3</v>
      </c>
      <c r="F4" s="91">
        <v>5.4911162910237045E-2</v>
      </c>
      <c r="G4" s="91">
        <v>1.6898792316822273E-3</v>
      </c>
      <c r="H4" s="91">
        <v>2.9793394710788813E-3</v>
      </c>
      <c r="I4" s="91">
        <v>2.0891654741390783E-3</v>
      </c>
      <c r="J4" s="91">
        <v>1.1410828147422064E-2</v>
      </c>
      <c r="K4" s="91">
        <v>2.5453286975423623E-3</v>
      </c>
      <c r="L4" s="91">
        <v>1.7767100205419533E-3</v>
      </c>
      <c r="M4" s="91">
        <v>1.5477878492963792E-3</v>
      </c>
      <c r="N4" s="91">
        <v>1.5296070651940042E-3</v>
      </c>
      <c r="O4" s="91">
        <v>1.3582788537402416E-3</v>
      </c>
      <c r="P4" s="91">
        <v>1.5182843177549725E-3</v>
      </c>
      <c r="Q4" s="91">
        <v>3.2876519442508402E-3</v>
      </c>
      <c r="R4" s="91">
        <v>8.3447852548879239E-4</v>
      </c>
      <c r="S4" s="91">
        <v>1.162286776024195E-3</v>
      </c>
      <c r="T4" s="91">
        <v>2.5203277958072471E-3</v>
      </c>
      <c r="U4" s="91">
        <v>6.2886441722947916E-3</v>
      </c>
      <c r="V4" s="91">
        <v>1.1072328241569803E-2</v>
      </c>
      <c r="W4" s="91">
        <v>0.14887415852389582</v>
      </c>
      <c r="X4" s="91">
        <v>1.316885112548679E-3</v>
      </c>
      <c r="Y4" s="91">
        <v>7.4634111505880521E-3</v>
      </c>
      <c r="Z4" s="91">
        <v>2.7799099453963607E-3</v>
      </c>
      <c r="AA4" s="91">
        <v>1.5496139831813202E-3</v>
      </c>
      <c r="AB4" s="91">
        <v>1.1149934822701562E-3</v>
      </c>
      <c r="AC4" s="91">
        <v>7.3752801793228791E-4</v>
      </c>
      <c r="AD4" s="91">
        <v>4.0683032266052477E-4</v>
      </c>
      <c r="AE4" s="91">
        <v>1.7148771011379332E-3</v>
      </c>
      <c r="AF4" s="91">
        <v>3.418668461172726E-3</v>
      </c>
      <c r="AG4" s="91">
        <v>5.4104174279654849E-3</v>
      </c>
      <c r="AH4" s="91">
        <v>1.1613325896892276E-2</v>
      </c>
      <c r="AI4" s="91">
        <v>5.6658631945021515E-3</v>
      </c>
      <c r="AJ4" s="92">
        <v>0</v>
      </c>
      <c r="AK4" s="90">
        <v>1.0459422303828185E-3</v>
      </c>
      <c r="AL4" s="91">
        <v>3.0734183964009974E-5</v>
      </c>
      <c r="AM4" s="91">
        <v>3.1142203992086627E-3</v>
      </c>
      <c r="AN4" s="91">
        <v>1.2050768702915643E-4</v>
      </c>
      <c r="AO4" s="91">
        <v>1.4656548837651689E-3</v>
      </c>
      <c r="AP4" s="91">
        <v>7.5604205325270461E-5</v>
      </c>
      <c r="AQ4" s="91">
        <v>7.6445301232755432E-5</v>
      </c>
      <c r="AR4" s="91">
        <v>4.8406213249323789E-5</v>
      </c>
      <c r="AS4" s="91">
        <v>3.7405038594235719E-4</v>
      </c>
      <c r="AT4" s="91">
        <v>2.4467342176772257E-4</v>
      </c>
      <c r="AU4" s="91">
        <v>8.5770891005015754E-5</v>
      </c>
      <c r="AV4" s="91">
        <v>4.505850877713788E-5</v>
      </c>
      <c r="AW4" s="91">
        <v>5.6100872041094922E-5</v>
      </c>
      <c r="AX4" s="91">
        <v>4.6260321546085488E-5</v>
      </c>
      <c r="AY4" s="91">
        <v>4.4849110443845581E-5</v>
      </c>
      <c r="AZ4" s="91">
        <v>7.0035265986194919E-5</v>
      </c>
      <c r="BA4" s="91">
        <v>5.7395624688387866E-5</v>
      </c>
      <c r="BB4" s="91">
        <v>4.5846280145430204E-5</v>
      </c>
      <c r="BC4" s="91">
        <v>5.5915705506464592E-5</v>
      </c>
      <c r="BD4" s="91">
        <v>8.8894616717803053E-5</v>
      </c>
      <c r="BE4" s="91">
        <v>6.4865591094852071E-5</v>
      </c>
      <c r="BF4" s="91">
        <v>1.5193847445634599E-3</v>
      </c>
      <c r="BG4" s="91">
        <v>6.2316727498875816E-5</v>
      </c>
      <c r="BH4" s="91">
        <v>6.8152493538775909E-5</v>
      </c>
      <c r="BI4" s="91">
        <v>7.9716149747500607E-5</v>
      </c>
      <c r="BJ4" s="91">
        <v>1.0738083838762975E-4</v>
      </c>
      <c r="BK4" s="91">
        <v>2.0405387500100287E-5</v>
      </c>
      <c r="BL4" s="91">
        <v>5.3526815329612787E-5</v>
      </c>
      <c r="BM4" s="91">
        <v>1.2206918400248664E-5</v>
      </c>
      <c r="BN4" s="91">
        <v>3.9567658548144709E-5</v>
      </c>
      <c r="BO4" s="91">
        <v>1.2501385518772634E-4</v>
      </c>
      <c r="BP4" s="91">
        <v>2.7768375963303598E-4</v>
      </c>
      <c r="BQ4" s="91">
        <v>2.3557195249998978E-4</v>
      </c>
      <c r="BR4" s="91">
        <v>9.8949420879222618E-5</v>
      </c>
      <c r="BS4" s="92">
        <v>1.4596501767776856E-5</v>
      </c>
    </row>
    <row r="5" spans="1:71" x14ac:dyDescent="0.35">
      <c r="A5" s="85">
        <v>4</v>
      </c>
      <c r="B5" s="90">
        <v>1.241407217995098E-3</v>
      </c>
      <c r="C5" s="91">
        <v>5.6486507254277247E-4</v>
      </c>
      <c r="D5" s="91">
        <v>8.7054020674952337E-4</v>
      </c>
      <c r="E5" s="91">
        <v>0.1759485847773509</v>
      </c>
      <c r="F5" s="91">
        <v>3.0205863603830038E-2</v>
      </c>
      <c r="G5" s="91">
        <v>1.0152212251106929E-3</v>
      </c>
      <c r="H5" s="91">
        <v>2.2283806352172077E-3</v>
      </c>
      <c r="I5" s="91">
        <v>5.1008040202569843E-4</v>
      </c>
      <c r="J5" s="91">
        <v>2.1629317550414581E-3</v>
      </c>
      <c r="K5" s="91">
        <v>5.5781007931684336E-3</v>
      </c>
      <c r="L5" s="91">
        <v>1.4383676358821075E-3</v>
      </c>
      <c r="M5" s="91">
        <v>9.3748557202947484E-4</v>
      </c>
      <c r="N5" s="91">
        <v>1.0351288934095798E-3</v>
      </c>
      <c r="O5" s="91">
        <v>1.1325914441159806E-3</v>
      </c>
      <c r="P5" s="91">
        <v>3.3314869677131E-3</v>
      </c>
      <c r="Q5" s="91">
        <v>1.2822594077886123E-2</v>
      </c>
      <c r="R5" s="91">
        <v>2.3558697219511985E-4</v>
      </c>
      <c r="S5" s="91">
        <v>1.1030304041981594E-3</v>
      </c>
      <c r="T5" s="91">
        <v>8.7921211506240468E-4</v>
      </c>
      <c r="U5" s="91">
        <v>1.4493421063881289E-3</v>
      </c>
      <c r="V5" s="91">
        <v>2.3508382888690819E-3</v>
      </c>
      <c r="W5" s="91">
        <v>2.1240998302688241E-3</v>
      </c>
      <c r="X5" s="91">
        <v>6.2146554057623446E-4</v>
      </c>
      <c r="Y5" s="91">
        <v>4.2012363490106347E-4</v>
      </c>
      <c r="Z5" s="91">
        <v>6.2938727243237399E-4</v>
      </c>
      <c r="AA5" s="91">
        <v>3.8308449541320282E-4</v>
      </c>
      <c r="AB5" s="91">
        <v>4.3964050748108313E-4</v>
      </c>
      <c r="AC5" s="91">
        <v>1.3850502405170781E-4</v>
      </c>
      <c r="AD5" s="91">
        <v>2.1550031837677281E-4</v>
      </c>
      <c r="AE5" s="91">
        <v>4.2044212501331083E-4</v>
      </c>
      <c r="AF5" s="91">
        <v>9.4298369323300875E-4</v>
      </c>
      <c r="AG5" s="91">
        <v>4.4070397933657898E-4</v>
      </c>
      <c r="AH5" s="91">
        <v>1.6822091187905705E-3</v>
      </c>
      <c r="AI5" s="91">
        <v>1.8598332673282186E-3</v>
      </c>
      <c r="AJ5" s="92">
        <v>0</v>
      </c>
      <c r="AK5" s="90">
        <v>4.4983877284555676E-5</v>
      </c>
      <c r="AL5" s="91">
        <v>1.8561752799420942E-5</v>
      </c>
      <c r="AM5" s="91">
        <v>3.1655965969496965E-5</v>
      </c>
      <c r="AN5" s="91">
        <v>6.3869972207090293E-3</v>
      </c>
      <c r="AO5" s="91">
        <v>9.0182059086854063E-4</v>
      </c>
      <c r="AP5" s="91">
        <v>5.8214138588082005E-5</v>
      </c>
      <c r="AQ5" s="91">
        <v>1.4025274792336476E-4</v>
      </c>
      <c r="AR5" s="91">
        <v>9.4963995700158295E-6</v>
      </c>
      <c r="AS5" s="91">
        <v>6.0567272237006245E-5</v>
      </c>
      <c r="AT5" s="91">
        <v>4.660064114252696E-4</v>
      </c>
      <c r="AU5" s="91">
        <v>5.8145612123269593E-5</v>
      </c>
      <c r="AV5" s="91">
        <v>3.0786185042767546E-5</v>
      </c>
      <c r="AW5" s="91">
        <v>3.2367074917284287E-5</v>
      </c>
      <c r="AX5" s="91">
        <v>2.9969737444883218E-5</v>
      </c>
      <c r="AY5" s="91">
        <v>9.9940902912083894E-5</v>
      </c>
      <c r="AZ5" s="91">
        <v>6.3814358026324965E-4</v>
      </c>
      <c r="BA5" s="91">
        <v>2.0634140153122234E-5</v>
      </c>
      <c r="BB5" s="91">
        <v>3.7337127747170195E-5</v>
      </c>
      <c r="BC5" s="91">
        <v>1.4282131776773477E-4</v>
      </c>
      <c r="BD5" s="91">
        <v>4.8273456116068197E-5</v>
      </c>
      <c r="BE5" s="91">
        <v>5.520434345524317E-5</v>
      </c>
      <c r="BF5" s="91">
        <v>4.6179373471008947E-5</v>
      </c>
      <c r="BG5" s="91">
        <v>5.6718397894449087E-5</v>
      </c>
      <c r="BH5" s="91">
        <v>2.7671023664139373E-5</v>
      </c>
      <c r="BI5" s="91">
        <v>9.2789263390744323E-5</v>
      </c>
      <c r="BJ5" s="91">
        <v>1.5810214394205852E-4</v>
      </c>
      <c r="BK5" s="91">
        <v>1.1865117094328568E-5</v>
      </c>
      <c r="BL5" s="91">
        <v>1.7958870378659316E-5</v>
      </c>
      <c r="BM5" s="91">
        <v>3.1322905774989276E-5</v>
      </c>
      <c r="BN5" s="91">
        <v>1.9892056200603963E-5</v>
      </c>
      <c r="BO5" s="91">
        <v>5.1795068980243312E-5</v>
      </c>
      <c r="BP5" s="91">
        <v>3.0915047343512646E-5</v>
      </c>
      <c r="BQ5" s="91">
        <v>6.2046733866202177E-5</v>
      </c>
      <c r="BR5" s="91">
        <v>4.6301318751647746E-5</v>
      </c>
      <c r="BS5" s="92">
        <v>4.9625843269454292E-6</v>
      </c>
    </row>
    <row r="6" spans="1:71" x14ac:dyDescent="0.35">
      <c r="A6" s="85">
        <v>5</v>
      </c>
      <c r="B6" s="90">
        <v>1.3339426555081187E-4</v>
      </c>
      <c r="C6" s="91">
        <v>1.1312189913119296E-4</v>
      </c>
      <c r="D6" s="91">
        <v>1.5015191844976026E-4</v>
      </c>
      <c r="E6" s="91">
        <v>3.2482107005154274E-3</v>
      </c>
      <c r="F6" s="91">
        <v>0.13321882945557192</v>
      </c>
      <c r="G6" s="91">
        <v>2.65704876704179E-4</v>
      </c>
      <c r="H6" s="91">
        <v>1.223341295355603E-4</v>
      </c>
      <c r="I6" s="91">
        <v>6.520158004835329E-5</v>
      </c>
      <c r="J6" s="91">
        <v>1.187794144651549E-4</v>
      </c>
      <c r="K6" s="91">
        <v>1.9494373240654814E-4</v>
      </c>
      <c r="L6" s="91">
        <v>1.6177829591644985E-4</v>
      </c>
      <c r="M6" s="91">
        <v>1.6001623884961841E-4</v>
      </c>
      <c r="N6" s="91">
        <v>1.7224547957178283E-4</v>
      </c>
      <c r="O6" s="91">
        <v>1.5684260406603027E-4</v>
      </c>
      <c r="P6" s="91">
        <v>4.5503772276584244E-4</v>
      </c>
      <c r="Q6" s="91">
        <v>3.1893370346342317E-3</v>
      </c>
      <c r="R6" s="91">
        <v>4.7076318604777436E-5</v>
      </c>
      <c r="S6" s="91">
        <v>1.2676775696215348E-4</v>
      </c>
      <c r="T6" s="91">
        <v>3.3448289646538374E-4</v>
      </c>
      <c r="U6" s="91">
        <v>6.5704883841682547E-4</v>
      </c>
      <c r="V6" s="91">
        <v>3.6641246422424551E-4</v>
      </c>
      <c r="W6" s="91">
        <v>1.6675701146081579E-4</v>
      </c>
      <c r="X6" s="91">
        <v>1.0040067144012408E-4</v>
      </c>
      <c r="Y6" s="91">
        <v>3.5175913605811576E-5</v>
      </c>
      <c r="Z6" s="91">
        <v>5.7603591970003233E-5</v>
      </c>
      <c r="AA6" s="91">
        <v>6.1547688143985546E-5</v>
      </c>
      <c r="AB6" s="91">
        <v>6.1246438461102891E-5</v>
      </c>
      <c r="AC6" s="91">
        <v>1.7641387007440769E-5</v>
      </c>
      <c r="AD6" s="91">
        <v>8.8872382079724104E-6</v>
      </c>
      <c r="AE6" s="91">
        <v>5.1478004653508309E-5</v>
      </c>
      <c r="AF6" s="91">
        <v>1.3369640769589534E-4</v>
      </c>
      <c r="AG6" s="91">
        <v>4.2339575872516417E-5</v>
      </c>
      <c r="AH6" s="91">
        <v>1.0519981343888173E-4</v>
      </c>
      <c r="AI6" s="91">
        <v>1.6691322175126138E-4</v>
      </c>
      <c r="AJ6" s="92">
        <v>0</v>
      </c>
      <c r="AK6" s="90">
        <v>3.191023642066019E-6</v>
      </c>
      <c r="AL6" s="91">
        <v>7.0700663374746612E-7</v>
      </c>
      <c r="AM6" s="91">
        <v>2.131562044047101E-6</v>
      </c>
      <c r="AN6" s="91">
        <v>2.4283814912096966E-4</v>
      </c>
      <c r="AO6" s="91">
        <v>3.7583393437781209E-3</v>
      </c>
      <c r="AP6" s="91">
        <v>3.508219171061439E-6</v>
      </c>
      <c r="AQ6" s="91">
        <v>5.0270887989134797E-5</v>
      </c>
      <c r="AR6" s="91">
        <v>9.2330288476394865E-7</v>
      </c>
      <c r="AS6" s="91">
        <v>4.0310923243479848E-6</v>
      </c>
      <c r="AT6" s="91">
        <v>1.9056381747451635E-5</v>
      </c>
      <c r="AU6" s="91">
        <v>3.5813838720986561E-6</v>
      </c>
      <c r="AV6" s="91">
        <v>2.7427856622003789E-6</v>
      </c>
      <c r="AW6" s="91">
        <v>3.1961899678046929E-6</v>
      </c>
      <c r="AX6" s="91">
        <v>4.6436228973870359E-6</v>
      </c>
      <c r="AY6" s="91">
        <v>9.5794730481319379E-5</v>
      </c>
      <c r="AZ6" s="91">
        <v>1.3938232705413631E-4</v>
      </c>
      <c r="BA6" s="91">
        <v>1.2143866779532071E-6</v>
      </c>
      <c r="BB6" s="91">
        <v>1.4275458455872476E-6</v>
      </c>
      <c r="BC6" s="91">
        <v>5.3853153261665011E-6</v>
      </c>
      <c r="BD6" s="91">
        <v>3.8688635540059674E-6</v>
      </c>
      <c r="BE6" s="91">
        <v>4.4498285014976599E-6</v>
      </c>
      <c r="BF6" s="91">
        <v>1.358515586465823E-6</v>
      </c>
      <c r="BG6" s="91">
        <v>3.5029321861314443E-6</v>
      </c>
      <c r="BH6" s="91">
        <v>2.695787118973839E-6</v>
      </c>
      <c r="BI6" s="91">
        <v>8.9223338077164607E-6</v>
      </c>
      <c r="BJ6" s="91">
        <v>1.7496020194365779E-5</v>
      </c>
      <c r="BK6" s="91">
        <v>5.406647789711232E-6</v>
      </c>
      <c r="BL6" s="91">
        <v>1.5463325864156733E-6</v>
      </c>
      <c r="BM6" s="91">
        <v>3.2328123165049196E-7</v>
      </c>
      <c r="BN6" s="91">
        <v>2.8302397004656403E-6</v>
      </c>
      <c r="BO6" s="91">
        <v>4.422098793841551E-5</v>
      </c>
      <c r="BP6" s="91">
        <v>3.0634824323389646E-6</v>
      </c>
      <c r="BQ6" s="91">
        <v>1.4018141165514974E-5</v>
      </c>
      <c r="BR6" s="91">
        <v>1.1383338993224487E-5</v>
      </c>
      <c r="BS6" s="92">
        <v>1.4667646212137224E-7</v>
      </c>
    </row>
    <row r="7" spans="1:71" x14ac:dyDescent="0.35">
      <c r="A7" s="85">
        <v>6</v>
      </c>
      <c r="B7" s="90">
        <v>3.590896892295897E-3</v>
      </c>
      <c r="C7" s="91">
        <v>2.5572060909248178E-3</v>
      </c>
      <c r="D7" s="91">
        <v>2.33427533362888E-3</v>
      </c>
      <c r="E7" s="91">
        <v>9.4323656303246502E-4</v>
      </c>
      <c r="F7" s="91">
        <v>2.1233602006609123E-3</v>
      </c>
      <c r="G7" s="91">
        <v>0.19491739870877361</v>
      </c>
      <c r="H7" s="91">
        <v>6.9116280122177324E-3</v>
      </c>
      <c r="I7" s="91">
        <v>4.751119344601152E-4</v>
      </c>
      <c r="J7" s="91">
        <v>1.4429118412197213E-3</v>
      </c>
      <c r="K7" s="91">
        <v>2.9920965331880016E-3</v>
      </c>
      <c r="L7" s="91">
        <v>6.3747942754019135E-3</v>
      </c>
      <c r="M7" s="91">
        <v>3.0778595204850375E-3</v>
      </c>
      <c r="N7" s="91">
        <v>2.2295250221215585E-3</v>
      </c>
      <c r="O7" s="91">
        <v>1.4812140380247481E-3</v>
      </c>
      <c r="P7" s="91">
        <v>2.654584895120043E-3</v>
      </c>
      <c r="Q7" s="91">
        <v>8.4878326635825133E-2</v>
      </c>
      <c r="R7" s="91">
        <v>1.2713282679956649E-3</v>
      </c>
      <c r="S7" s="91">
        <v>1.9873825386554907E-2</v>
      </c>
      <c r="T7" s="91">
        <v>7.380656046271541E-4</v>
      </c>
      <c r="U7" s="91">
        <v>1.0262306577051555E-3</v>
      </c>
      <c r="V7" s="91">
        <v>1.1463068272066256E-3</v>
      </c>
      <c r="W7" s="91">
        <v>1.1248466217969083E-3</v>
      </c>
      <c r="X7" s="91">
        <v>5.5348455805870334E-4</v>
      </c>
      <c r="Y7" s="91">
        <v>2.5459122980267968E-4</v>
      </c>
      <c r="Z7" s="91">
        <v>2.3501885929898389E-4</v>
      </c>
      <c r="AA7" s="91">
        <v>1.1926980557738095E-3</v>
      </c>
      <c r="AB7" s="91">
        <v>4.0202257604289918E-4</v>
      </c>
      <c r="AC7" s="91">
        <v>1.0917162084498717E-4</v>
      </c>
      <c r="AD7" s="91">
        <v>1.4278666170869721E-3</v>
      </c>
      <c r="AE7" s="91">
        <v>4.8861548291387845E-4</v>
      </c>
      <c r="AF7" s="91">
        <v>5.7152854270959262E-4</v>
      </c>
      <c r="AG7" s="91">
        <v>7.4017506945489933E-4</v>
      </c>
      <c r="AH7" s="91">
        <v>2.4942788930295895E-4</v>
      </c>
      <c r="AI7" s="91">
        <v>2.5396081769417664E-3</v>
      </c>
      <c r="AJ7" s="92">
        <v>0</v>
      </c>
      <c r="AK7" s="90">
        <v>4.6868953410709376E-5</v>
      </c>
      <c r="AL7" s="91">
        <v>4.8285310571109251E-5</v>
      </c>
      <c r="AM7" s="91">
        <v>6.6352781769517534E-5</v>
      </c>
      <c r="AN7" s="91">
        <v>6.574783518405697E-5</v>
      </c>
      <c r="AO7" s="91">
        <v>6.402448565670258E-5</v>
      </c>
      <c r="AP7" s="91">
        <v>5.3421447771979085E-3</v>
      </c>
      <c r="AQ7" s="91">
        <v>3.6294719550827555E-4</v>
      </c>
      <c r="AR7" s="91">
        <v>1.2263882978893106E-5</v>
      </c>
      <c r="AS7" s="91">
        <v>6.5597094589976736E-5</v>
      </c>
      <c r="AT7" s="91">
        <v>1.1114168232296613E-4</v>
      </c>
      <c r="AU7" s="91">
        <v>3.2876748075145453E-4</v>
      </c>
      <c r="AV7" s="91">
        <v>9.825997526614712E-5</v>
      </c>
      <c r="AW7" s="91">
        <v>1.0993852957119997E-4</v>
      </c>
      <c r="AX7" s="91">
        <v>6.4057855337201823E-5</v>
      </c>
      <c r="AY7" s="91">
        <v>7.2960094345085204E-5</v>
      </c>
      <c r="AZ7" s="91">
        <v>2.3440874340624278E-3</v>
      </c>
      <c r="BA7" s="91">
        <v>3.8374472983872096E-5</v>
      </c>
      <c r="BB7" s="91">
        <v>9.0597290764330113E-4</v>
      </c>
      <c r="BC7" s="91">
        <v>2.2017785809145589E-4</v>
      </c>
      <c r="BD7" s="91">
        <v>1.5346934079105257E-4</v>
      </c>
      <c r="BE7" s="91">
        <v>1.1536833495199603E-4</v>
      </c>
      <c r="BF7" s="91">
        <v>5.4157829530239187E-5</v>
      </c>
      <c r="BG7" s="91">
        <v>9.7416641373235247E-5</v>
      </c>
      <c r="BH7" s="91">
        <v>2.9187637707705419E-5</v>
      </c>
      <c r="BI7" s="91">
        <v>8.4093775328616125E-5</v>
      </c>
      <c r="BJ7" s="91">
        <v>2.379590315545197E-4</v>
      </c>
      <c r="BK7" s="91">
        <v>2.0718441244121042E-5</v>
      </c>
      <c r="BL7" s="91">
        <v>1.2914526507196179E-5</v>
      </c>
      <c r="BM7" s="91">
        <v>3.1812010061736864E-5</v>
      </c>
      <c r="BN7" s="91">
        <v>3.1716041292943029E-5</v>
      </c>
      <c r="BO7" s="91">
        <v>4.3593507061217925E-5</v>
      </c>
      <c r="BP7" s="91">
        <v>8.196911195459383E-5</v>
      </c>
      <c r="BQ7" s="91">
        <v>3.9952980164214115E-5</v>
      </c>
      <c r="BR7" s="91">
        <v>5.8543354536588969E-5</v>
      </c>
      <c r="BS7" s="92">
        <v>2.0102952300996518E-5</v>
      </c>
    </row>
    <row r="8" spans="1:71" x14ac:dyDescent="0.35">
      <c r="A8" s="85">
        <v>7</v>
      </c>
      <c r="B8" s="90">
        <v>2.48097231119519E-3</v>
      </c>
      <c r="C8" s="91">
        <v>3.4087266130559176E-3</v>
      </c>
      <c r="D8" s="91">
        <v>1.622094992636568E-2</v>
      </c>
      <c r="E8" s="91">
        <v>9.5178915756086342E-3</v>
      </c>
      <c r="F8" s="91">
        <v>1.0623474399364129E-2</v>
      </c>
      <c r="G8" s="91">
        <v>1.10508454761521E-2</v>
      </c>
      <c r="H8" s="91">
        <v>0.19994524871742395</v>
      </c>
      <c r="I8" s="91">
        <v>2.7259052114353517E-3</v>
      </c>
      <c r="J8" s="91">
        <v>1.3009486522063204E-2</v>
      </c>
      <c r="K8" s="91">
        <v>1.2478900374065859E-2</v>
      </c>
      <c r="L8" s="91">
        <v>1.0788285403750934E-2</v>
      </c>
      <c r="M8" s="91">
        <v>4.2626896007705297E-3</v>
      </c>
      <c r="N8" s="91">
        <v>5.7974874765749432E-3</v>
      </c>
      <c r="O8" s="91">
        <v>6.6919687708986335E-3</v>
      </c>
      <c r="P8" s="91">
        <v>3.4741496465361464E-3</v>
      </c>
      <c r="Q8" s="91">
        <v>1.8771690624835944E-2</v>
      </c>
      <c r="R8" s="91">
        <v>2.8296059140927926E-3</v>
      </c>
      <c r="S8" s="91">
        <v>3.1397203162018389E-3</v>
      </c>
      <c r="T8" s="91">
        <v>8.8126897397091744E-3</v>
      </c>
      <c r="U8" s="91">
        <v>1.2349945346848416E-2</v>
      </c>
      <c r="V8" s="91">
        <v>1.3570869620423883E-2</v>
      </c>
      <c r="W8" s="91">
        <v>5.6839766856044017E-3</v>
      </c>
      <c r="X8" s="91">
        <v>3.8396774032017694E-3</v>
      </c>
      <c r="Y8" s="91">
        <v>1.5331677586620167E-3</v>
      </c>
      <c r="Z8" s="91">
        <v>2.6450079989862531E-3</v>
      </c>
      <c r="AA8" s="91">
        <v>8.2684287626303473E-3</v>
      </c>
      <c r="AB8" s="91">
        <v>8.0720108279449393E-3</v>
      </c>
      <c r="AC8" s="91">
        <v>9.9473388957912866E-3</v>
      </c>
      <c r="AD8" s="91">
        <v>2.338455968543659E-3</v>
      </c>
      <c r="AE8" s="91">
        <v>1.8248288008894921E-2</v>
      </c>
      <c r="AF8" s="91">
        <v>1.1027374620151898E-2</v>
      </c>
      <c r="AG8" s="91">
        <v>1.2911658657656451E-2</v>
      </c>
      <c r="AH8" s="91">
        <v>6.4765596110579558E-3</v>
      </c>
      <c r="AI8" s="91">
        <v>1.518555397128696E-2</v>
      </c>
      <c r="AJ8" s="92">
        <v>0</v>
      </c>
      <c r="AK8" s="90">
        <v>1.2102375729965817E-4</v>
      </c>
      <c r="AL8" s="91">
        <v>1.0606460557772678E-4</v>
      </c>
      <c r="AM8" s="91">
        <v>1.3728190569763531E-3</v>
      </c>
      <c r="AN8" s="91">
        <v>6.1075463109838159E-4</v>
      </c>
      <c r="AO8" s="91">
        <v>8.6413165500733859E-4</v>
      </c>
      <c r="AP8" s="91">
        <v>7.0960152643345631E-4</v>
      </c>
      <c r="AQ8" s="91">
        <v>1.2223774461540986E-2</v>
      </c>
      <c r="AR8" s="91">
        <v>1.1436130491188361E-4</v>
      </c>
      <c r="AS8" s="91">
        <v>7.0728771989190468E-4</v>
      </c>
      <c r="AT8" s="91">
        <v>8.4096534602218188E-4</v>
      </c>
      <c r="AU8" s="91">
        <v>1.4012519714207891E-3</v>
      </c>
      <c r="AV8" s="91">
        <v>2.3897926253811625E-4</v>
      </c>
      <c r="AW8" s="91">
        <v>3.3981134570388889E-4</v>
      </c>
      <c r="AX8" s="91">
        <v>3.3774894170241008E-4</v>
      </c>
      <c r="AY8" s="91">
        <v>2.133084213783588E-4</v>
      </c>
      <c r="AZ8" s="91">
        <v>1.3090102120347374E-3</v>
      </c>
      <c r="BA8" s="91">
        <v>2.180009350053782E-4</v>
      </c>
      <c r="BB8" s="91">
        <v>1.8477368729101897E-4</v>
      </c>
      <c r="BC8" s="91">
        <v>8.436589995241458E-4</v>
      </c>
      <c r="BD8" s="91">
        <v>6.5442196128311125E-4</v>
      </c>
      <c r="BE8" s="91">
        <v>4.8292316059190318E-4</v>
      </c>
      <c r="BF8" s="91">
        <v>2.715041672663775E-4</v>
      </c>
      <c r="BG8" s="91">
        <v>3.4838479958184245E-4</v>
      </c>
      <c r="BH8" s="91">
        <v>8.3021364854391196E-5</v>
      </c>
      <c r="BI8" s="91">
        <v>2.4477636531021935E-4</v>
      </c>
      <c r="BJ8" s="91">
        <v>7.5055416058170479E-4</v>
      </c>
      <c r="BK8" s="91">
        <v>2.8255457521960059E-4</v>
      </c>
      <c r="BL8" s="91">
        <v>4.083826381606266E-4</v>
      </c>
      <c r="BM8" s="91">
        <v>7.9162808169609155E-5</v>
      </c>
      <c r="BN8" s="91">
        <v>4.620506413699195E-4</v>
      </c>
      <c r="BO8" s="91">
        <v>6.9137177270330486E-4</v>
      </c>
      <c r="BP8" s="91">
        <v>8.043500890704188E-4</v>
      </c>
      <c r="BQ8" s="91">
        <v>2.8210930667636519E-4</v>
      </c>
      <c r="BR8" s="91">
        <v>4.9402483453527338E-4</v>
      </c>
      <c r="BS8" s="92">
        <v>3.6666176504856647E-5</v>
      </c>
    </row>
    <row r="9" spans="1:71" x14ac:dyDescent="0.35">
      <c r="A9" s="85">
        <v>8</v>
      </c>
      <c r="B9" s="90">
        <v>1.7484349112650847E-2</v>
      </c>
      <c r="C9" s="91">
        <v>8.0505754104585152E-3</v>
      </c>
      <c r="D9" s="91">
        <v>3.4411587285156299E-3</v>
      </c>
      <c r="E9" s="91">
        <v>3.9845374865396591E-3</v>
      </c>
      <c r="F9" s="91">
        <v>2.5008531240016322E-3</v>
      </c>
      <c r="G9" s="91">
        <v>4.6761689550369277E-3</v>
      </c>
      <c r="H9" s="91">
        <v>3.0530110268118483E-3</v>
      </c>
      <c r="I9" s="91">
        <v>0.12767848096747766</v>
      </c>
      <c r="J9" s="91">
        <v>2.5940912703004321E-2</v>
      </c>
      <c r="K9" s="91">
        <v>7.118782354814248E-3</v>
      </c>
      <c r="L9" s="91">
        <v>9.5028326887972754E-3</v>
      </c>
      <c r="M9" s="91">
        <v>5.4865092480231139E-3</v>
      </c>
      <c r="N9" s="91">
        <v>2.4926372936847712E-3</v>
      </c>
      <c r="O9" s="91">
        <v>1.773998894023004E-3</v>
      </c>
      <c r="P9" s="91">
        <v>2.04693623667997E-3</v>
      </c>
      <c r="Q9" s="91">
        <v>5.3955927676050215E-3</v>
      </c>
      <c r="R9" s="91">
        <v>1.6240249138967978E-2</v>
      </c>
      <c r="S9" s="91">
        <v>5.3599280161990732E-3</v>
      </c>
      <c r="T9" s="91">
        <v>5.330828095643606E-3</v>
      </c>
      <c r="U9" s="91">
        <v>9.3585952412354734E-3</v>
      </c>
      <c r="V9" s="91">
        <v>4.7714407591733267E-3</v>
      </c>
      <c r="W9" s="91">
        <v>3.4474144002089799E-3</v>
      </c>
      <c r="X9" s="91">
        <v>4.2429445895318635E-2</v>
      </c>
      <c r="Y9" s="91">
        <v>2.0977875510509562E-2</v>
      </c>
      <c r="Z9" s="91">
        <v>5.7119162613224396E-2</v>
      </c>
      <c r="AA9" s="91">
        <v>8.098515050025467E-3</v>
      </c>
      <c r="AB9" s="91">
        <v>2.6016692112565925E-3</v>
      </c>
      <c r="AC9" s="91">
        <v>1.3966537505149437E-3</v>
      </c>
      <c r="AD9" s="91">
        <v>6.6585745701151723E-4</v>
      </c>
      <c r="AE9" s="91">
        <v>3.1005497332479283E-3</v>
      </c>
      <c r="AF9" s="91">
        <v>3.6522582945559246E-3</v>
      </c>
      <c r="AG9" s="91">
        <v>2.6593861605854292E-3</v>
      </c>
      <c r="AH9" s="91">
        <v>2.2139302522601574E-3</v>
      </c>
      <c r="AI9" s="91">
        <v>4.3132708966441124E-3</v>
      </c>
      <c r="AJ9" s="92">
        <v>0</v>
      </c>
      <c r="AK9" s="90">
        <v>6.0742751829718394E-4</v>
      </c>
      <c r="AL9" s="91">
        <v>2.5262478333771475E-4</v>
      </c>
      <c r="AM9" s="91">
        <v>2.3950775407101583E-4</v>
      </c>
      <c r="AN9" s="91">
        <v>3.3684947381547173E-4</v>
      </c>
      <c r="AO9" s="91">
        <v>3.0299269924816791E-4</v>
      </c>
      <c r="AP9" s="91">
        <v>2.9256633043714056E-4</v>
      </c>
      <c r="AQ9" s="91">
        <v>3.1301426725460085E-4</v>
      </c>
      <c r="AR9" s="91">
        <v>1.4486116955449409E-3</v>
      </c>
      <c r="AS9" s="91">
        <v>1.4482540236254401E-3</v>
      </c>
      <c r="AT9" s="91">
        <v>1.0226178146593653E-3</v>
      </c>
      <c r="AU9" s="91">
        <v>7.600584096257865E-4</v>
      </c>
      <c r="AV9" s="91">
        <v>3.8300560719839872E-4</v>
      </c>
      <c r="AW9" s="91">
        <v>1.6235182682527009E-4</v>
      </c>
      <c r="AX9" s="91">
        <v>1.1483015926677743E-4</v>
      </c>
      <c r="AY9" s="91">
        <v>1.1618756872083527E-4</v>
      </c>
      <c r="AZ9" s="91">
        <v>3.528032635052338E-4</v>
      </c>
      <c r="BA9" s="91">
        <v>1.0698311075437736E-3</v>
      </c>
      <c r="BB9" s="91">
        <v>4.7464717184576068E-4</v>
      </c>
      <c r="BC9" s="91">
        <v>2.965642353252161E-4</v>
      </c>
      <c r="BD9" s="91">
        <v>1.2916277709261803E-4</v>
      </c>
      <c r="BE9" s="91">
        <v>1.2273219505183774E-4</v>
      </c>
      <c r="BF9" s="91">
        <v>1.3970353920262347E-4</v>
      </c>
      <c r="BG9" s="91">
        <v>2.2459710117376649E-3</v>
      </c>
      <c r="BH9" s="91">
        <v>9.4519179132428622E-4</v>
      </c>
      <c r="BI9" s="91">
        <v>2.5937849606277588E-3</v>
      </c>
      <c r="BJ9" s="91">
        <v>1.3546983397387058E-3</v>
      </c>
      <c r="BK9" s="91">
        <v>1.8565868604136109E-4</v>
      </c>
      <c r="BL9" s="91">
        <v>6.0216007651924105E-5</v>
      </c>
      <c r="BM9" s="91">
        <v>6.7475362620439427E-5</v>
      </c>
      <c r="BN9" s="91">
        <v>2.122382394923567E-4</v>
      </c>
      <c r="BO9" s="91">
        <v>4.1788480604658954E-4</v>
      </c>
      <c r="BP9" s="91">
        <v>1.165495903735814E-4</v>
      </c>
      <c r="BQ9" s="91">
        <v>2.4321655820802531E-4</v>
      </c>
      <c r="BR9" s="91">
        <v>1.9526413239444868E-4</v>
      </c>
      <c r="BS9" s="92">
        <v>1.997562204248889E-5</v>
      </c>
    </row>
    <row r="10" spans="1:71" x14ac:dyDescent="0.35">
      <c r="A10" s="85">
        <v>9</v>
      </c>
      <c r="B10" s="90">
        <v>2.8879880702256246E-2</v>
      </c>
      <c r="C10" s="91">
        <v>1.0419689995995119E-2</v>
      </c>
      <c r="D10" s="91">
        <v>8.5085014026666222E-3</v>
      </c>
      <c r="E10" s="91">
        <v>3.8060898652334717E-2</v>
      </c>
      <c r="F10" s="91">
        <v>2.5905433902738213E-2</v>
      </c>
      <c r="G10" s="91">
        <v>2.0949179732720036E-2</v>
      </c>
      <c r="H10" s="91">
        <v>2.3447813560054685E-2</v>
      </c>
      <c r="I10" s="91">
        <v>2.74792418021731E-2</v>
      </c>
      <c r="J10" s="91">
        <v>0.15646544131111581</v>
      </c>
      <c r="K10" s="91">
        <v>0.1179405807133256</v>
      </c>
      <c r="L10" s="91">
        <v>2.2223449851340289E-2</v>
      </c>
      <c r="M10" s="91">
        <v>1.3962860566412513E-2</v>
      </c>
      <c r="N10" s="91">
        <v>8.2613326946100497E-3</v>
      </c>
      <c r="O10" s="91">
        <v>1.0388040270222993E-2</v>
      </c>
      <c r="P10" s="91">
        <v>9.090925777510965E-3</v>
      </c>
      <c r="Q10" s="91">
        <v>1.8567424819658247E-2</v>
      </c>
      <c r="R10" s="91">
        <v>3.7709631046567368E-3</v>
      </c>
      <c r="S10" s="91">
        <v>6.5677359710574947E-3</v>
      </c>
      <c r="T10" s="91">
        <v>5.9394169379141841E-3</v>
      </c>
      <c r="U10" s="91">
        <v>4.0683172086184933E-3</v>
      </c>
      <c r="V10" s="91">
        <v>2.7080801883957975E-3</v>
      </c>
      <c r="W10" s="91">
        <v>4.7997906263462778E-3</v>
      </c>
      <c r="X10" s="91">
        <v>2.3782272483438148E-3</v>
      </c>
      <c r="Y10" s="91">
        <v>1.617988209437631E-3</v>
      </c>
      <c r="Z10" s="91">
        <v>2.6329877029407263E-3</v>
      </c>
      <c r="AA10" s="91">
        <v>1.8117483834576441E-3</v>
      </c>
      <c r="AB10" s="91">
        <v>1.3685518956476992E-3</v>
      </c>
      <c r="AC10" s="91">
        <v>9.0025687089109209E-4</v>
      </c>
      <c r="AD10" s="91">
        <v>1.1173480157937404E-3</v>
      </c>
      <c r="AE10" s="91">
        <v>3.4518572489555042E-3</v>
      </c>
      <c r="AF10" s="91">
        <v>3.0024704879527703E-3</v>
      </c>
      <c r="AG10" s="91">
        <v>1.9178651625932895E-3</v>
      </c>
      <c r="AH10" s="91">
        <v>3.0186372653980293E-2</v>
      </c>
      <c r="AI10" s="91">
        <v>6.8623984915611395E-3</v>
      </c>
      <c r="AJ10" s="92">
        <v>0</v>
      </c>
      <c r="AK10" s="90">
        <v>3.6023873640392543E-3</v>
      </c>
      <c r="AL10" s="91">
        <v>1.0235336714736142E-3</v>
      </c>
      <c r="AM10" s="91">
        <v>8.6812584638427893E-4</v>
      </c>
      <c r="AN10" s="91">
        <v>3.7824921923480131E-3</v>
      </c>
      <c r="AO10" s="91">
        <v>3.0166378532913182E-3</v>
      </c>
      <c r="AP10" s="91">
        <v>2.5913284630184031E-3</v>
      </c>
      <c r="AQ10" s="91">
        <v>3.1544066748819136E-3</v>
      </c>
      <c r="AR10" s="91">
        <v>1.4969635036419405E-3</v>
      </c>
      <c r="AS10" s="91">
        <v>1.9541667156533472E-2</v>
      </c>
      <c r="AT10" s="91">
        <v>1.8168531766541752E-2</v>
      </c>
      <c r="AU10" s="91">
        <v>2.8389614531193785E-3</v>
      </c>
      <c r="AV10" s="91">
        <v>1.1180631498076004E-3</v>
      </c>
      <c r="AW10" s="91">
        <v>8.2596932832248971E-4</v>
      </c>
      <c r="AX10" s="91">
        <v>1.2342979120023114E-3</v>
      </c>
      <c r="AY10" s="91">
        <v>8.863300425471706E-4</v>
      </c>
      <c r="AZ10" s="91">
        <v>2.5464484158207157E-3</v>
      </c>
      <c r="BA10" s="91">
        <v>1.0081843812363496E-3</v>
      </c>
      <c r="BB10" s="91">
        <v>1.1190026716095224E-3</v>
      </c>
      <c r="BC10" s="91">
        <v>5.7373779111735733E-4</v>
      </c>
      <c r="BD10" s="91">
        <v>2.5782189540074301E-4</v>
      </c>
      <c r="BE10" s="91">
        <v>1.7678862296505795E-4</v>
      </c>
      <c r="BF10" s="91">
        <v>3.2701398670719709E-4</v>
      </c>
      <c r="BG10" s="91">
        <v>3.7223460106826492E-4</v>
      </c>
      <c r="BH10" s="91">
        <v>2.3333101415367352E-4</v>
      </c>
      <c r="BI10" s="91">
        <v>4.0923979128413906E-4</v>
      </c>
      <c r="BJ10" s="91">
        <v>1.1504965259806416E-3</v>
      </c>
      <c r="BK10" s="91">
        <v>1.0460007470344163E-4</v>
      </c>
      <c r="BL10" s="91">
        <v>9.7647251647406765E-5</v>
      </c>
      <c r="BM10" s="91">
        <v>2.6707304430722152E-4</v>
      </c>
      <c r="BN10" s="91">
        <v>4.8316358609554693E-4</v>
      </c>
      <c r="BO10" s="91">
        <v>9.1647325401673734E-4</v>
      </c>
      <c r="BP10" s="91">
        <v>4.5423049166601055E-4</v>
      </c>
      <c r="BQ10" s="91">
        <v>4.6155853140255176E-3</v>
      </c>
      <c r="BR10" s="91">
        <v>7.894712537925713E-4</v>
      </c>
      <c r="BS10" s="92">
        <v>4.4001950871547917E-5</v>
      </c>
    </row>
    <row r="11" spans="1:71" x14ac:dyDescent="0.35">
      <c r="A11" s="85">
        <v>10</v>
      </c>
      <c r="B11" s="90">
        <v>4.4186014312703808E-3</v>
      </c>
      <c r="C11" s="91">
        <v>5.2042490073178132E-3</v>
      </c>
      <c r="D11" s="91">
        <v>1.4745933357925095E-2</v>
      </c>
      <c r="E11" s="91">
        <v>1.109895037503229E-2</v>
      </c>
      <c r="F11" s="91">
        <v>3.558169402196925E-2</v>
      </c>
      <c r="G11" s="91">
        <v>7.7080728865813967E-3</v>
      </c>
      <c r="H11" s="91">
        <v>9.849494117992753E-3</v>
      </c>
      <c r="I11" s="91">
        <v>1.6702972904643378E-2</v>
      </c>
      <c r="J11" s="91">
        <v>1.5312714990712038E-2</v>
      </c>
      <c r="K11" s="91">
        <v>0.10289981347423938</v>
      </c>
      <c r="L11" s="91">
        <v>9.1613655734867541E-3</v>
      </c>
      <c r="M11" s="91">
        <v>8.9432247323067478E-3</v>
      </c>
      <c r="N11" s="91">
        <v>2.1629677079709388E-2</v>
      </c>
      <c r="O11" s="91">
        <v>2.1459113540925178E-2</v>
      </c>
      <c r="P11" s="91">
        <v>3.6313596584346082E-2</v>
      </c>
      <c r="Q11" s="91">
        <v>2.6836457078579467E-2</v>
      </c>
      <c r="R11" s="91">
        <v>2.4154304821644508E-3</v>
      </c>
      <c r="S11" s="91">
        <v>1.970630991846543E-2</v>
      </c>
      <c r="T11" s="91">
        <v>1.2301236675410082E-2</v>
      </c>
      <c r="U11" s="91">
        <v>5.8340056486213794E-3</v>
      </c>
      <c r="V11" s="91">
        <v>5.3585135809351946E-3</v>
      </c>
      <c r="W11" s="91">
        <v>1.7908155427123909E-3</v>
      </c>
      <c r="X11" s="91">
        <v>8.932900373962915E-3</v>
      </c>
      <c r="Y11" s="91">
        <v>6.6883357145272691E-4</v>
      </c>
      <c r="Z11" s="91">
        <v>1.4114045490110675E-3</v>
      </c>
      <c r="AA11" s="91">
        <v>3.5825652006674161E-3</v>
      </c>
      <c r="AB11" s="91">
        <v>4.260904688399402E-3</v>
      </c>
      <c r="AC11" s="91">
        <v>5.8300677755035489E-4</v>
      </c>
      <c r="AD11" s="91">
        <v>9.0271996345669145E-4</v>
      </c>
      <c r="AE11" s="91">
        <v>2.1552741082481843E-3</v>
      </c>
      <c r="AF11" s="91">
        <v>1.4650930332595383E-3</v>
      </c>
      <c r="AG11" s="91">
        <v>7.6089894137075075E-4</v>
      </c>
      <c r="AH11" s="91">
        <v>2.1577969232444991E-3</v>
      </c>
      <c r="AI11" s="91">
        <v>3.0541885348957885E-3</v>
      </c>
      <c r="AJ11" s="92">
        <v>0</v>
      </c>
      <c r="AK11" s="90">
        <v>1.8507596321562725E-4</v>
      </c>
      <c r="AL11" s="91">
        <v>1.7399405672269554E-4</v>
      </c>
      <c r="AM11" s="91">
        <v>8.3843337182655671E-4</v>
      </c>
      <c r="AN11" s="91">
        <v>6.6328142715828525E-4</v>
      </c>
      <c r="AO11" s="91">
        <v>1.6653701046239876E-3</v>
      </c>
      <c r="AP11" s="91">
        <v>2.8346436768972826E-4</v>
      </c>
      <c r="AQ11" s="91">
        <v>7.4757560955604377E-4</v>
      </c>
      <c r="AR11" s="91">
        <v>1.1610784237297748E-4</v>
      </c>
      <c r="AS11" s="91">
        <v>7.9048563983834567E-4</v>
      </c>
      <c r="AT11" s="91">
        <v>5.6902297013978467E-3</v>
      </c>
      <c r="AU11" s="91">
        <v>6.2287565493744711E-4</v>
      </c>
      <c r="AV11" s="91">
        <v>2.9883558216027339E-4</v>
      </c>
      <c r="AW11" s="91">
        <v>8.4934519952660113E-4</v>
      </c>
      <c r="AX11" s="91">
        <v>9.5758843979052062E-4</v>
      </c>
      <c r="AY11" s="91">
        <v>1.6602967045322094E-3</v>
      </c>
      <c r="AZ11" s="91">
        <v>2.0635796290787759E-3</v>
      </c>
      <c r="BA11" s="91">
        <v>1.4541918761177831E-4</v>
      </c>
      <c r="BB11" s="91">
        <v>7.3966194258018282E-4</v>
      </c>
      <c r="BC11" s="91">
        <v>3.7723674824526304E-4</v>
      </c>
      <c r="BD11" s="91">
        <v>1.9822281923650748E-4</v>
      </c>
      <c r="BE11" s="91">
        <v>1.8823448653158202E-4</v>
      </c>
      <c r="BF11" s="91">
        <v>1.5473662272478994E-4</v>
      </c>
      <c r="BG11" s="91">
        <v>6.823941974351068E-4</v>
      </c>
      <c r="BH11" s="91">
        <v>1.2332305823373288E-4</v>
      </c>
      <c r="BI11" s="91">
        <v>4.2499638471534532E-4</v>
      </c>
      <c r="BJ11" s="91">
        <v>4.8006284903542781E-4</v>
      </c>
      <c r="BK11" s="91">
        <v>1.5170227809516599E-4</v>
      </c>
      <c r="BL11" s="91">
        <v>1.6784024242811714E-5</v>
      </c>
      <c r="BM11" s="91">
        <v>6.2189234504842001E-5</v>
      </c>
      <c r="BN11" s="91">
        <v>1.2995960870175018E-4</v>
      </c>
      <c r="BO11" s="91">
        <v>8.3165939728006789E-5</v>
      </c>
      <c r="BP11" s="91">
        <v>7.604140445486119E-5</v>
      </c>
      <c r="BQ11" s="91">
        <v>2.0446272147980427E-4</v>
      </c>
      <c r="BR11" s="91">
        <v>2.5496763586381976E-4</v>
      </c>
      <c r="BS11" s="92">
        <v>2.2191365451826358E-5</v>
      </c>
    </row>
    <row r="12" spans="1:71" x14ac:dyDescent="0.35">
      <c r="A12" s="85">
        <v>11</v>
      </c>
      <c r="B12" s="90">
        <v>3.1289931382638358E-3</v>
      </c>
      <c r="C12" s="91">
        <v>1.183418760729993E-2</v>
      </c>
      <c r="D12" s="91">
        <v>6.0584864946639366E-3</v>
      </c>
      <c r="E12" s="91">
        <v>2.2121058304453746E-3</v>
      </c>
      <c r="F12" s="91">
        <v>1.3191678483980352E-3</v>
      </c>
      <c r="G12" s="91">
        <v>8.2444401150333184E-3</v>
      </c>
      <c r="H12" s="91">
        <v>1.2341328625536823E-3</v>
      </c>
      <c r="I12" s="91">
        <v>2.102471529295896E-3</v>
      </c>
      <c r="J12" s="91">
        <v>5.2453089507066217E-3</v>
      </c>
      <c r="K12" s="91">
        <v>6.2716295987466078E-3</v>
      </c>
      <c r="L12" s="91">
        <v>0.1127591116497664</v>
      </c>
      <c r="M12" s="91">
        <v>7.149513819170809E-3</v>
      </c>
      <c r="N12" s="91">
        <v>4.0020317771120072E-3</v>
      </c>
      <c r="O12" s="91">
        <v>6.4509502679967858E-3</v>
      </c>
      <c r="P12" s="91">
        <v>5.9911020169993385E-3</v>
      </c>
      <c r="Q12" s="91">
        <v>6.4917619816139381E-3</v>
      </c>
      <c r="R12" s="91">
        <v>2.0422899943782135E-3</v>
      </c>
      <c r="S12" s="91">
        <v>6.0486673584164756E-2</v>
      </c>
      <c r="T12" s="91">
        <v>2.9921044437408602E-3</v>
      </c>
      <c r="U12" s="91">
        <v>1.8910603083192286E-3</v>
      </c>
      <c r="V12" s="91">
        <v>1.3875988960922324E-3</v>
      </c>
      <c r="W12" s="91">
        <v>2.9879932824071159E-3</v>
      </c>
      <c r="X12" s="91">
        <v>1.312465258770555E-3</v>
      </c>
      <c r="Y12" s="91">
        <v>3.3687186195749814E-4</v>
      </c>
      <c r="Z12" s="91">
        <v>3.9074257585996423E-4</v>
      </c>
      <c r="AA12" s="91">
        <v>1.0764200292349751E-3</v>
      </c>
      <c r="AB12" s="91">
        <v>1.6637023475301398E-3</v>
      </c>
      <c r="AC12" s="91">
        <v>1.9218286999126465E-4</v>
      </c>
      <c r="AD12" s="91">
        <v>2.0160985379057516E-3</v>
      </c>
      <c r="AE12" s="91">
        <v>9.7722373748000582E-4</v>
      </c>
      <c r="AF12" s="91">
        <v>1.0064934374165286E-3</v>
      </c>
      <c r="AG12" s="91">
        <v>1.0671391855719794E-3</v>
      </c>
      <c r="AH12" s="91">
        <v>1.0947102087050945E-3</v>
      </c>
      <c r="AI12" s="91">
        <v>2.2224596933818242E-3</v>
      </c>
      <c r="AJ12" s="92">
        <v>0</v>
      </c>
      <c r="AK12" s="90">
        <v>3.4409192468615239E-5</v>
      </c>
      <c r="AL12" s="91">
        <v>9.1699378350698933E-5</v>
      </c>
      <c r="AM12" s="91">
        <v>1.31813692005327E-4</v>
      </c>
      <c r="AN12" s="91">
        <v>7.259246156724982E-5</v>
      </c>
      <c r="AO12" s="91">
        <v>4.6954928470186949E-5</v>
      </c>
      <c r="AP12" s="91">
        <v>1.2744777820194536E-4</v>
      </c>
      <c r="AQ12" s="91">
        <v>3.9005881520767999E-5</v>
      </c>
      <c r="AR12" s="91">
        <v>1.4660063100084786E-4</v>
      </c>
      <c r="AS12" s="91">
        <v>1.6274057886566401E-4</v>
      </c>
      <c r="AT12" s="91">
        <v>1.6918922631897846E-4</v>
      </c>
      <c r="AU12" s="91">
        <v>3.5527879636507208E-3</v>
      </c>
      <c r="AV12" s="91">
        <v>2.7632705085945097E-4</v>
      </c>
      <c r="AW12" s="91">
        <v>1.506498883393042E-4</v>
      </c>
      <c r="AX12" s="91">
        <v>1.6770834758742873E-4</v>
      </c>
      <c r="AY12" s="91">
        <v>1.8019783570194688E-4</v>
      </c>
      <c r="AZ12" s="91">
        <v>4.954335675998136E-4</v>
      </c>
      <c r="BA12" s="91">
        <v>7.1408493155879338E-5</v>
      </c>
      <c r="BB12" s="91">
        <v>2.766398884028362E-3</v>
      </c>
      <c r="BC12" s="91">
        <v>1.4736051373818302E-4</v>
      </c>
      <c r="BD12" s="91">
        <v>4.2345256676779022E-5</v>
      </c>
      <c r="BE12" s="91">
        <v>4.1554272984014268E-5</v>
      </c>
      <c r="BF12" s="91">
        <v>1.0819324471589382E-4</v>
      </c>
      <c r="BG12" s="91">
        <v>7.7443296923596249E-5</v>
      </c>
      <c r="BH12" s="91">
        <v>1.2907428321259989E-5</v>
      </c>
      <c r="BI12" s="91">
        <v>6.2034740821294672E-5</v>
      </c>
      <c r="BJ12" s="91">
        <v>1.4197280761627835E-4</v>
      </c>
      <c r="BK12" s="91">
        <v>3.0761748278908297E-5</v>
      </c>
      <c r="BL12" s="91">
        <v>6.201770090943074E-6</v>
      </c>
      <c r="BM12" s="91">
        <v>8.5771905020756391E-5</v>
      </c>
      <c r="BN12" s="91">
        <v>3.4233325610959157E-5</v>
      </c>
      <c r="BO12" s="91">
        <v>4.517608230869697E-5</v>
      </c>
      <c r="BP12" s="91">
        <v>3.9319194782084763E-5</v>
      </c>
      <c r="BQ12" s="91">
        <v>7.4599363140575073E-5</v>
      </c>
      <c r="BR12" s="91">
        <v>6.0003038740967033E-5</v>
      </c>
      <c r="BS12" s="92">
        <v>1.2543384690446016E-5</v>
      </c>
    </row>
    <row r="13" spans="1:71" x14ac:dyDescent="0.35">
      <c r="A13" s="85">
        <v>12</v>
      </c>
      <c r="B13" s="90">
        <v>7.0702938164434043E-3</v>
      </c>
      <c r="C13" s="91">
        <v>2.7316262844014248E-2</v>
      </c>
      <c r="D13" s="91">
        <v>9.3936215804927472E-3</v>
      </c>
      <c r="E13" s="91">
        <v>6.6383905566041292E-3</v>
      </c>
      <c r="F13" s="91">
        <v>1.1758513985246435E-2</v>
      </c>
      <c r="G13" s="91">
        <v>2.0456406780629752E-2</v>
      </c>
      <c r="H13" s="91">
        <v>6.4865464127625474E-3</v>
      </c>
      <c r="I13" s="91">
        <v>1.2609781699501188E-2</v>
      </c>
      <c r="J13" s="91">
        <v>1.2562475756852123E-2</v>
      </c>
      <c r="K13" s="91">
        <v>2.3874265692706682E-2</v>
      </c>
      <c r="L13" s="91">
        <v>2.2359209224355643E-2</v>
      </c>
      <c r="M13" s="91">
        <v>0.2675698482696765</v>
      </c>
      <c r="N13" s="91">
        <v>0.13077317706155636</v>
      </c>
      <c r="O13" s="91">
        <v>5.5925282707010894E-2</v>
      </c>
      <c r="P13" s="91">
        <v>8.4551227918556709E-2</v>
      </c>
      <c r="Q13" s="91">
        <v>9.2301014207973819E-2</v>
      </c>
      <c r="R13" s="91">
        <v>9.1339173905491435E-3</v>
      </c>
      <c r="S13" s="91">
        <v>4.7047021841830683E-2</v>
      </c>
      <c r="T13" s="91">
        <v>1.1128960749234305E-2</v>
      </c>
      <c r="U13" s="91">
        <v>4.4427037720312663E-3</v>
      </c>
      <c r="V13" s="91">
        <v>3.388758385904838E-3</v>
      </c>
      <c r="W13" s="91">
        <v>1.9752124446574199E-3</v>
      </c>
      <c r="X13" s="91">
        <v>4.4616022894417998E-3</v>
      </c>
      <c r="Y13" s="91">
        <v>1.5568644455666242E-3</v>
      </c>
      <c r="Z13" s="91">
        <v>1.9932385997969049E-3</v>
      </c>
      <c r="AA13" s="91">
        <v>4.4680379789652355E-3</v>
      </c>
      <c r="AB13" s="91">
        <v>2.0640849145444414E-3</v>
      </c>
      <c r="AC13" s="91">
        <v>5.5983719017659776E-4</v>
      </c>
      <c r="AD13" s="91">
        <v>1.5367938553714892E-3</v>
      </c>
      <c r="AE13" s="91">
        <v>2.6728985322951294E-3</v>
      </c>
      <c r="AF13" s="91">
        <v>3.2938073699855866E-3</v>
      </c>
      <c r="AG13" s="91">
        <v>1.4880586438832328E-3</v>
      </c>
      <c r="AH13" s="91">
        <v>1.5009338467333029E-3</v>
      </c>
      <c r="AI13" s="91">
        <v>4.420650840786103E-3</v>
      </c>
      <c r="AJ13" s="92">
        <v>0</v>
      </c>
      <c r="AK13" s="90">
        <v>2.2999104137245088E-4</v>
      </c>
      <c r="AL13" s="91">
        <v>5.720962376957431E-4</v>
      </c>
      <c r="AM13" s="91">
        <v>4.2209372716461429E-4</v>
      </c>
      <c r="AN13" s="91">
        <v>2.4238687969791218E-4</v>
      </c>
      <c r="AO13" s="91">
        <v>4.6017358874514891E-4</v>
      </c>
      <c r="AP13" s="91">
        <v>5.6512807557512008E-4</v>
      </c>
      <c r="AQ13" s="91">
        <v>3.9826621415413099E-4</v>
      </c>
      <c r="AR13" s="91">
        <v>2.3185086795560715E-4</v>
      </c>
      <c r="AS13" s="91">
        <v>5.2374945862433057E-4</v>
      </c>
      <c r="AT13" s="91">
        <v>9.8942963806325263E-4</v>
      </c>
      <c r="AU13" s="91">
        <v>1.5417091495675927E-3</v>
      </c>
      <c r="AV13" s="91">
        <v>1.1084037439206303E-2</v>
      </c>
      <c r="AW13" s="91">
        <v>6.0982107185434181E-3</v>
      </c>
      <c r="AX13" s="91">
        <v>2.3567046042116515E-3</v>
      </c>
      <c r="AY13" s="91">
        <v>3.5921792562823864E-3</v>
      </c>
      <c r="AZ13" s="91">
        <v>3.3720930071734732E-3</v>
      </c>
      <c r="BA13" s="91">
        <v>3.2731426491276375E-4</v>
      </c>
      <c r="BB13" s="91">
        <v>4.003947092585794E-3</v>
      </c>
      <c r="BC13" s="91">
        <v>5.9409056968082663E-4</v>
      </c>
      <c r="BD13" s="91">
        <v>1.3403885618461467E-4</v>
      </c>
      <c r="BE13" s="91">
        <v>1.2580873352232346E-4</v>
      </c>
      <c r="BF13" s="91">
        <v>1.2656610960691745E-4</v>
      </c>
      <c r="BG13" s="91">
        <v>3.5166284190882888E-4</v>
      </c>
      <c r="BH13" s="91">
        <v>1.6626144293596149E-4</v>
      </c>
      <c r="BI13" s="91">
        <v>2.6604983665539918E-4</v>
      </c>
      <c r="BJ13" s="91">
        <v>6.3788831115245588E-4</v>
      </c>
      <c r="BK13" s="91">
        <v>1.1028441475067035E-4</v>
      </c>
      <c r="BL13" s="91">
        <v>3.55810870686935E-5</v>
      </c>
      <c r="BM13" s="91">
        <v>1.230184931413872E-4</v>
      </c>
      <c r="BN13" s="91">
        <v>1.5020974125375667E-4</v>
      </c>
      <c r="BO13" s="91">
        <v>1.29538071251749E-4</v>
      </c>
      <c r="BP13" s="91">
        <v>1.0255015038290753E-4</v>
      </c>
      <c r="BQ13" s="91">
        <v>1.0171706412467024E-4</v>
      </c>
      <c r="BR13" s="91">
        <v>1.5400935269555498E-4</v>
      </c>
      <c r="BS13" s="92">
        <v>2.5106555630034627E-5</v>
      </c>
    </row>
    <row r="14" spans="1:71" x14ac:dyDescent="0.35">
      <c r="A14" s="85">
        <v>13</v>
      </c>
      <c r="B14" s="90">
        <v>1.2373954839525253E-2</v>
      </c>
      <c r="C14" s="91">
        <v>2.6457870619037684E-2</v>
      </c>
      <c r="D14" s="91">
        <v>5.1044365684443779E-3</v>
      </c>
      <c r="E14" s="91">
        <v>7.888389347812233E-3</v>
      </c>
      <c r="F14" s="91">
        <v>5.8295478784722975E-3</v>
      </c>
      <c r="G14" s="91">
        <v>8.9495036313678288E-3</v>
      </c>
      <c r="H14" s="91">
        <v>7.1121086893226344E-3</v>
      </c>
      <c r="I14" s="91">
        <v>8.2332927631487817E-3</v>
      </c>
      <c r="J14" s="91">
        <v>6.9362649930551547E-3</v>
      </c>
      <c r="K14" s="91">
        <v>1.324928848987922E-2</v>
      </c>
      <c r="L14" s="91">
        <v>1.4227642659929086E-2</v>
      </c>
      <c r="M14" s="91">
        <v>1.7395087449533317E-2</v>
      </c>
      <c r="N14" s="91">
        <v>0.11205813136451333</v>
      </c>
      <c r="O14" s="91">
        <v>1.3779444781546678E-2</v>
      </c>
      <c r="P14" s="91">
        <v>2.8099760634265315E-2</v>
      </c>
      <c r="Q14" s="91">
        <v>1.438217709910593E-2</v>
      </c>
      <c r="R14" s="91">
        <v>8.4522936674838126E-3</v>
      </c>
      <c r="S14" s="91">
        <v>1.22534341671297E-2</v>
      </c>
      <c r="T14" s="91">
        <v>7.3768021440320155E-3</v>
      </c>
      <c r="U14" s="91">
        <v>3.1665108098579095E-3</v>
      </c>
      <c r="V14" s="91">
        <v>2.9951846740098259E-3</v>
      </c>
      <c r="W14" s="91">
        <v>2.7830172231852546E-3</v>
      </c>
      <c r="X14" s="91">
        <v>3.5636813472441587E-3</v>
      </c>
      <c r="Y14" s="91">
        <v>2.0759155104011326E-3</v>
      </c>
      <c r="Z14" s="91">
        <v>1.8090236731714874E-3</v>
      </c>
      <c r="AA14" s="91">
        <v>3.741889868118593E-3</v>
      </c>
      <c r="AB14" s="91">
        <v>2.567566523343777E-3</v>
      </c>
      <c r="AC14" s="91">
        <v>6.151647607750227E-4</v>
      </c>
      <c r="AD14" s="91">
        <v>8.7115635712525807E-4</v>
      </c>
      <c r="AE14" s="91">
        <v>2.3639569709519668E-3</v>
      </c>
      <c r="AF14" s="91">
        <v>1.229225051150191E-2</v>
      </c>
      <c r="AG14" s="91">
        <v>7.1236827709026719E-4</v>
      </c>
      <c r="AH14" s="91">
        <v>2.0732966103111277E-3</v>
      </c>
      <c r="AI14" s="91">
        <v>3.3999710624005074E-3</v>
      </c>
      <c r="AJ14" s="92">
        <v>0</v>
      </c>
      <c r="AK14" s="90">
        <v>5.2388245251257237E-4</v>
      </c>
      <c r="AL14" s="91">
        <v>1.2186918705704871E-3</v>
      </c>
      <c r="AM14" s="91">
        <v>3.102486347818703E-4</v>
      </c>
      <c r="AN14" s="91">
        <v>6.9016351570917647E-4</v>
      </c>
      <c r="AO14" s="91">
        <v>5.0393880469829476E-4</v>
      </c>
      <c r="AP14" s="91">
        <v>7.0003989054952958E-4</v>
      </c>
      <c r="AQ14" s="91">
        <v>5.6335713576630359E-4</v>
      </c>
      <c r="AR14" s="91">
        <v>5.3449491611223755E-4</v>
      </c>
      <c r="AS14" s="91">
        <v>6.2186718626867563E-4</v>
      </c>
      <c r="AT14" s="91">
        <v>7.8998488613924746E-4</v>
      </c>
      <c r="AU14" s="91">
        <v>1.4208521807726703E-3</v>
      </c>
      <c r="AV14" s="91">
        <v>1.5192173334064815E-3</v>
      </c>
      <c r="AW14" s="91">
        <v>9.5557761847385424E-3</v>
      </c>
      <c r="AX14" s="91">
        <v>1.0409751538699088E-3</v>
      </c>
      <c r="AY14" s="91">
        <v>3.0476509997423877E-3</v>
      </c>
      <c r="AZ14" s="91">
        <v>8.4530456058469743E-4</v>
      </c>
      <c r="BA14" s="91">
        <v>7.1291205760809473E-4</v>
      </c>
      <c r="BB14" s="91">
        <v>1.6408429978759386E-3</v>
      </c>
      <c r="BC14" s="91">
        <v>2.0987815077210281E-3</v>
      </c>
      <c r="BD14" s="91">
        <v>2.1121827759879711E-4</v>
      </c>
      <c r="BE14" s="91">
        <v>2.0978077684423509E-4</v>
      </c>
      <c r="BF14" s="91">
        <v>1.7019232363372851E-4</v>
      </c>
      <c r="BG14" s="91">
        <v>4.9126182422908678E-4</v>
      </c>
      <c r="BH14" s="91">
        <v>5.8962202054899072E-4</v>
      </c>
      <c r="BI14" s="91">
        <v>5.9754060128048799E-4</v>
      </c>
      <c r="BJ14" s="91">
        <v>1.2051898773817007E-3</v>
      </c>
      <c r="BK14" s="91">
        <v>1.5650796712616752E-4</v>
      </c>
      <c r="BL14" s="91">
        <v>9.2675362978164808E-5</v>
      </c>
      <c r="BM14" s="91">
        <v>2.0888797138549263E-4</v>
      </c>
      <c r="BN14" s="91">
        <v>2.4672643983508367E-4</v>
      </c>
      <c r="BO14" s="91">
        <v>3.9180103963678392E-4</v>
      </c>
      <c r="BP14" s="91">
        <v>3.1232769341752728E-4</v>
      </c>
      <c r="BQ14" s="91">
        <v>2.8434132982469525E-4</v>
      </c>
      <c r="BR14" s="91">
        <v>2.935483155011831E-4</v>
      </c>
      <c r="BS14" s="92">
        <v>1.6787565346223439E-5</v>
      </c>
    </row>
    <row r="15" spans="1:71" x14ac:dyDescent="0.35">
      <c r="A15" s="85">
        <v>14</v>
      </c>
      <c r="B15" s="90">
        <v>2.1590325569299279E-3</v>
      </c>
      <c r="C15" s="91">
        <v>7.6478272136194852E-3</v>
      </c>
      <c r="D15" s="91">
        <v>3.2278722608427182E-3</v>
      </c>
      <c r="E15" s="91">
        <v>3.8320070944038967E-3</v>
      </c>
      <c r="F15" s="91">
        <v>4.5582976952193025E-3</v>
      </c>
      <c r="G15" s="91">
        <v>4.1468565967564307E-3</v>
      </c>
      <c r="H15" s="91">
        <v>5.3100672405782716E-3</v>
      </c>
      <c r="I15" s="91">
        <v>8.3664116451110711E-3</v>
      </c>
      <c r="J15" s="91">
        <v>7.1962859063942923E-3</v>
      </c>
      <c r="K15" s="91">
        <v>7.5561037378405757E-3</v>
      </c>
      <c r="L15" s="91">
        <v>6.6053699450391024E-3</v>
      </c>
      <c r="M15" s="91">
        <v>1.2139097112455026E-2</v>
      </c>
      <c r="N15" s="91">
        <v>5.39925725868012E-2</v>
      </c>
      <c r="O15" s="91">
        <v>0.17882661199087466</v>
      </c>
      <c r="P15" s="91">
        <v>4.3402771787873676E-2</v>
      </c>
      <c r="Q15" s="91">
        <v>1.0543838088709168E-2</v>
      </c>
      <c r="R15" s="91">
        <v>1.7258364027532634E-2</v>
      </c>
      <c r="S15" s="91">
        <v>2.8526400012669918E-2</v>
      </c>
      <c r="T15" s="91">
        <v>9.8013197285382221E-3</v>
      </c>
      <c r="U15" s="91">
        <v>6.6048350938145584E-3</v>
      </c>
      <c r="V15" s="91">
        <v>5.0582270128249219E-3</v>
      </c>
      <c r="W15" s="91">
        <v>3.7656488737832384E-3</v>
      </c>
      <c r="X15" s="91">
        <v>5.888525906143376E-3</v>
      </c>
      <c r="Y15" s="91">
        <v>2.1912715296440598E-3</v>
      </c>
      <c r="Z15" s="91">
        <v>3.286760409504313E-3</v>
      </c>
      <c r="AA15" s="91">
        <v>5.9391408964745949E-3</v>
      </c>
      <c r="AB15" s="91">
        <v>2.7814172577717556E-2</v>
      </c>
      <c r="AC15" s="91">
        <v>2.0522569639552222E-3</v>
      </c>
      <c r="AD15" s="91">
        <v>1.3146759630975945E-3</v>
      </c>
      <c r="AE15" s="91">
        <v>8.504298865164954E-3</v>
      </c>
      <c r="AF15" s="91">
        <v>9.6661428264870879E-3</v>
      </c>
      <c r="AG15" s="91">
        <v>3.4801205322288259E-3</v>
      </c>
      <c r="AH15" s="91">
        <v>1.7366394917903993E-2</v>
      </c>
      <c r="AI15" s="91">
        <v>6.6600055643827464E-3</v>
      </c>
      <c r="AJ15" s="92">
        <v>0</v>
      </c>
      <c r="AK15" s="90">
        <v>2.9907857019435629E-4</v>
      </c>
      <c r="AL15" s="91">
        <v>8.8128343342576735E-4</v>
      </c>
      <c r="AM15" s="91">
        <v>3.7702645794845968E-4</v>
      </c>
      <c r="AN15" s="91">
        <v>5.988297843394604E-4</v>
      </c>
      <c r="AO15" s="91">
        <v>5.6323798261747888E-4</v>
      </c>
      <c r="AP15" s="91">
        <v>5.0320652023779042E-4</v>
      </c>
      <c r="AQ15" s="91">
        <v>7.3367137432994094E-4</v>
      </c>
      <c r="AR15" s="91">
        <v>4.2420310557817723E-4</v>
      </c>
      <c r="AS15" s="91">
        <v>1.5053033428873899E-3</v>
      </c>
      <c r="AT15" s="91">
        <v>1.2247559322710829E-3</v>
      </c>
      <c r="AU15" s="91">
        <v>1.4013522847887172E-3</v>
      </c>
      <c r="AV15" s="91">
        <v>1.3896271068305744E-3</v>
      </c>
      <c r="AW15" s="91">
        <v>6.4506941596715077E-3</v>
      </c>
      <c r="AX15" s="91">
        <v>1.5730691954313269E-2</v>
      </c>
      <c r="AY15" s="91">
        <v>4.8036632967086226E-3</v>
      </c>
      <c r="AZ15" s="91">
        <v>2.2486506500970379E-3</v>
      </c>
      <c r="BA15" s="91">
        <v>4.272967904002882E-3</v>
      </c>
      <c r="BB15" s="91">
        <v>2.9387186145087259E-3</v>
      </c>
      <c r="BC15" s="91">
        <v>1.5579952184629703E-3</v>
      </c>
      <c r="BD15" s="91">
        <v>5.8603444197062181E-4</v>
      </c>
      <c r="BE15" s="91">
        <v>4.2495159172591552E-4</v>
      </c>
      <c r="BF15" s="91">
        <v>2.6088538735396231E-4</v>
      </c>
      <c r="BG15" s="91">
        <v>9.3786443868776109E-4</v>
      </c>
      <c r="BH15" s="91">
        <v>3.7216075513337251E-4</v>
      </c>
      <c r="BI15" s="91">
        <v>6.4226606348822906E-4</v>
      </c>
      <c r="BJ15" s="91">
        <v>1.8214532467703201E-3</v>
      </c>
      <c r="BK15" s="91">
        <v>2.5008138857560295E-3</v>
      </c>
      <c r="BL15" s="91">
        <v>2.3877541624584873E-4</v>
      </c>
      <c r="BM15" s="91">
        <v>2.3881714316228246E-4</v>
      </c>
      <c r="BN15" s="91">
        <v>1.4908686016502997E-3</v>
      </c>
      <c r="BO15" s="91">
        <v>9.0661136128214253E-4</v>
      </c>
      <c r="BP15" s="91">
        <v>2.4693133977117324E-3</v>
      </c>
      <c r="BQ15" s="91">
        <v>1.8481052263285538E-3</v>
      </c>
      <c r="BR15" s="91">
        <v>1.2032437455824982E-3</v>
      </c>
      <c r="BS15" s="92">
        <v>3.1355255321484365E-4</v>
      </c>
    </row>
    <row r="16" spans="1:71" x14ac:dyDescent="0.35">
      <c r="A16" s="85">
        <v>15</v>
      </c>
      <c r="B16" s="90">
        <v>2.6039791339975849E-3</v>
      </c>
      <c r="C16" s="91">
        <v>4.3816256708772488E-3</v>
      </c>
      <c r="D16" s="91">
        <v>1.6872041356116481E-3</v>
      </c>
      <c r="E16" s="91">
        <v>2.6194416056935666E-3</v>
      </c>
      <c r="F16" s="91">
        <v>2.4157522707719571E-3</v>
      </c>
      <c r="G16" s="91">
        <v>1.9897467076506886E-3</v>
      </c>
      <c r="H16" s="91">
        <v>1.5369405362530833E-3</v>
      </c>
      <c r="I16" s="91">
        <v>1.8389201953138508E-3</v>
      </c>
      <c r="J16" s="91">
        <v>2.2978252340590606E-3</v>
      </c>
      <c r="K16" s="91">
        <v>3.7871457324768513E-3</v>
      </c>
      <c r="L16" s="91">
        <v>3.1326212544248895E-3</v>
      </c>
      <c r="M16" s="91">
        <v>5.1249263072838131E-3</v>
      </c>
      <c r="N16" s="91">
        <v>1.1369736545415699E-2</v>
      </c>
      <c r="O16" s="91">
        <v>4.4135210344218474E-3</v>
      </c>
      <c r="P16" s="91">
        <v>0.22681889692707191</v>
      </c>
      <c r="Q16" s="91">
        <v>7.1654590333543296E-3</v>
      </c>
      <c r="R16" s="91">
        <v>1.2287573073108088E-3</v>
      </c>
      <c r="S16" s="91">
        <v>2.1499895569718707E-3</v>
      </c>
      <c r="T16" s="91">
        <v>6.2198610798059037E-2</v>
      </c>
      <c r="U16" s="91">
        <v>2.8705286989657987E-3</v>
      </c>
      <c r="V16" s="91">
        <v>1.849921853325244E-3</v>
      </c>
      <c r="W16" s="91">
        <v>1.2630383108758803E-3</v>
      </c>
      <c r="X16" s="91">
        <v>1.6521764818493639E-2</v>
      </c>
      <c r="Y16" s="91">
        <v>1.1060025865691802E-2</v>
      </c>
      <c r="Z16" s="91">
        <v>3.7954185888722812E-2</v>
      </c>
      <c r="AA16" s="91">
        <v>5.3449156835915944E-3</v>
      </c>
      <c r="AB16" s="91">
        <v>1.3592902884921512E-3</v>
      </c>
      <c r="AC16" s="91">
        <v>8.1720505544422375E-4</v>
      </c>
      <c r="AD16" s="91">
        <v>3.9901394204505756E-4</v>
      </c>
      <c r="AE16" s="91">
        <v>2.3487508090021029E-3</v>
      </c>
      <c r="AF16" s="91">
        <v>1.2196908184948377E-2</v>
      </c>
      <c r="AG16" s="91">
        <v>5.4943511250014876E-4</v>
      </c>
      <c r="AH16" s="91">
        <v>1.4044044758703658E-3</v>
      </c>
      <c r="AI16" s="91">
        <v>2.5943160129971356E-3</v>
      </c>
      <c r="AJ16" s="92">
        <v>0</v>
      </c>
      <c r="AK16" s="90">
        <v>5.8680487690881966E-4</v>
      </c>
      <c r="AL16" s="91">
        <v>3.5261919754207496E-4</v>
      </c>
      <c r="AM16" s="91">
        <v>1.3510411257711537E-4</v>
      </c>
      <c r="AN16" s="91">
        <v>1.8010784015039233E-4</v>
      </c>
      <c r="AO16" s="91">
        <v>1.4438319635694171E-4</v>
      </c>
      <c r="AP16" s="91">
        <v>3.0708265060302298E-4</v>
      </c>
      <c r="AQ16" s="91">
        <v>2.1802719146561209E-4</v>
      </c>
      <c r="AR16" s="91">
        <v>9.1921426854353841E-5</v>
      </c>
      <c r="AS16" s="91">
        <v>1.6979406967508983E-4</v>
      </c>
      <c r="AT16" s="91">
        <v>2.6190654906627661E-4</v>
      </c>
      <c r="AU16" s="91">
        <v>5.2717414074279138E-4</v>
      </c>
      <c r="AV16" s="91">
        <v>4.1484536627008165E-4</v>
      </c>
      <c r="AW16" s="91">
        <v>1.3202619507889349E-3</v>
      </c>
      <c r="AX16" s="91">
        <v>2.6924471899177576E-4</v>
      </c>
      <c r="AY16" s="91">
        <v>1.8337503806367398E-2</v>
      </c>
      <c r="AZ16" s="91">
        <v>3.9878756746848621E-4</v>
      </c>
      <c r="BA16" s="91">
        <v>3.967615475170885E-4</v>
      </c>
      <c r="BB16" s="91">
        <v>6.070272908184494E-4</v>
      </c>
      <c r="BC16" s="91">
        <v>3.0992816604930654E-3</v>
      </c>
      <c r="BD16" s="91">
        <v>5.5330604636401543E-4</v>
      </c>
      <c r="BE16" s="91">
        <v>4.6732147214235313E-4</v>
      </c>
      <c r="BF16" s="91">
        <v>2.3903050589717747E-4</v>
      </c>
      <c r="BG16" s="91">
        <v>3.6713389294370808E-3</v>
      </c>
      <c r="BH16" s="91">
        <v>5.2766051384485028E-3</v>
      </c>
      <c r="BI16" s="91">
        <v>4.75832364612704E-3</v>
      </c>
      <c r="BJ16" s="91">
        <v>4.1000521817825715E-3</v>
      </c>
      <c r="BK16" s="91">
        <v>3.5598740872395528E-4</v>
      </c>
      <c r="BL16" s="91">
        <v>1.4278344317092013E-4</v>
      </c>
      <c r="BM16" s="91">
        <v>1.8092247571926216E-4</v>
      </c>
      <c r="BN16" s="91">
        <v>3.3237416712628826E-4</v>
      </c>
      <c r="BO16" s="91">
        <v>1.5517585474004386E-3</v>
      </c>
      <c r="BP16" s="91">
        <v>2.4613332788457799E-4</v>
      </c>
      <c r="BQ16" s="91">
        <v>1.0661153362118599E-4</v>
      </c>
      <c r="BR16" s="91">
        <v>5.7086814455903107E-4</v>
      </c>
      <c r="BS16" s="92">
        <v>5.8628284042223486E-5</v>
      </c>
    </row>
    <row r="17" spans="1:71" x14ac:dyDescent="0.35">
      <c r="A17" s="85">
        <v>16</v>
      </c>
      <c r="B17" s="90">
        <v>6.3420414304330493E-4</v>
      </c>
      <c r="C17" s="91">
        <v>1.0126623647088279E-3</v>
      </c>
      <c r="D17" s="91">
        <v>1.2316190586125798E-3</v>
      </c>
      <c r="E17" s="91">
        <v>3.7733002807525894E-3</v>
      </c>
      <c r="F17" s="91">
        <v>3.0176328949557806E-3</v>
      </c>
      <c r="G17" s="91">
        <v>3.8570620815655226E-3</v>
      </c>
      <c r="H17" s="91">
        <v>4.3072248567859132E-3</v>
      </c>
      <c r="I17" s="91">
        <v>1.7191404089344623E-3</v>
      </c>
      <c r="J17" s="91">
        <v>1.5430513320301984E-3</v>
      </c>
      <c r="K17" s="91">
        <v>3.9992879317147529E-3</v>
      </c>
      <c r="L17" s="91">
        <v>4.4526410241531051E-3</v>
      </c>
      <c r="M17" s="91">
        <v>1.9997232279382542E-2</v>
      </c>
      <c r="N17" s="91">
        <v>3.7812424328855722E-3</v>
      </c>
      <c r="O17" s="91">
        <v>2.3066271791640017E-3</v>
      </c>
      <c r="P17" s="91">
        <v>5.0728810835677755E-3</v>
      </c>
      <c r="Q17" s="91">
        <v>4.7950097397914379E-2</v>
      </c>
      <c r="R17" s="91">
        <v>8.6435883935931086E-4</v>
      </c>
      <c r="S17" s="91">
        <v>2.9775820663406976E-3</v>
      </c>
      <c r="T17" s="91">
        <v>1.5559014004812609E-3</v>
      </c>
      <c r="U17" s="91">
        <v>1.4819565535475478E-3</v>
      </c>
      <c r="V17" s="91">
        <v>1.7032103046751206E-3</v>
      </c>
      <c r="W17" s="91">
        <v>2.217284472341837E-3</v>
      </c>
      <c r="X17" s="91">
        <v>1.1317526467349692E-3</v>
      </c>
      <c r="Y17" s="91">
        <v>1.0672780110016994E-3</v>
      </c>
      <c r="Z17" s="91">
        <v>2.3884489255766002E-3</v>
      </c>
      <c r="AA17" s="91">
        <v>1.1838068815963334E-3</v>
      </c>
      <c r="AB17" s="91">
        <v>7.347166436973702E-4</v>
      </c>
      <c r="AC17" s="91">
        <v>5.3293127200356621E-4</v>
      </c>
      <c r="AD17" s="91">
        <v>3.8558302948129224E-4</v>
      </c>
      <c r="AE17" s="91">
        <v>1.2284815880052034E-3</v>
      </c>
      <c r="AF17" s="91">
        <v>1.5574183005799501E-3</v>
      </c>
      <c r="AG17" s="91">
        <v>1.6217647647610526E-3</v>
      </c>
      <c r="AH17" s="91">
        <v>1.3013238646779693E-3</v>
      </c>
      <c r="AI17" s="91">
        <v>5.8345237366019681E-3</v>
      </c>
      <c r="AJ17" s="92">
        <v>0</v>
      </c>
      <c r="AK17" s="90">
        <v>3.1735513517113665E-5</v>
      </c>
      <c r="AL17" s="91">
        <v>3.0259607400190521E-5</v>
      </c>
      <c r="AM17" s="91">
        <v>4.0326310090401625E-5</v>
      </c>
      <c r="AN17" s="91">
        <v>4.5149531160753757E-4</v>
      </c>
      <c r="AO17" s="91">
        <v>1.3036824585463519E-4</v>
      </c>
      <c r="AP17" s="91">
        <v>7.0862798204168425E-5</v>
      </c>
      <c r="AQ17" s="91">
        <v>8.6619813017041608E-5</v>
      </c>
      <c r="AR17" s="91">
        <v>4.148253013441718E-5</v>
      </c>
      <c r="AS17" s="91">
        <v>9.2185420505523942E-5</v>
      </c>
      <c r="AT17" s="91">
        <v>9.9459499860255412E-5</v>
      </c>
      <c r="AU17" s="91">
        <v>1.14113881669633E-4</v>
      </c>
      <c r="AV17" s="91">
        <v>1.915256448667032E-4</v>
      </c>
      <c r="AW17" s="91">
        <v>1.9074331268346647E-4</v>
      </c>
      <c r="AX17" s="91">
        <v>8.7634830640889643E-5</v>
      </c>
      <c r="AY17" s="91">
        <v>1.9621618188133438E-4</v>
      </c>
      <c r="AZ17" s="91">
        <v>6.3679641690799474E-3</v>
      </c>
      <c r="BA17" s="91">
        <v>1.9891667603932466E-4</v>
      </c>
      <c r="BB17" s="91">
        <v>1.969049726843638E-4</v>
      </c>
      <c r="BC17" s="91">
        <v>5.4741939196843971E-5</v>
      </c>
      <c r="BD17" s="91">
        <v>3.3232816806462592E-5</v>
      </c>
      <c r="BE17" s="91">
        <v>5.4153860807945616E-5</v>
      </c>
      <c r="BF17" s="91">
        <v>1.0345265125265211E-4</v>
      </c>
      <c r="BG17" s="91">
        <v>4.1446984104499753E-4</v>
      </c>
      <c r="BH17" s="91">
        <v>2.7201505020074658E-5</v>
      </c>
      <c r="BI17" s="91">
        <v>1.7682519848171438E-4</v>
      </c>
      <c r="BJ17" s="91">
        <v>9.6768708204697854E-5</v>
      </c>
      <c r="BK17" s="91">
        <v>1.0657716533161624E-4</v>
      </c>
      <c r="BL17" s="91">
        <v>4.0577200572568185E-5</v>
      </c>
      <c r="BM17" s="91">
        <v>6.8925372735003691E-5</v>
      </c>
      <c r="BN17" s="91">
        <v>5.8259568941671958E-5</v>
      </c>
      <c r="BO17" s="91">
        <v>6.5318589455912236E-5</v>
      </c>
      <c r="BP17" s="91">
        <v>1.5338982249655863E-4</v>
      </c>
      <c r="BQ17" s="91">
        <v>6.5717106920262243E-5</v>
      </c>
      <c r="BR17" s="91">
        <v>1.8199980709282456E-4</v>
      </c>
      <c r="BS17" s="92">
        <v>6.4734788737035823E-4</v>
      </c>
    </row>
    <row r="18" spans="1:71" x14ac:dyDescent="0.35">
      <c r="A18" s="85">
        <v>17</v>
      </c>
      <c r="B18" s="90">
        <v>1.5679135223615998E-2</v>
      </c>
      <c r="C18" s="91">
        <v>4.6355004560784868E-2</v>
      </c>
      <c r="D18" s="91">
        <v>1.7583780481325598E-2</v>
      </c>
      <c r="E18" s="91">
        <v>2.100157187028805E-2</v>
      </c>
      <c r="F18" s="91">
        <v>1.1360391701156861E-2</v>
      </c>
      <c r="G18" s="91">
        <v>1.7028143248673702E-2</v>
      </c>
      <c r="H18" s="91">
        <v>2.446480203587701E-2</v>
      </c>
      <c r="I18" s="91">
        <v>1.9326011857964155E-2</v>
      </c>
      <c r="J18" s="91">
        <v>2.3856207464902194E-2</v>
      </c>
      <c r="K18" s="91">
        <v>2.2221369886258713E-2</v>
      </c>
      <c r="L18" s="91">
        <v>4.4577033710635511E-2</v>
      </c>
      <c r="M18" s="91">
        <v>2.4651800425613189E-2</v>
      </c>
      <c r="N18" s="91">
        <v>1.1661134125562843E-2</v>
      </c>
      <c r="O18" s="91">
        <v>8.229456630394991E-3</v>
      </c>
      <c r="P18" s="91">
        <v>9.48287506659291E-3</v>
      </c>
      <c r="Q18" s="91">
        <v>1.1731700090918021E-2</v>
      </c>
      <c r="R18" s="91">
        <v>0.21293331428102402</v>
      </c>
      <c r="S18" s="91">
        <v>4.4734255016073907E-3</v>
      </c>
      <c r="T18" s="91">
        <v>1.0452794306636103E-2</v>
      </c>
      <c r="U18" s="91">
        <v>7.5838450448443857E-3</v>
      </c>
      <c r="V18" s="91">
        <v>1.7294636691709234E-2</v>
      </c>
      <c r="W18" s="91">
        <v>1.5986746752074375E-2</v>
      </c>
      <c r="X18" s="91">
        <v>1.2323611773405197E-2</v>
      </c>
      <c r="Y18" s="91">
        <v>2.9818665803180038E-3</v>
      </c>
      <c r="Z18" s="91">
        <v>3.3550674415586687E-3</v>
      </c>
      <c r="AA18" s="91">
        <v>9.5165883670893566E-3</v>
      </c>
      <c r="AB18" s="91">
        <v>8.4464902769883828E-3</v>
      </c>
      <c r="AC18" s="91">
        <v>4.3612160010638194E-3</v>
      </c>
      <c r="AD18" s="91">
        <v>6.8681817495013214E-3</v>
      </c>
      <c r="AE18" s="91">
        <v>5.4598084482463515E-3</v>
      </c>
      <c r="AF18" s="91">
        <v>1.4363163929870889E-2</v>
      </c>
      <c r="AG18" s="91">
        <v>1.3277278489851243E-2</v>
      </c>
      <c r="AH18" s="91">
        <v>1.0395109331183133E-2</v>
      </c>
      <c r="AI18" s="91">
        <v>1.5740279759578282E-2</v>
      </c>
      <c r="AJ18" s="92">
        <v>0</v>
      </c>
      <c r="AK18" s="90">
        <v>3.7756275291958157E-5</v>
      </c>
      <c r="AL18" s="91">
        <v>7.1543996225380594E-5</v>
      </c>
      <c r="AM18" s="91">
        <v>8.2069374454499461E-5</v>
      </c>
      <c r="AN18" s="91">
        <v>8.6316700278776351E-5</v>
      </c>
      <c r="AO18" s="91">
        <v>7.0329077186158747E-5</v>
      </c>
      <c r="AP18" s="91">
        <v>8.3028293893153322E-5</v>
      </c>
      <c r="AQ18" s="91">
        <v>1.3040165647874987E-4</v>
      </c>
      <c r="AR18" s="91">
        <v>2.4783387069023246E-4</v>
      </c>
      <c r="AS18" s="91">
        <v>1.2849260684576544E-4</v>
      </c>
      <c r="AT18" s="91">
        <v>8.5382687019391873E-5</v>
      </c>
      <c r="AU18" s="91">
        <v>1.6972209354451569E-4</v>
      </c>
      <c r="AV18" s="91">
        <v>1.2232068250236979E-4</v>
      </c>
      <c r="AW18" s="91">
        <v>1.2706258075500807E-4</v>
      </c>
      <c r="AX18" s="91">
        <v>6.6143707965995283E-5</v>
      </c>
      <c r="AY18" s="91">
        <v>8.0983500599533255E-5</v>
      </c>
      <c r="AZ18" s="91">
        <v>8.3414477916387561E-5</v>
      </c>
      <c r="BA18" s="91">
        <v>5.387226594974568E-4</v>
      </c>
      <c r="BB18" s="91">
        <v>5.0197635096927726E-5</v>
      </c>
      <c r="BC18" s="91">
        <v>8.0625714850021863E-5</v>
      </c>
      <c r="BD18" s="91">
        <v>5.4164852499940952E-5</v>
      </c>
      <c r="BE18" s="91">
        <v>7.5335827639147113E-5</v>
      </c>
      <c r="BF18" s="91">
        <v>8.0853404333803086E-5</v>
      </c>
      <c r="BG18" s="91">
        <v>7.9172265603585492E-5</v>
      </c>
      <c r="BH18" s="91">
        <v>3.2904474136051495E-5</v>
      </c>
      <c r="BI18" s="91">
        <v>5.3209987013511732E-5</v>
      </c>
      <c r="BJ18" s="91">
        <v>1.2388140463716975E-4</v>
      </c>
      <c r="BK18" s="91">
        <v>5.5102834769841137E-5</v>
      </c>
      <c r="BL18" s="91">
        <v>5.1931776542531993E-5</v>
      </c>
      <c r="BM18" s="91">
        <v>3.4902149626247446E-5</v>
      </c>
      <c r="BN18" s="91">
        <v>5.8602305828761213E-5</v>
      </c>
      <c r="BO18" s="91">
        <v>8.1160606509741697E-5</v>
      </c>
      <c r="BP18" s="91">
        <v>1.5024790969430805E-4</v>
      </c>
      <c r="BQ18" s="91">
        <v>7.2012986006516738E-5</v>
      </c>
      <c r="BR18" s="91">
        <v>7.7730978042894411E-5</v>
      </c>
      <c r="BS18" s="92">
        <v>8.0511989826225794E-6</v>
      </c>
    </row>
    <row r="19" spans="1:71" x14ac:dyDescent="0.35">
      <c r="A19" s="85">
        <v>18</v>
      </c>
      <c r="B19" s="90">
        <v>4.3414537296088771E-3</v>
      </c>
      <c r="C19" s="91">
        <v>1.4600630471653572E-2</v>
      </c>
      <c r="D19" s="91">
        <v>3.7228354417108886E-3</v>
      </c>
      <c r="E19" s="91">
        <v>5.5885662545891663E-3</v>
      </c>
      <c r="F19" s="91">
        <v>4.2130784801739972E-3</v>
      </c>
      <c r="G19" s="91">
        <v>5.5025029957454404E-3</v>
      </c>
      <c r="H19" s="91">
        <v>4.310703278824852E-3</v>
      </c>
      <c r="I19" s="91">
        <v>8.2467638491075697E-3</v>
      </c>
      <c r="J19" s="91">
        <v>3.8741468097380654E-3</v>
      </c>
      <c r="K19" s="91">
        <v>3.2071838468197317E-3</v>
      </c>
      <c r="L19" s="91">
        <v>9.7417112387857881E-3</v>
      </c>
      <c r="M19" s="91">
        <v>6.0132124609816491E-3</v>
      </c>
      <c r="N19" s="91">
        <v>5.082666700364378E-3</v>
      </c>
      <c r="O19" s="91">
        <v>3.2903664331368813E-3</v>
      </c>
      <c r="P19" s="91">
        <v>3.1914468055768458E-3</v>
      </c>
      <c r="Q19" s="91">
        <v>5.1908655532128464E-3</v>
      </c>
      <c r="R19" s="91">
        <v>1.8130256421589459E-2</v>
      </c>
      <c r="S19" s="91">
        <v>0.14860712077638408</v>
      </c>
      <c r="T19" s="91">
        <v>7.3193881818339598E-3</v>
      </c>
      <c r="U19" s="91">
        <v>5.0974097409153237E-3</v>
      </c>
      <c r="V19" s="91">
        <v>8.7072262162308164E-3</v>
      </c>
      <c r="W19" s="91">
        <v>8.0369414296744598E-3</v>
      </c>
      <c r="X19" s="91">
        <v>5.7391456623796695E-3</v>
      </c>
      <c r="Y19" s="91">
        <v>1.9853054339462771E-3</v>
      </c>
      <c r="Z19" s="91">
        <v>2.8296918161563852E-3</v>
      </c>
      <c r="AA19" s="91">
        <v>1.8888415631473358E-2</v>
      </c>
      <c r="AB19" s="91">
        <v>1.4359228241585595E-2</v>
      </c>
      <c r="AC19" s="91">
        <v>6.0485532629832098E-3</v>
      </c>
      <c r="AD19" s="91">
        <v>5.2037043575031798E-2</v>
      </c>
      <c r="AE19" s="91">
        <v>7.2356056245721006E-3</v>
      </c>
      <c r="AF19" s="91">
        <v>2.1894338567571212E-2</v>
      </c>
      <c r="AG19" s="91">
        <v>7.9202668673817068E-3</v>
      </c>
      <c r="AH19" s="91">
        <v>6.8447524118584319E-3</v>
      </c>
      <c r="AI19" s="91">
        <v>1.2638142241168888E-2</v>
      </c>
      <c r="AJ19" s="92">
        <v>0</v>
      </c>
      <c r="AK19" s="90">
        <v>2.4491632915771015E-5</v>
      </c>
      <c r="AL19" s="91">
        <v>4.4174056259448151E-5</v>
      </c>
      <c r="AM19" s="91">
        <v>2.8378112083985927E-5</v>
      </c>
      <c r="AN19" s="91">
        <v>2.6967920590823375E-5</v>
      </c>
      <c r="AO19" s="91">
        <v>1.83779214748316E-5</v>
      </c>
      <c r="AP19" s="91">
        <v>3.5558903632174859E-5</v>
      </c>
      <c r="AQ19" s="91">
        <v>2.6509609949867266E-5</v>
      </c>
      <c r="AR19" s="91">
        <v>5.5751175543842438E-5</v>
      </c>
      <c r="AS19" s="91">
        <v>4.3396611389935175E-5</v>
      </c>
      <c r="AT19" s="91">
        <v>3.2855847124026637E-5</v>
      </c>
      <c r="AU19" s="91">
        <v>8.134398761403871E-5</v>
      </c>
      <c r="AV19" s="91">
        <v>5.3310725179209565E-5</v>
      </c>
      <c r="AW19" s="91">
        <v>1.0383813787018126E-4</v>
      </c>
      <c r="AX19" s="91">
        <v>5.7948407134846867E-5</v>
      </c>
      <c r="AY19" s="91">
        <v>5.6430658109946916E-5</v>
      </c>
      <c r="AZ19" s="91">
        <v>1.0763534607665385E-4</v>
      </c>
      <c r="BA19" s="91">
        <v>1.0850009791676031E-4</v>
      </c>
      <c r="BB19" s="91">
        <v>1.3002119847482928E-4</v>
      </c>
      <c r="BC19" s="91">
        <v>2.4665435098483182E-4</v>
      </c>
      <c r="BD19" s="91">
        <v>6.4185688118034039E-5</v>
      </c>
      <c r="BE19" s="91">
        <v>4.1572498775012714E-5</v>
      </c>
      <c r="BF19" s="91">
        <v>6.8949142522607479E-5</v>
      </c>
      <c r="BG19" s="91">
        <v>6.6760810951088512E-5</v>
      </c>
      <c r="BH19" s="91">
        <v>3.6854585800349557E-5</v>
      </c>
      <c r="BI19" s="91">
        <v>8.9006649417142371E-5</v>
      </c>
      <c r="BJ19" s="91">
        <v>2.6592138110905124E-4</v>
      </c>
      <c r="BK19" s="91">
        <v>1.1639423568575192E-4</v>
      </c>
      <c r="BL19" s="91">
        <v>3.8467474611859534E-5</v>
      </c>
      <c r="BM19" s="91">
        <v>3.0352150332121989E-4</v>
      </c>
      <c r="BN19" s="91">
        <v>3.1052054521236206E-5</v>
      </c>
      <c r="BO19" s="91">
        <v>6.8874500618879743E-5</v>
      </c>
      <c r="BP19" s="91">
        <v>9.8676141219082626E-5</v>
      </c>
      <c r="BQ19" s="91">
        <v>1.1476970095373166E-4</v>
      </c>
      <c r="BR19" s="91">
        <v>8.3666729451575594E-5</v>
      </c>
      <c r="BS19" s="92">
        <v>8.0160324078189067E-6</v>
      </c>
    </row>
    <row r="20" spans="1:71" x14ac:dyDescent="0.35">
      <c r="A20" s="85">
        <v>19</v>
      </c>
      <c r="B20" s="90">
        <v>9.2189200639834941E-3</v>
      </c>
      <c r="C20" s="91">
        <v>6.9034366781583955E-3</v>
      </c>
      <c r="D20" s="91">
        <v>1.1511876860440065E-2</v>
      </c>
      <c r="E20" s="91">
        <v>1.2856070217755609E-2</v>
      </c>
      <c r="F20" s="91">
        <v>1.6857296439960305E-2</v>
      </c>
      <c r="G20" s="91">
        <v>9.7491197369654042E-3</v>
      </c>
      <c r="H20" s="91">
        <v>7.8846579442651242E-3</v>
      </c>
      <c r="I20" s="91">
        <v>6.8542904705796576E-3</v>
      </c>
      <c r="J20" s="91">
        <v>9.7724345592852986E-3</v>
      </c>
      <c r="K20" s="91">
        <v>9.6723647115970202E-3</v>
      </c>
      <c r="L20" s="91">
        <v>9.8190557294282315E-3</v>
      </c>
      <c r="M20" s="91">
        <v>8.8280421889443978E-3</v>
      </c>
      <c r="N20" s="91">
        <v>8.710453505170173E-3</v>
      </c>
      <c r="O20" s="91">
        <v>7.0625239145127028E-3</v>
      </c>
      <c r="P20" s="91">
        <v>1.0699000453068711E-2</v>
      </c>
      <c r="Q20" s="91">
        <v>1.2128596450356485E-2</v>
      </c>
      <c r="R20" s="91">
        <v>3.9001629310751349E-3</v>
      </c>
      <c r="S20" s="91">
        <v>8.8144896943643629E-3</v>
      </c>
      <c r="T20" s="91">
        <v>1.9500847953695548E-2</v>
      </c>
      <c r="U20" s="91">
        <v>6.2923785842169712E-3</v>
      </c>
      <c r="V20" s="91">
        <v>7.4832379817825288E-3</v>
      </c>
      <c r="W20" s="91">
        <v>9.7913421457367002E-3</v>
      </c>
      <c r="X20" s="91">
        <v>2.2878621815526027E-2</v>
      </c>
      <c r="Y20" s="91">
        <v>3.1645843045680529E-3</v>
      </c>
      <c r="Z20" s="91">
        <v>4.8619654807196206E-3</v>
      </c>
      <c r="AA20" s="91">
        <v>9.0134458404700964E-3</v>
      </c>
      <c r="AB20" s="91">
        <v>3.3937404966695776E-3</v>
      </c>
      <c r="AC20" s="91">
        <v>2.5907781923117904E-3</v>
      </c>
      <c r="AD20" s="91">
        <v>8.4467066394352597E-4</v>
      </c>
      <c r="AE20" s="91">
        <v>4.2607979922081049E-3</v>
      </c>
      <c r="AF20" s="91">
        <v>5.6635665858124134E-3</v>
      </c>
      <c r="AG20" s="91">
        <v>2.4428929219361801E-3</v>
      </c>
      <c r="AH20" s="91">
        <v>4.8862473685959019E-3</v>
      </c>
      <c r="AI20" s="91">
        <v>5.8653911448603982E-3</v>
      </c>
      <c r="AJ20" s="92">
        <v>0</v>
      </c>
      <c r="AK20" s="90">
        <v>4.6823077258784821E-5</v>
      </c>
      <c r="AL20" s="91">
        <v>3.2779032904647884E-5</v>
      </c>
      <c r="AM20" s="91">
        <v>8.7672842308747311E-5</v>
      </c>
      <c r="AN20" s="91">
        <v>5.2667877264272268E-5</v>
      </c>
      <c r="AO20" s="91">
        <v>6.1156112823296396E-5</v>
      </c>
      <c r="AP20" s="91">
        <v>3.7797410835436327E-5</v>
      </c>
      <c r="AQ20" s="91">
        <v>4.5089516617777422E-5</v>
      </c>
      <c r="AR20" s="91">
        <v>4.8486064953045637E-5</v>
      </c>
      <c r="AS20" s="91">
        <v>4.5732083934240338E-5</v>
      </c>
      <c r="AT20" s="91">
        <v>5.6556096733046241E-5</v>
      </c>
      <c r="AU20" s="91">
        <v>7.2629890050594667E-5</v>
      </c>
      <c r="AV20" s="91">
        <v>4.7767631858670304E-5</v>
      </c>
      <c r="AW20" s="91">
        <v>4.4227588614146758E-5</v>
      </c>
      <c r="AX20" s="91">
        <v>3.0742729116361191E-5</v>
      </c>
      <c r="AY20" s="91">
        <v>8.1861903852331746E-5</v>
      </c>
      <c r="AZ20" s="91">
        <v>1.5065573007046941E-4</v>
      </c>
      <c r="BA20" s="91">
        <v>6.6515967455978552E-5</v>
      </c>
      <c r="BB20" s="91">
        <v>5.6868646442379618E-5</v>
      </c>
      <c r="BC20" s="91">
        <v>4.7424036665516352E-5</v>
      </c>
      <c r="BD20" s="91">
        <v>4.3852925772044067E-5</v>
      </c>
      <c r="BE20" s="91">
        <v>3.3908055641992581E-5</v>
      </c>
      <c r="BF20" s="91">
        <v>3.6491662124810411E-5</v>
      </c>
      <c r="BG20" s="91">
        <v>1.161851659670804E-4</v>
      </c>
      <c r="BH20" s="91">
        <v>6.4867161140267106E-5</v>
      </c>
      <c r="BI20" s="91">
        <v>8.7645100699074369E-5</v>
      </c>
      <c r="BJ20" s="91">
        <v>1.1943633125164714E-4</v>
      </c>
      <c r="BK20" s="91">
        <v>3.2497961196402735E-5</v>
      </c>
      <c r="BL20" s="91">
        <v>2.7168867424834843E-5</v>
      </c>
      <c r="BM20" s="91">
        <v>1.8403614832147562E-5</v>
      </c>
      <c r="BN20" s="91">
        <v>2.2141659685605245E-5</v>
      </c>
      <c r="BO20" s="91">
        <v>3.3915392949512775E-5</v>
      </c>
      <c r="BP20" s="91">
        <v>3.73484825082027E-5</v>
      </c>
      <c r="BQ20" s="91">
        <v>2.3413368664660463E-5</v>
      </c>
      <c r="BR20" s="91">
        <v>3.4123968903043773E-5</v>
      </c>
      <c r="BS20" s="92">
        <v>1.9165769055138999E-5</v>
      </c>
    </row>
    <row r="21" spans="1:71" x14ac:dyDescent="0.35">
      <c r="A21" s="85">
        <v>20</v>
      </c>
      <c r="B21" s="90">
        <v>3.5162144238797863E-2</v>
      </c>
      <c r="C21" s="91">
        <v>2.282180466813935E-2</v>
      </c>
      <c r="D21" s="91">
        <v>6.2717007027518007E-2</v>
      </c>
      <c r="E21" s="91">
        <v>6.8896656726655389E-2</v>
      </c>
      <c r="F21" s="91">
        <v>8.1781229139758049E-2</v>
      </c>
      <c r="G21" s="91">
        <v>4.8166293781795405E-2</v>
      </c>
      <c r="H21" s="91">
        <v>4.5456450520509423E-2</v>
      </c>
      <c r="I21" s="91">
        <v>4.281122290640367E-2</v>
      </c>
      <c r="J21" s="91">
        <v>5.6108545957752852E-2</v>
      </c>
      <c r="K21" s="91">
        <v>5.4318689039044098E-2</v>
      </c>
      <c r="L21" s="91">
        <v>4.8028146467029985E-2</v>
      </c>
      <c r="M21" s="91">
        <v>4.8480610189060955E-2</v>
      </c>
      <c r="N21" s="91">
        <v>4.9860479048536056E-2</v>
      </c>
      <c r="O21" s="91">
        <v>4.0948610208749778E-2</v>
      </c>
      <c r="P21" s="91">
        <v>5.0294995382245189E-2</v>
      </c>
      <c r="Q21" s="91">
        <v>6.0034299149062623E-2</v>
      </c>
      <c r="R21" s="91">
        <v>1.4324290418830115E-2</v>
      </c>
      <c r="S21" s="91">
        <v>3.1435449617840831E-2</v>
      </c>
      <c r="T21" s="91">
        <v>2.9250599804505333E-2</v>
      </c>
      <c r="U21" s="91">
        <v>4.458475827632051E-2</v>
      </c>
      <c r="V21" s="91">
        <v>1.4665532214388958E-2</v>
      </c>
      <c r="W21" s="91">
        <v>4.004184456669993E-2</v>
      </c>
      <c r="X21" s="91">
        <v>2.0526095808874455E-2</v>
      </c>
      <c r="Y21" s="91">
        <v>1.5204015742149459E-2</v>
      </c>
      <c r="Z21" s="91">
        <v>2.1978195492042756E-2</v>
      </c>
      <c r="AA21" s="91">
        <v>1.3392818973885086E-2</v>
      </c>
      <c r="AB21" s="91">
        <v>1.1240522796949625E-2</v>
      </c>
      <c r="AC21" s="91">
        <v>3.8220602300270308E-3</v>
      </c>
      <c r="AD21" s="91">
        <v>3.2838164848038262E-3</v>
      </c>
      <c r="AE21" s="91">
        <v>1.1748277552969729E-2</v>
      </c>
      <c r="AF21" s="91">
        <v>1.1583110705820311E-2</v>
      </c>
      <c r="AG21" s="91">
        <v>6.3231587926729973E-3</v>
      </c>
      <c r="AH21" s="91">
        <v>1.9724328891970053E-2</v>
      </c>
      <c r="AI21" s="91">
        <v>1.4273512403590082E-2</v>
      </c>
      <c r="AJ21" s="92">
        <v>0</v>
      </c>
      <c r="AK21" s="90">
        <v>5.6018259800866591E-4</v>
      </c>
      <c r="AL21" s="91">
        <v>5.055178153414193E-4</v>
      </c>
      <c r="AM21" s="91">
        <v>8.5929393311681788E-4</v>
      </c>
      <c r="AN21" s="91">
        <v>7.5668335566241897E-4</v>
      </c>
      <c r="AO21" s="91">
        <v>1.4559927522139902E-3</v>
      </c>
      <c r="AP21" s="91">
        <v>5.5269464671463351E-4</v>
      </c>
      <c r="AQ21" s="91">
        <v>5.9192531880649778E-4</v>
      </c>
      <c r="AR21" s="91">
        <v>7.1601178766994241E-4</v>
      </c>
      <c r="AS21" s="91">
        <v>7.7473029754677872E-4</v>
      </c>
      <c r="AT21" s="91">
        <v>9.0809257581268897E-4</v>
      </c>
      <c r="AU21" s="91">
        <v>8.6179058172766796E-4</v>
      </c>
      <c r="AV21" s="91">
        <v>7.6352236803649655E-4</v>
      </c>
      <c r="AW21" s="91">
        <v>7.8908565114912163E-4</v>
      </c>
      <c r="AX21" s="91">
        <v>6.4178223165202929E-4</v>
      </c>
      <c r="AY21" s="91">
        <v>5.7310057667761289E-4</v>
      </c>
      <c r="AZ21" s="91">
        <v>1.0565594734584813E-3</v>
      </c>
      <c r="BA21" s="91">
        <v>9.1645732787550189E-4</v>
      </c>
      <c r="BB21" s="91">
        <v>7.6647922730123602E-4</v>
      </c>
      <c r="BC21" s="91">
        <v>4.8496040548173677E-4</v>
      </c>
      <c r="BD21" s="91">
        <v>3.89975074551081E-4</v>
      </c>
      <c r="BE21" s="91">
        <v>2.5016464274996771E-4</v>
      </c>
      <c r="BF21" s="91">
        <v>3.2648391754670108E-4</v>
      </c>
      <c r="BG21" s="91">
        <v>6.8232599822796807E-4</v>
      </c>
      <c r="BH21" s="91">
        <v>5.62765668489477E-4</v>
      </c>
      <c r="BI21" s="91">
        <v>1.0279404966221149E-3</v>
      </c>
      <c r="BJ21" s="91">
        <v>1.1095129726466087E-3</v>
      </c>
      <c r="BK21" s="91">
        <v>2.8282574419300952E-4</v>
      </c>
      <c r="BL21" s="91">
        <v>2.3965865383570296E-4</v>
      </c>
      <c r="BM21" s="91">
        <v>2.2726488861774322E-4</v>
      </c>
      <c r="BN21" s="91">
        <v>2.1159363989473195E-4</v>
      </c>
      <c r="BO21" s="91">
        <v>2.6075338380195762E-4</v>
      </c>
      <c r="BP21" s="91">
        <v>3.3399397843226635E-4</v>
      </c>
      <c r="BQ21" s="91">
        <v>2.8585329978998659E-4</v>
      </c>
      <c r="BR21" s="91">
        <v>2.6418066723816043E-4</v>
      </c>
      <c r="BS21" s="92">
        <v>7.8874938956032708E-5</v>
      </c>
    </row>
    <row r="22" spans="1:71" x14ac:dyDescent="0.35">
      <c r="A22" s="85">
        <v>21</v>
      </c>
      <c r="B22" s="90">
        <v>2.7666799582746298E-2</v>
      </c>
      <c r="C22" s="91">
        <v>1.6781184920379812E-2</v>
      </c>
      <c r="D22" s="91">
        <v>4.613817904113128E-2</v>
      </c>
      <c r="E22" s="91">
        <v>5.2518910207677419E-2</v>
      </c>
      <c r="F22" s="91">
        <v>6.5356893847349759E-2</v>
      </c>
      <c r="G22" s="91">
        <v>3.3520123136158798E-2</v>
      </c>
      <c r="H22" s="91">
        <v>3.029733299918198E-2</v>
      </c>
      <c r="I22" s="91">
        <v>2.8539762037106148E-2</v>
      </c>
      <c r="J22" s="91">
        <v>3.9566363975135389E-2</v>
      </c>
      <c r="K22" s="91">
        <v>3.8380199278649246E-2</v>
      </c>
      <c r="L22" s="91">
        <v>3.2614503575533839E-2</v>
      </c>
      <c r="M22" s="91">
        <v>3.2520670451462189E-2</v>
      </c>
      <c r="N22" s="91">
        <v>3.3568897534138498E-2</v>
      </c>
      <c r="O22" s="91">
        <v>2.8482255410580574E-2</v>
      </c>
      <c r="P22" s="91">
        <v>3.8459726209641068E-2</v>
      </c>
      <c r="Q22" s="91">
        <v>4.3557907593920919E-2</v>
      </c>
      <c r="R22" s="91">
        <v>9.9878873199224175E-3</v>
      </c>
      <c r="S22" s="91">
        <v>2.3194397462139416E-2</v>
      </c>
      <c r="T22" s="91">
        <v>1.7669041967177307E-2</v>
      </c>
      <c r="U22" s="91">
        <v>8.8990843903428967E-3</v>
      </c>
      <c r="V22" s="91">
        <v>1.0471649183037788E-2</v>
      </c>
      <c r="W22" s="91">
        <v>3.5134768278345933E-2</v>
      </c>
      <c r="X22" s="91">
        <v>1.2495968244004434E-2</v>
      </c>
      <c r="Y22" s="91">
        <v>7.5770262156965628E-3</v>
      </c>
      <c r="Z22" s="91">
        <v>1.2685044798145244E-2</v>
      </c>
      <c r="AA22" s="91">
        <v>6.3343288980471282E-3</v>
      </c>
      <c r="AB22" s="91">
        <v>8.5943700081941906E-3</v>
      </c>
      <c r="AC22" s="91">
        <v>2.5216797156741347E-3</v>
      </c>
      <c r="AD22" s="91">
        <v>1.4832711960119319E-3</v>
      </c>
      <c r="AE22" s="91">
        <v>5.8211968236057191E-3</v>
      </c>
      <c r="AF22" s="91">
        <v>9.6586098878510968E-3</v>
      </c>
      <c r="AG22" s="91">
        <v>5.2127968145645916E-3</v>
      </c>
      <c r="AH22" s="91">
        <v>1.7125640057378821E-2</v>
      </c>
      <c r="AI22" s="91">
        <v>1.0558683881208069E-2</v>
      </c>
      <c r="AJ22" s="92">
        <v>0</v>
      </c>
      <c r="AK22" s="90">
        <v>4.5032377283669128E-5</v>
      </c>
      <c r="AL22" s="91">
        <v>3.4002053527088541E-5</v>
      </c>
      <c r="AM22" s="91">
        <v>9.124356198697404E-5</v>
      </c>
      <c r="AN22" s="91">
        <v>1.6832804993036703E-4</v>
      </c>
      <c r="AO22" s="91">
        <v>2.2572975338982335E-4</v>
      </c>
      <c r="AP22" s="91">
        <v>5.5729659046622195E-5</v>
      </c>
      <c r="AQ22" s="91">
        <v>7.6271731989572121E-5</v>
      </c>
      <c r="AR22" s="91">
        <v>4.3762726303872234E-5</v>
      </c>
      <c r="AS22" s="91">
        <v>8.3083006325837861E-5</v>
      </c>
      <c r="AT22" s="91">
        <v>7.2613046235044037E-5</v>
      </c>
      <c r="AU22" s="91">
        <v>9.3856304909242322E-5</v>
      </c>
      <c r="AV22" s="91">
        <v>4.6019652045099203E-5</v>
      </c>
      <c r="AW22" s="91">
        <v>8.7562119693613486E-5</v>
      </c>
      <c r="AX22" s="91">
        <v>8.0220469015027365E-5</v>
      </c>
      <c r="AY22" s="91">
        <v>7.5344074566921406E-5</v>
      </c>
      <c r="AZ22" s="91">
        <v>2.6063664188667328E-4</v>
      </c>
      <c r="BA22" s="91">
        <v>7.1969669363751914E-5</v>
      </c>
      <c r="BB22" s="91">
        <v>8.2747060408280631E-5</v>
      </c>
      <c r="BC22" s="91">
        <v>5.2807961944834773E-5</v>
      </c>
      <c r="BD22" s="91">
        <v>6.2769646626080136E-5</v>
      </c>
      <c r="BE22" s="91">
        <v>3.7370548421692394E-5</v>
      </c>
      <c r="BF22" s="91">
        <v>5.3273477344811E-5</v>
      </c>
      <c r="BG22" s="91">
        <v>6.7834217196480407E-5</v>
      </c>
      <c r="BH22" s="91">
        <v>5.4873994511244171E-5</v>
      </c>
      <c r="BI22" s="91">
        <v>6.2671345790332291E-5</v>
      </c>
      <c r="BJ22" s="91">
        <v>1.1585004898207729E-4</v>
      </c>
      <c r="BK22" s="91">
        <v>4.3251540955611817E-5</v>
      </c>
      <c r="BL22" s="91">
        <v>4.2507915334056378E-5</v>
      </c>
      <c r="BM22" s="91">
        <v>2.3380918539262859E-5</v>
      </c>
      <c r="BN22" s="91">
        <v>5.2094378430778087E-5</v>
      </c>
      <c r="BO22" s="91">
        <v>3.8121732041257124E-5</v>
      </c>
      <c r="BP22" s="91">
        <v>7.3023019700862248E-5</v>
      </c>
      <c r="BQ22" s="91">
        <v>4.2452021490656937E-5</v>
      </c>
      <c r="BR22" s="91">
        <v>4.9891271058943222E-5</v>
      </c>
      <c r="BS22" s="92">
        <v>2.5384295192462775E-5</v>
      </c>
    </row>
    <row r="23" spans="1:71" x14ac:dyDescent="0.35">
      <c r="A23" s="85">
        <v>22</v>
      </c>
      <c r="B23" s="90">
        <v>6.2896192739387777E-4</v>
      </c>
      <c r="C23" s="91">
        <v>1.7529610667984692E-3</v>
      </c>
      <c r="D23" s="91">
        <v>2.2653870287707425E-3</v>
      </c>
      <c r="E23" s="91">
        <v>3.5162195485584032E-3</v>
      </c>
      <c r="F23" s="91">
        <v>5.2567043457634769E-3</v>
      </c>
      <c r="G23" s="91">
        <v>2.1505452210445609E-3</v>
      </c>
      <c r="H23" s="91">
        <v>2.1321453981385991E-3</v>
      </c>
      <c r="I23" s="91">
        <v>1.4486501454589039E-3</v>
      </c>
      <c r="J23" s="91">
        <v>2.4555193208538337E-3</v>
      </c>
      <c r="K23" s="91">
        <v>2.351446407415136E-3</v>
      </c>
      <c r="L23" s="91">
        <v>2.4574520332337688E-3</v>
      </c>
      <c r="M23" s="91">
        <v>2.2783839697682888E-3</v>
      </c>
      <c r="N23" s="91">
        <v>3.2376003540606759E-3</v>
      </c>
      <c r="O23" s="91">
        <v>2.1934446560680607E-3</v>
      </c>
      <c r="P23" s="91">
        <v>1.4236257734527532E-3</v>
      </c>
      <c r="Q23" s="91">
        <v>2.756102320121944E-3</v>
      </c>
      <c r="R23" s="91">
        <v>1.3353103075550527E-3</v>
      </c>
      <c r="S23" s="91">
        <v>2.4033072688794338E-3</v>
      </c>
      <c r="T23" s="91">
        <v>4.0808928084073784E-3</v>
      </c>
      <c r="U23" s="91">
        <v>6.9061950094622872E-3</v>
      </c>
      <c r="V23" s="91">
        <v>6.2322779797746057E-3</v>
      </c>
      <c r="W23" s="91">
        <v>7.2119523255666715E-3</v>
      </c>
      <c r="X23" s="91">
        <v>5.0733920906523358E-3</v>
      </c>
      <c r="Y23" s="91">
        <v>2.743000660707966E-3</v>
      </c>
      <c r="Z23" s="91">
        <v>1.1018015644662722E-2</v>
      </c>
      <c r="AA23" s="91">
        <v>1.6656865193665146E-2</v>
      </c>
      <c r="AB23" s="91">
        <v>2.3622209437778063E-3</v>
      </c>
      <c r="AC23" s="91">
        <v>2.5143336401815017E-3</v>
      </c>
      <c r="AD23" s="91">
        <v>1.0262882194795313E-3</v>
      </c>
      <c r="AE23" s="91">
        <v>5.6075209234815694E-3</v>
      </c>
      <c r="AF23" s="91">
        <v>3.8246104452373361E-3</v>
      </c>
      <c r="AG23" s="91">
        <v>2.7519431922357379E-3</v>
      </c>
      <c r="AH23" s="91">
        <v>4.4829219529439555E-3</v>
      </c>
      <c r="AI23" s="91">
        <v>6.4108617028029481E-3</v>
      </c>
      <c r="AJ23" s="92">
        <v>0</v>
      </c>
      <c r="AK23" s="90">
        <v>1.1842863124032658E-5</v>
      </c>
      <c r="AL23" s="91">
        <v>2.9957789475549704E-5</v>
      </c>
      <c r="AM23" s="91">
        <v>2.7743250289118778E-5</v>
      </c>
      <c r="AN23" s="91">
        <v>2.0502886049466472E-5</v>
      </c>
      <c r="AO23" s="91">
        <v>2.3667840949075169E-5</v>
      </c>
      <c r="AP23" s="91">
        <v>2.0198824580509026E-5</v>
      </c>
      <c r="AQ23" s="91">
        <v>2.8679414579394118E-5</v>
      </c>
      <c r="AR23" s="91">
        <v>2.2056397697920623E-5</v>
      </c>
      <c r="AS23" s="91">
        <v>2.7185057532947073E-5</v>
      </c>
      <c r="AT23" s="91">
        <v>2.7144027114708658E-5</v>
      </c>
      <c r="AU23" s="91">
        <v>5.4852717939827735E-5</v>
      </c>
      <c r="AV23" s="91">
        <v>2.7030459433840805E-5</v>
      </c>
      <c r="AW23" s="91">
        <v>2.9008267895933922E-5</v>
      </c>
      <c r="AX23" s="91">
        <v>1.599408468002526E-5</v>
      </c>
      <c r="AY23" s="91">
        <v>1.8150642202850371E-5</v>
      </c>
      <c r="AZ23" s="91">
        <v>1.920619855248754E-5</v>
      </c>
      <c r="BA23" s="91">
        <v>1.2407131059029211E-5</v>
      </c>
      <c r="BB23" s="91">
        <v>2.7175300205863623E-5</v>
      </c>
      <c r="BC23" s="91">
        <v>3.0506788364679439E-5</v>
      </c>
      <c r="BD23" s="91">
        <v>4.2319887640380095E-5</v>
      </c>
      <c r="BE23" s="91">
        <v>3.53074644012913E-5</v>
      </c>
      <c r="BF23" s="91">
        <v>3.0979342299328567E-5</v>
      </c>
      <c r="BG23" s="91">
        <v>1.3306928219855994E-4</v>
      </c>
      <c r="BH23" s="91">
        <v>3.5260298371675414E-5</v>
      </c>
      <c r="BI23" s="91">
        <v>1.6073020168017681E-4</v>
      </c>
      <c r="BJ23" s="91">
        <v>1.8841762467275612E-4</v>
      </c>
      <c r="BK23" s="91">
        <v>5.8832509009649183E-5</v>
      </c>
      <c r="BL23" s="91">
        <v>6.4892106626773398E-5</v>
      </c>
      <c r="BM23" s="91">
        <v>1.0970715138781916E-5</v>
      </c>
      <c r="BN23" s="91">
        <v>7.3922265589971146E-5</v>
      </c>
      <c r="BO23" s="91">
        <v>1.1127275814603036E-4</v>
      </c>
      <c r="BP23" s="91">
        <v>1.4785638961903308E-4</v>
      </c>
      <c r="BQ23" s="91">
        <v>1.205157431132438E-4</v>
      </c>
      <c r="BR23" s="91">
        <v>1.5650267692952718E-4</v>
      </c>
      <c r="BS23" s="92">
        <v>3.1097412676836487E-6</v>
      </c>
    </row>
    <row r="24" spans="1:71" x14ac:dyDescent="0.35">
      <c r="A24" s="85">
        <v>23</v>
      </c>
      <c r="B24" s="90">
        <v>8.2244388519471957E-3</v>
      </c>
      <c r="C24" s="91">
        <v>3.2844825701879521E-2</v>
      </c>
      <c r="D24" s="91">
        <v>2.033856680691051E-2</v>
      </c>
      <c r="E24" s="91">
        <v>1.9471241753695797E-2</v>
      </c>
      <c r="F24" s="91">
        <v>2.8980376877362362E-2</v>
      </c>
      <c r="G24" s="91">
        <v>2.2359939704292699E-2</v>
      </c>
      <c r="H24" s="91">
        <v>1.9734016821532665E-2</v>
      </c>
      <c r="I24" s="91">
        <v>1.5306115318990657E-2</v>
      </c>
      <c r="J24" s="91">
        <v>1.5349630476722019E-2</v>
      </c>
      <c r="K24" s="91">
        <v>1.6275905852481516E-2</v>
      </c>
      <c r="L24" s="91">
        <v>3.4438431729088122E-2</v>
      </c>
      <c r="M24" s="91">
        <v>1.5273398534124103E-2</v>
      </c>
      <c r="N24" s="91">
        <v>1.2438177514996575E-2</v>
      </c>
      <c r="O24" s="91">
        <v>8.4810617674002907E-3</v>
      </c>
      <c r="P24" s="91">
        <v>1.1449794024264198E-2</v>
      </c>
      <c r="Q24" s="91">
        <v>2.036580876857701E-2</v>
      </c>
      <c r="R24" s="91">
        <v>7.7049333977160413E-3</v>
      </c>
      <c r="S24" s="91">
        <v>8.395169828046032E-3</v>
      </c>
      <c r="T24" s="91">
        <v>2.0513874000216578E-2</v>
      </c>
      <c r="U24" s="91">
        <v>3.8945499318191648E-2</v>
      </c>
      <c r="V24" s="91">
        <v>1.6757386442714118E-2</v>
      </c>
      <c r="W24" s="91">
        <v>7.9997266420390213E-3</v>
      </c>
      <c r="X24" s="91">
        <v>5.7301764296125414E-2</v>
      </c>
      <c r="Y24" s="91">
        <v>1.1077616850149857E-2</v>
      </c>
      <c r="Z24" s="91">
        <v>1.1021334928055333E-2</v>
      </c>
      <c r="AA24" s="91">
        <v>8.105009312489489E-2</v>
      </c>
      <c r="AB24" s="91">
        <v>5.9865806945258128E-3</v>
      </c>
      <c r="AC24" s="91">
        <v>2.3479289214883379E-3</v>
      </c>
      <c r="AD24" s="91">
        <v>7.1283549725998166E-4</v>
      </c>
      <c r="AE24" s="91">
        <v>4.7530083039734857E-3</v>
      </c>
      <c r="AF24" s="91">
        <v>6.8895428811154976E-3</v>
      </c>
      <c r="AG24" s="91">
        <v>9.7283738483298285E-3</v>
      </c>
      <c r="AH24" s="91">
        <v>6.073879774690664E-3</v>
      </c>
      <c r="AI24" s="91">
        <v>6.8231328723486941E-3</v>
      </c>
      <c r="AJ24" s="92">
        <v>0</v>
      </c>
      <c r="AK24" s="90">
        <v>3.7676717256958549E-4</v>
      </c>
      <c r="AL24" s="91">
        <v>5.9611413569156792E-4</v>
      </c>
      <c r="AM24" s="91">
        <v>6.3650703630559549E-4</v>
      </c>
      <c r="AN24" s="91">
        <v>4.7490442767796515E-4</v>
      </c>
      <c r="AO24" s="91">
        <v>5.0270469007542083E-4</v>
      </c>
      <c r="AP24" s="91">
        <v>6.278082093969401E-4</v>
      </c>
      <c r="AQ24" s="91">
        <v>4.0415593383463701E-4</v>
      </c>
      <c r="AR24" s="91">
        <v>5.2332680392896762E-4</v>
      </c>
      <c r="AS24" s="91">
        <v>4.1514913698144178E-4</v>
      </c>
      <c r="AT24" s="91">
        <v>4.0466400981118393E-4</v>
      </c>
      <c r="AU24" s="91">
        <v>8.6090330983621191E-4</v>
      </c>
      <c r="AV24" s="91">
        <v>4.2751307827927393E-4</v>
      </c>
      <c r="AW24" s="91">
        <v>3.8276502262146592E-4</v>
      </c>
      <c r="AX24" s="91">
        <v>1.8611547734395081E-4</v>
      </c>
      <c r="AY24" s="91">
        <v>3.0088831714368146E-4</v>
      </c>
      <c r="AZ24" s="91">
        <v>4.0402654581269347E-4</v>
      </c>
      <c r="BA24" s="91">
        <v>3.8958663709350304E-4</v>
      </c>
      <c r="BB24" s="91">
        <v>6.2521815245856951E-4</v>
      </c>
      <c r="BC24" s="91">
        <v>1.2514457436468348E-3</v>
      </c>
      <c r="BD24" s="91">
        <v>7.8005155268027766E-4</v>
      </c>
      <c r="BE24" s="91">
        <v>5.5744893015141031E-4</v>
      </c>
      <c r="BF24" s="91">
        <v>1.4880486514946091E-4</v>
      </c>
      <c r="BG24" s="91">
        <v>7.0842164574300018E-4</v>
      </c>
      <c r="BH24" s="91">
        <v>3.0442992776511511E-4</v>
      </c>
      <c r="BI24" s="91">
        <v>3.2104146349880996E-4</v>
      </c>
      <c r="BJ24" s="91">
        <v>1.1279361901838406E-3</v>
      </c>
      <c r="BK24" s="91">
        <v>2.0540507081527617E-4</v>
      </c>
      <c r="BL24" s="91">
        <v>1.4855921242287165E-4</v>
      </c>
      <c r="BM24" s="91">
        <v>8.2386390259431616E-5</v>
      </c>
      <c r="BN24" s="91">
        <v>1.1817257855981221E-4</v>
      </c>
      <c r="BO24" s="91">
        <v>2.3323439212105511E-4</v>
      </c>
      <c r="BP24" s="91">
        <v>1.884751211476838E-4</v>
      </c>
      <c r="BQ24" s="91">
        <v>1.085645482241063E-4</v>
      </c>
      <c r="BR24" s="91">
        <v>2.1051784863637256E-4</v>
      </c>
      <c r="BS24" s="92">
        <v>1.3061238781738938E-5</v>
      </c>
    </row>
    <row r="25" spans="1:71" x14ac:dyDescent="0.35">
      <c r="A25" s="85">
        <v>24</v>
      </c>
      <c r="B25" s="90">
        <v>4.0013271745758053E-4</v>
      </c>
      <c r="C25" s="91">
        <v>2.6118651300349092E-3</v>
      </c>
      <c r="D25" s="91">
        <v>5.9136563739117202E-4</v>
      </c>
      <c r="E25" s="91">
        <v>7.9509991763541618E-4</v>
      </c>
      <c r="F25" s="91">
        <v>8.8032384431880239E-4</v>
      </c>
      <c r="G25" s="91">
        <v>1.3840066725708433E-3</v>
      </c>
      <c r="H25" s="91">
        <v>9.6272195031455539E-4</v>
      </c>
      <c r="I25" s="91">
        <v>2.0124904643201665E-3</v>
      </c>
      <c r="J25" s="91">
        <v>1.2593467849402395E-3</v>
      </c>
      <c r="K25" s="91">
        <v>5.3058752509316091E-4</v>
      </c>
      <c r="L25" s="91">
        <v>8.5961230850753532E-4</v>
      </c>
      <c r="M25" s="91">
        <v>1.5085344110207786E-3</v>
      </c>
      <c r="N25" s="91">
        <v>8.6270549308158464E-4</v>
      </c>
      <c r="O25" s="91">
        <v>5.0558705112296507E-4</v>
      </c>
      <c r="P25" s="91">
        <v>1.2304252220361415E-3</v>
      </c>
      <c r="Q25" s="91">
        <v>7.5074989049854891E-4</v>
      </c>
      <c r="R25" s="91">
        <v>6.3175466796050537E-4</v>
      </c>
      <c r="S25" s="91">
        <v>3.3166759421480844E-4</v>
      </c>
      <c r="T25" s="91">
        <v>7.6282646083841959E-4</v>
      </c>
      <c r="U25" s="91">
        <v>2.102365492698851E-3</v>
      </c>
      <c r="V25" s="91">
        <v>3.5833932551624021E-4</v>
      </c>
      <c r="W25" s="91">
        <v>2.8817729484727184E-4</v>
      </c>
      <c r="X25" s="91">
        <v>7.704429249164249E-4</v>
      </c>
      <c r="Y25" s="91">
        <v>2.9186419267105072E-2</v>
      </c>
      <c r="Z25" s="91">
        <v>1.6024177401173243E-3</v>
      </c>
      <c r="AA25" s="91">
        <v>7.1074614381996803E-3</v>
      </c>
      <c r="AB25" s="91">
        <v>2.7580894630382734E-4</v>
      </c>
      <c r="AC25" s="91">
        <v>9.3753528081394716E-5</v>
      </c>
      <c r="AD25" s="91">
        <v>4.0206308897719931E-5</v>
      </c>
      <c r="AE25" s="91">
        <v>1.8860638837230227E-4</v>
      </c>
      <c r="AF25" s="91">
        <v>3.2028112341410864E-4</v>
      </c>
      <c r="AG25" s="91">
        <v>1.2854385775858709E-4</v>
      </c>
      <c r="AH25" s="91">
        <v>1.4553917625088935E-4</v>
      </c>
      <c r="AI25" s="91">
        <v>2.2254965580053288E-4</v>
      </c>
      <c r="AJ25" s="92">
        <v>0</v>
      </c>
      <c r="AK25" s="90">
        <v>6.5825984512223967E-4</v>
      </c>
      <c r="AL25" s="91">
        <v>1.1091770984458006E-3</v>
      </c>
      <c r="AM25" s="91">
        <v>1.6164787614666829E-3</v>
      </c>
      <c r="AN25" s="91">
        <v>1.3199669927600442E-3</v>
      </c>
      <c r="AO25" s="91">
        <v>1.2523277782533922E-3</v>
      </c>
      <c r="AP25" s="91">
        <v>2.1327168086721473E-3</v>
      </c>
      <c r="AQ25" s="91">
        <v>9.6285278045116966E-4</v>
      </c>
      <c r="AR25" s="91">
        <v>7.9199685757941406E-4</v>
      </c>
      <c r="AS25" s="91">
        <v>1.1067174838572836E-3</v>
      </c>
      <c r="AT25" s="91">
        <v>1.0729850870891536E-3</v>
      </c>
      <c r="AU25" s="91">
        <v>2.9383848409751945E-3</v>
      </c>
      <c r="AV25" s="91">
        <v>1.5331695827102444E-3</v>
      </c>
      <c r="AW25" s="91">
        <v>1.1461830690467857E-3</v>
      </c>
      <c r="AX25" s="91">
        <v>6.1146899919179527E-4</v>
      </c>
      <c r="AY25" s="91">
        <v>8.9785708062948492E-4</v>
      </c>
      <c r="AZ25" s="91">
        <v>8.4516026110446321E-4</v>
      </c>
      <c r="BA25" s="91">
        <v>9.0577333811316064E-4</v>
      </c>
      <c r="BB25" s="91">
        <v>1.0985014733828984E-3</v>
      </c>
      <c r="BC25" s="91">
        <v>9.4968122682873913E-4</v>
      </c>
      <c r="BD25" s="91">
        <v>1.884162196103956E-3</v>
      </c>
      <c r="BE25" s="91">
        <v>1.296371539586353E-3</v>
      </c>
      <c r="BF25" s="91">
        <v>4.9310555884022559E-4</v>
      </c>
      <c r="BG25" s="91">
        <v>1.0974523321265674E-3</v>
      </c>
      <c r="BH25" s="91">
        <v>2.1872798700890796E-2</v>
      </c>
      <c r="BI25" s="91">
        <v>1.0435864390381929E-3</v>
      </c>
      <c r="BJ25" s="91">
        <v>1.1150978380591848E-3</v>
      </c>
      <c r="BK25" s="91">
        <v>4.497004624076092E-4</v>
      </c>
      <c r="BL25" s="91">
        <v>2.9322005684747742E-4</v>
      </c>
      <c r="BM25" s="91">
        <v>1.0647012369139367E-3</v>
      </c>
      <c r="BN25" s="91">
        <v>5.1405135213402231E-4</v>
      </c>
      <c r="BO25" s="91">
        <v>3.935887426235191E-4</v>
      </c>
      <c r="BP25" s="91">
        <v>3.9160177354162512E-4</v>
      </c>
      <c r="BQ25" s="91">
        <v>1.8039862496559839E-4</v>
      </c>
      <c r="BR25" s="91">
        <v>4.9861571297701932E-4</v>
      </c>
      <c r="BS25" s="92">
        <v>2.3619415297281291E-5</v>
      </c>
    </row>
    <row r="26" spans="1:71" x14ac:dyDescent="0.35">
      <c r="A26" s="85">
        <v>25</v>
      </c>
      <c r="B26" s="90">
        <v>2.6163714916329408E-4</v>
      </c>
      <c r="C26" s="91">
        <v>2.6275340594218138E-3</v>
      </c>
      <c r="D26" s="91">
        <v>7.0720972527756195E-4</v>
      </c>
      <c r="E26" s="91">
        <v>1.1415403551845627E-3</v>
      </c>
      <c r="F26" s="91">
        <v>2.8492338725482429E-3</v>
      </c>
      <c r="G26" s="91">
        <v>8.745664963948237E-4</v>
      </c>
      <c r="H26" s="91">
        <v>1.4696778626447939E-3</v>
      </c>
      <c r="I26" s="91">
        <v>9.9567519808455257E-4</v>
      </c>
      <c r="J26" s="91">
        <v>1.387806739755997E-3</v>
      </c>
      <c r="K26" s="91">
        <v>1.1635952201248018E-3</v>
      </c>
      <c r="L26" s="91">
        <v>1.1936663108520179E-3</v>
      </c>
      <c r="M26" s="91">
        <v>9.8342204112056904E-4</v>
      </c>
      <c r="N26" s="91">
        <v>1.7722199114629435E-3</v>
      </c>
      <c r="O26" s="91">
        <v>1.6273325223262348E-3</v>
      </c>
      <c r="P26" s="91">
        <v>1.3399541855821104E-3</v>
      </c>
      <c r="Q26" s="91">
        <v>1.0109124580454502E-3</v>
      </c>
      <c r="R26" s="91">
        <v>3.7916337255334106E-4</v>
      </c>
      <c r="S26" s="91">
        <v>7.190679945006885E-4</v>
      </c>
      <c r="T26" s="91">
        <v>1.5600102736216183E-3</v>
      </c>
      <c r="U26" s="91">
        <v>2.3194650172717437E-3</v>
      </c>
      <c r="V26" s="91">
        <v>1.2538024849734644E-3</v>
      </c>
      <c r="W26" s="91">
        <v>6.5958328991580495E-4</v>
      </c>
      <c r="X26" s="91">
        <v>1.3529617130091109E-3</v>
      </c>
      <c r="Y26" s="91">
        <v>3.1027327094946427E-3</v>
      </c>
      <c r="Z26" s="91">
        <v>2.2700973151587756E-2</v>
      </c>
      <c r="AA26" s="91">
        <v>1.912115754806519E-2</v>
      </c>
      <c r="AB26" s="91">
        <v>2.5706356728479314E-3</v>
      </c>
      <c r="AC26" s="91">
        <v>2.6019215947201092E-3</v>
      </c>
      <c r="AD26" s="91">
        <v>3.8857280642406311E-4</v>
      </c>
      <c r="AE26" s="91">
        <v>2.3936779796132567E-3</v>
      </c>
      <c r="AF26" s="91">
        <v>2.8600600473137868E-3</v>
      </c>
      <c r="AG26" s="91">
        <v>5.1297388861704573E-4</v>
      </c>
      <c r="AH26" s="91">
        <v>6.0123247195891958E-4</v>
      </c>
      <c r="AI26" s="91">
        <v>2.3619687434180765E-3</v>
      </c>
      <c r="AJ26" s="92">
        <v>0</v>
      </c>
      <c r="AK26" s="90">
        <v>1.0885173886405569E-4</v>
      </c>
      <c r="AL26" s="91">
        <v>1.3605214987976003E-4</v>
      </c>
      <c r="AM26" s="91">
        <v>2.3478079384128302E-4</v>
      </c>
      <c r="AN26" s="91">
        <v>3.0394876830653234E-4</v>
      </c>
      <c r="AO26" s="91">
        <v>3.4616591933451336E-4</v>
      </c>
      <c r="AP26" s="91">
        <v>3.3776622523358729E-4</v>
      </c>
      <c r="AQ26" s="91">
        <v>2.9257394248036477E-4</v>
      </c>
      <c r="AR26" s="91">
        <v>5.4598373353526793E-5</v>
      </c>
      <c r="AS26" s="91">
        <v>2.6867452290593697E-4</v>
      </c>
      <c r="AT26" s="91">
        <v>2.4635592069004332E-4</v>
      </c>
      <c r="AU26" s="91">
        <v>3.3099747576423029E-4</v>
      </c>
      <c r="AV26" s="91">
        <v>1.6155561248100135E-4</v>
      </c>
      <c r="AW26" s="91">
        <v>3.8246090320321377E-4</v>
      </c>
      <c r="AX26" s="91">
        <v>2.6249375120789535E-4</v>
      </c>
      <c r="AY26" s="91">
        <v>2.3995895992355129E-4</v>
      </c>
      <c r="AZ26" s="91">
        <v>1.7637962632554232E-4</v>
      </c>
      <c r="BA26" s="91">
        <v>1.3955225228066617E-4</v>
      </c>
      <c r="BB26" s="91">
        <v>1.7926769752041693E-4</v>
      </c>
      <c r="BC26" s="91">
        <v>1.5274180108741807E-4</v>
      </c>
      <c r="BD26" s="91">
        <v>4.3394835377772269E-4</v>
      </c>
      <c r="BE26" s="91">
        <v>2.6214535488679116E-4</v>
      </c>
      <c r="BF26" s="91">
        <v>2.4963678587906627E-4</v>
      </c>
      <c r="BG26" s="91">
        <v>3.8641052590342065E-4</v>
      </c>
      <c r="BH26" s="91">
        <v>7.638878172983594E-4</v>
      </c>
      <c r="BI26" s="91">
        <v>4.4549358175706997E-3</v>
      </c>
      <c r="BJ26" s="91">
        <v>6.423958127647067E-4</v>
      </c>
      <c r="BK26" s="91">
        <v>5.9851663095013123E-4</v>
      </c>
      <c r="BL26" s="91">
        <v>4.4522728664046432E-4</v>
      </c>
      <c r="BM26" s="91">
        <v>6.1152565441031264E-5</v>
      </c>
      <c r="BN26" s="91">
        <v>6.1542781624963254E-4</v>
      </c>
      <c r="BO26" s="91">
        <v>6.1651504715425358E-4</v>
      </c>
      <c r="BP26" s="91">
        <v>1.0364120133851775E-3</v>
      </c>
      <c r="BQ26" s="91">
        <v>1.5200872805840648E-4</v>
      </c>
      <c r="BR26" s="91">
        <v>6.0471141456494245E-4</v>
      </c>
      <c r="BS26" s="92">
        <v>2.4158566277087001E-6</v>
      </c>
    </row>
    <row r="27" spans="1:71" x14ac:dyDescent="0.35">
      <c r="A27" s="85">
        <v>26</v>
      </c>
      <c r="B27" s="90">
        <v>2.299699972507918E-3</v>
      </c>
      <c r="C27" s="91">
        <v>9.2945836324746321E-3</v>
      </c>
      <c r="D27" s="91">
        <v>9.9559933140090841E-3</v>
      </c>
      <c r="E27" s="91">
        <v>6.853722373744397E-3</v>
      </c>
      <c r="F27" s="91">
        <v>8.2530751684671173E-3</v>
      </c>
      <c r="G27" s="91">
        <v>1.0288134936641255E-2</v>
      </c>
      <c r="H27" s="91">
        <v>1.089800541816126E-2</v>
      </c>
      <c r="I27" s="91">
        <v>2.0357831209134952E-2</v>
      </c>
      <c r="J27" s="91">
        <v>7.4271558794680058E-3</v>
      </c>
      <c r="K27" s="91">
        <v>7.3998223757438348E-3</v>
      </c>
      <c r="L27" s="91">
        <v>1.323450250482369E-2</v>
      </c>
      <c r="M27" s="91">
        <v>7.182283732159441E-3</v>
      </c>
      <c r="N27" s="91">
        <v>7.6448937078373858E-3</v>
      </c>
      <c r="O27" s="91">
        <v>5.4139244932317893E-3</v>
      </c>
      <c r="P27" s="91">
        <v>7.1843366970085884E-3</v>
      </c>
      <c r="Q27" s="91">
        <v>6.7318946671610421E-3</v>
      </c>
      <c r="R27" s="91">
        <v>4.2930093651154921E-3</v>
      </c>
      <c r="S27" s="91">
        <v>3.638982394609512E-3</v>
      </c>
      <c r="T27" s="91">
        <v>1.6880422170842443E-2</v>
      </c>
      <c r="U27" s="91">
        <v>4.5919328123835368E-2</v>
      </c>
      <c r="V27" s="91">
        <v>1.27301102084933E-2</v>
      </c>
      <c r="W27" s="91">
        <v>6.1185042792780038E-3</v>
      </c>
      <c r="X27" s="91">
        <v>8.4277119729558758E-2</v>
      </c>
      <c r="Y27" s="91">
        <v>0.22877124945336269</v>
      </c>
      <c r="Z27" s="91">
        <v>0.15912138935707548</v>
      </c>
      <c r="AA27" s="91">
        <v>0.16804235797233991</v>
      </c>
      <c r="AB27" s="91">
        <v>6.3586099877516395E-3</v>
      </c>
      <c r="AC27" s="91">
        <v>2.9556365003550493E-3</v>
      </c>
      <c r="AD27" s="91">
        <v>1.352280154482648E-3</v>
      </c>
      <c r="AE27" s="91">
        <v>5.1163739031424025E-3</v>
      </c>
      <c r="AF27" s="91">
        <v>2.1249570229926141E-3</v>
      </c>
      <c r="AG27" s="91">
        <v>1.9772791727578325E-3</v>
      </c>
      <c r="AH27" s="91">
        <v>9.8935880620882981E-4</v>
      </c>
      <c r="AI27" s="91">
        <v>4.8961969947854036E-3</v>
      </c>
      <c r="AJ27" s="92">
        <v>0</v>
      </c>
      <c r="AK27" s="90">
        <v>1.9926524619706082E-4</v>
      </c>
      <c r="AL27" s="91">
        <v>2.6801612958648178E-4</v>
      </c>
      <c r="AM27" s="91">
        <v>3.567597637126521E-4</v>
      </c>
      <c r="AN27" s="91">
        <v>2.3554387440133189E-4</v>
      </c>
      <c r="AO27" s="91">
        <v>2.5846198386814844E-4</v>
      </c>
      <c r="AP27" s="91">
        <v>2.3202066180307189E-4</v>
      </c>
      <c r="AQ27" s="91">
        <v>2.2147263060976781E-4</v>
      </c>
      <c r="AR27" s="91">
        <v>2.761701263531138E-4</v>
      </c>
      <c r="AS27" s="91">
        <v>2.3107509108800136E-4</v>
      </c>
      <c r="AT27" s="91">
        <v>2.1339384791703054E-4</v>
      </c>
      <c r="AU27" s="91">
        <v>4.2477753487136279E-4</v>
      </c>
      <c r="AV27" s="91">
        <v>2.7015033797922559E-4</v>
      </c>
      <c r="AW27" s="91">
        <v>1.9423691156595914E-4</v>
      </c>
      <c r="AX27" s="91">
        <v>1.1980877438963434E-4</v>
      </c>
      <c r="AY27" s="91">
        <v>1.7577788476961311E-4</v>
      </c>
      <c r="AZ27" s="91">
        <v>2.0026018609612485E-4</v>
      </c>
      <c r="BA27" s="91">
        <v>2.4056888824873176E-4</v>
      </c>
      <c r="BB27" s="91">
        <v>5.9366498249480105E-4</v>
      </c>
      <c r="BC27" s="91">
        <v>5.3664434710486793E-4</v>
      </c>
      <c r="BD27" s="91">
        <v>4.2094092812091494E-4</v>
      </c>
      <c r="BE27" s="91">
        <v>3.0930847579730769E-4</v>
      </c>
      <c r="BF27" s="91">
        <v>1.3667862535639064E-4</v>
      </c>
      <c r="BG27" s="91">
        <v>6.136550178961383E-4</v>
      </c>
      <c r="BH27" s="91">
        <v>3.5884664226698434E-3</v>
      </c>
      <c r="BI27" s="91">
        <v>1.3396776399420772E-3</v>
      </c>
      <c r="BJ27" s="91">
        <v>1.2733406120255108E-3</v>
      </c>
      <c r="BK27" s="91">
        <v>1.697695193498841E-4</v>
      </c>
      <c r="BL27" s="91">
        <v>7.6353022069568021E-5</v>
      </c>
      <c r="BM27" s="91">
        <v>7.4461639259080272E-5</v>
      </c>
      <c r="BN27" s="91">
        <v>8.0711752264204278E-5</v>
      </c>
      <c r="BO27" s="91">
        <v>1.2509793971641627E-4</v>
      </c>
      <c r="BP27" s="91">
        <v>1.2178152478498059E-4</v>
      </c>
      <c r="BQ27" s="91">
        <v>7.8136859199483057E-5</v>
      </c>
      <c r="BR27" s="91">
        <v>1.7003209290899417E-4</v>
      </c>
      <c r="BS27" s="92">
        <v>6.2902053458391578E-6</v>
      </c>
    </row>
    <row r="28" spans="1:71" x14ac:dyDescent="0.35">
      <c r="A28" s="85">
        <v>27</v>
      </c>
      <c r="B28" s="90">
        <v>2.5810446282299887E-3</v>
      </c>
      <c r="C28" s="91">
        <v>7.6118513552980993E-3</v>
      </c>
      <c r="D28" s="91">
        <v>5.3494495795815755E-3</v>
      </c>
      <c r="E28" s="91">
        <v>7.2941651903357775E-3</v>
      </c>
      <c r="F28" s="91">
        <v>5.625164849999381E-3</v>
      </c>
      <c r="G28" s="91">
        <v>4.8098184088144419E-3</v>
      </c>
      <c r="H28" s="91">
        <v>1.411510898634547E-2</v>
      </c>
      <c r="I28" s="91">
        <v>3.2315697887318434E-3</v>
      </c>
      <c r="J28" s="91">
        <v>7.5473718713952231E-3</v>
      </c>
      <c r="K28" s="91">
        <v>5.2132441956829739E-3</v>
      </c>
      <c r="L28" s="91">
        <v>7.1228860197601242E-3</v>
      </c>
      <c r="M28" s="91">
        <v>5.1358233359673194E-3</v>
      </c>
      <c r="N28" s="91">
        <v>7.581478558681647E-3</v>
      </c>
      <c r="O28" s="91">
        <v>7.4888637605350795E-3</v>
      </c>
      <c r="P28" s="91">
        <v>4.170614390303768E-3</v>
      </c>
      <c r="Q28" s="91">
        <v>6.4106220671661185E-3</v>
      </c>
      <c r="R28" s="91">
        <v>9.4310541249677006E-3</v>
      </c>
      <c r="S28" s="91">
        <v>6.9642221034992074E-3</v>
      </c>
      <c r="T28" s="91">
        <v>1.8530221844107669E-2</v>
      </c>
      <c r="U28" s="91">
        <v>2.2366478656666036E-2</v>
      </c>
      <c r="V28" s="91">
        <v>2.7004419924432373E-2</v>
      </c>
      <c r="W28" s="91">
        <v>1.5785468265513167E-2</v>
      </c>
      <c r="X28" s="91">
        <v>1.2505549338445197E-2</v>
      </c>
      <c r="Y28" s="91">
        <v>5.2240502692199311E-3</v>
      </c>
      <c r="Z28" s="91">
        <v>1.1274100865934422E-2</v>
      </c>
      <c r="AA28" s="91">
        <v>1.8083472192401334E-2</v>
      </c>
      <c r="AB28" s="91">
        <v>0.14597493844037593</v>
      </c>
      <c r="AC28" s="91">
        <v>3.8719879713215478E-2</v>
      </c>
      <c r="AD28" s="91">
        <v>5.8278852150201463E-3</v>
      </c>
      <c r="AE28" s="91">
        <v>2.5056651156353346E-2</v>
      </c>
      <c r="AF28" s="91">
        <v>2.7632856814619095E-2</v>
      </c>
      <c r="AG28" s="91">
        <v>7.4933491544180554E-3</v>
      </c>
      <c r="AH28" s="91">
        <v>1.1604139077346623E-2</v>
      </c>
      <c r="AI28" s="91">
        <v>2.3410131497818325E-2</v>
      </c>
      <c r="AJ28" s="92">
        <v>0</v>
      </c>
      <c r="AK28" s="90">
        <v>9.8623895640028878E-5</v>
      </c>
      <c r="AL28" s="91">
        <v>9.6195208501534936E-5</v>
      </c>
      <c r="AM28" s="91">
        <v>6.9141231401867321E-5</v>
      </c>
      <c r="AN28" s="91">
        <v>1.2223444222402921E-4</v>
      </c>
      <c r="AO28" s="91">
        <v>1.6226485640991414E-4</v>
      </c>
      <c r="AP28" s="91">
        <v>7.7182736947223237E-5</v>
      </c>
      <c r="AQ28" s="91">
        <v>1.1998805362391441E-4</v>
      </c>
      <c r="AR28" s="91">
        <v>8.8413558381374702E-5</v>
      </c>
      <c r="AS28" s="91">
        <v>1.2040030017332473E-4</v>
      </c>
      <c r="AT28" s="91">
        <v>8.7468369536284883E-5</v>
      </c>
      <c r="AU28" s="91">
        <v>1.2108275942418114E-4</v>
      </c>
      <c r="AV28" s="91">
        <v>2.1284752602396368E-4</v>
      </c>
      <c r="AW28" s="91">
        <v>1.4679724409384336E-4</v>
      </c>
      <c r="AX28" s="91">
        <v>1.6974107722773484E-4</v>
      </c>
      <c r="AY28" s="91">
        <v>7.0668878713231188E-5</v>
      </c>
      <c r="AZ28" s="91">
        <v>1.3937130332605837E-4</v>
      </c>
      <c r="BA28" s="91">
        <v>1.2525959649795082E-4</v>
      </c>
      <c r="BB28" s="91">
        <v>2.2440927226975667E-4</v>
      </c>
      <c r="BC28" s="91">
        <v>4.3329354367380992E-4</v>
      </c>
      <c r="BD28" s="91">
        <v>2.3244954259062512E-4</v>
      </c>
      <c r="BE28" s="91">
        <v>2.3554336101609883E-4</v>
      </c>
      <c r="BF28" s="91">
        <v>1.0357375473550668E-4</v>
      </c>
      <c r="BG28" s="91">
        <v>4.095661094861557E-4</v>
      </c>
      <c r="BH28" s="91">
        <v>4.5234870634841865E-4</v>
      </c>
      <c r="BI28" s="91">
        <v>3.5910088832414623E-4</v>
      </c>
      <c r="BJ28" s="91">
        <v>7.0441542806144036E-4</v>
      </c>
      <c r="BK28" s="91">
        <v>1.284673285556428E-3</v>
      </c>
      <c r="BL28" s="91">
        <v>3.929327504847551E-4</v>
      </c>
      <c r="BM28" s="91">
        <v>8.2554175637475466E-5</v>
      </c>
      <c r="BN28" s="91">
        <v>2.6456868294643461E-4</v>
      </c>
      <c r="BO28" s="91">
        <v>3.8156478946685271E-4</v>
      </c>
      <c r="BP28" s="91">
        <v>3.9461309062922947E-4</v>
      </c>
      <c r="BQ28" s="91">
        <v>1.8084355086681256E-4</v>
      </c>
      <c r="BR28" s="91">
        <v>3.6198179227484403E-4</v>
      </c>
      <c r="BS28" s="92">
        <v>8.0845791052476635E-6</v>
      </c>
    </row>
    <row r="29" spans="1:71" x14ac:dyDescent="0.35">
      <c r="A29" s="85">
        <v>28</v>
      </c>
      <c r="B29" s="90">
        <v>1.905089672202916E-2</v>
      </c>
      <c r="C29" s="91">
        <v>2.7320870329088174E-2</v>
      </c>
      <c r="D29" s="91">
        <v>1.5471967654034861E-2</v>
      </c>
      <c r="E29" s="91">
        <v>1.9036690620213938E-2</v>
      </c>
      <c r="F29" s="91">
        <v>1.6355811196816533E-2</v>
      </c>
      <c r="G29" s="91">
        <v>1.5433949958503555E-2</v>
      </c>
      <c r="H29" s="91">
        <v>1.6819216035492822E-2</v>
      </c>
      <c r="I29" s="91">
        <v>1.7679638963198539E-2</v>
      </c>
      <c r="J29" s="91">
        <v>1.4715418502597243E-2</v>
      </c>
      <c r="K29" s="91">
        <v>1.1522286664166798E-2</v>
      </c>
      <c r="L29" s="91">
        <v>1.6109442470492716E-2</v>
      </c>
      <c r="M29" s="91">
        <v>1.4570718818204683E-2</v>
      </c>
      <c r="N29" s="91">
        <v>1.6340478220123127E-2</v>
      </c>
      <c r="O29" s="91">
        <v>1.1942831870150444E-2</v>
      </c>
      <c r="P29" s="91">
        <v>1.1294708388011599E-2</v>
      </c>
      <c r="Q29" s="91">
        <v>1.7265631306734246E-2</v>
      </c>
      <c r="R29" s="91">
        <v>1.8272574567220708E-2</v>
      </c>
      <c r="S29" s="91">
        <v>1.9593652863566579E-2</v>
      </c>
      <c r="T29" s="91">
        <v>2.5107711133533418E-2</v>
      </c>
      <c r="U29" s="91">
        <v>3.0711880283905344E-2</v>
      </c>
      <c r="V29" s="91">
        <v>3.1598004380375945E-2</v>
      </c>
      <c r="W29" s="91">
        <v>2.1039021166507098E-2</v>
      </c>
      <c r="X29" s="91">
        <v>3.0877076958856858E-2</v>
      </c>
      <c r="Y29" s="91">
        <v>1.4151741845546665E-2</v>
      </c>
      <c r="Z29" s="91">
        <v>2.0775377430739553E-2</v>
      </c>
      <c r="AA29" s="91">
        <v>2.3236401479216025E-2</v>
      </c>
      <c r="AB29" s="91">
        <v>1.8960079178726375E-2</v>
      </c>
      <c r="AC29" s="91">
        <v>0.22271356582072943</v>
      </c>
      <c r="AD29" s="91">
        <v>5.6983663224893101E-2</v>
      </c>
      <c r="AE29" s="91">
        <v>2.3755212294044228E-2</v>
      </c>
      <c r="AF29" s="91">
        <v>2.3684067529482582E-2</v>
      </c>
      <c r="AG29" s="91">
        <v>8.9138482663172567E-3</v>
      </c>
      <c r="AH29" s="91">
        <v>1.1592030198356628E-2</v>
      </c>
      <c r="AI29" s="91">
        <v>2.413786635859248E-2</v>
      </c>
      <c r="AJ29" s="92">
        <v>0</v>
      </c>
      <c r="AK29" s="90">
        <v>5.6132604717445522E-4</v>
      </c>
      <c r="AL29" s="91">
        <v>6.0307273557556581E-4</v>
      </c>
      <c r="AM29" s="91">
        <v>9.7006317508688494E-4</v>
      </c>
      <c r="AN29" s="91">
        <v>1.7390298540911169E-3</v>
      </c>
      <c r="AO29" s="91">
        <v>1.2988831110769029E-3</v>
      </c>
      <c r="AP29" s="91">
        <v>7.0049061645992934E-4</v>
      </c>
      <c r="AQ29" s="91">
        <v>8.7212484869717368E-4</v>
      </c>
      <c r="AR29" s="91">
        <v>7.2308972019721729E-4</v>
      </c>
      <c r="AS29" s="91">
        <v>1.1832310738066191E-3</v>
      </c>
      <c r="AT29" s="91">
        <v>7.8636335299368842E-4</v>
      </c>
      <c r="AU29" s="91">
        <v>1.505581902477214E-3</v>
      </c>
      <c r="AV29" s="91">
        <v>8.8185566161798346E-4</v>
      </c>
      <c r="AW29" s="91">
        <v>1.1403285086396657E-3</v>
      </c>
      <c r="AX29" s="91">
        <v>6.4071032258068521E-4</v>
      </c>
      <c r="AY29" s="91">
        <v>1.1710680687389205E-3</v>
      </c>
      <c r="AZ29" s="91">
        <v>1.7561520785613271E-3</v>
      </c>
      <c r="BA29" s="91">
        <v>1.2220925621105184E-3</v>
      </c>
      <c r="BB29" s="91">
        <v>9.9427372841041895E-4</v>
      </c>
      <c r="BC29" s="91">
        <v>8.9054703423700429E-4</v>
      </c>
      <c r="BD29" s="91">
        <v>1.4488865595805086E-3</v>
      </c>
      <c r="BE29" s="91">
        <v>1.6344629934769816E-3</v>
      </c>
      <c r="BF29" s="91">
        <v>8.2847908814471052E-4</v>
      </c>
      <c r="BG29" s="91">
        <v>2.854164984763229E-3</v>
      </c>
      <c r="BH29" s="91">
        <v>1.2721986688301937E-3</v>
      </c>
      <c r="BI29" s="91">
        <v>1.4245550523143413E-3</v>
      </c>
      <c r="BJ29" s="91">
        <v>2.9332586669715945E-3</v>
      </c>
      <c r="BK29" s="91">
        <v>7.0929457447354931E-4</v>
      </c>
      <c r="BL29" s="91">
        <v>4.6865544630926579E-3</v>
      </c>
      <c r="BM29" s="91">
        <v>1.1423886719171656E-3</v>
      </c>
      <c r="BN29" s="91">
        <v>7.5746636736295336E-4</v>
      </c>
      <c r="BO29" s="91">
        <v>1.0406315063624786E-3</v>
      </c>
      <c r="BP29" s="91">
        <v>8.4270234463470724E-4</v>
      </c>
      <c r="BQ29" s="91">
        <v>7.291014607726941E-4</v>
      </c>
      <c r="BR29" s="91">
        <v>1.3038635918946237E-3</v>
      </c>
      <c r="BS29" s="92">
        <v>3.6918751831238643E-4</v>
      </c>
    </row>
    <row r="30" spans="1:71" x14ac:dyDescent="0.35">
      <c r="A30" s="85">
        <v>29</v>
      </c>
      <c r="B30" s="90">
        <v>2.3917519490988144E-3</v>
      </c>
      <c r="C30" s="91">
        <v>7.2263795186493377E-3</v>
      </c>
      <c r="D30" s="91">
        <v>7.4068909246808538E-3</v>
      </c>
      <c r="E30" s="91">
        <v>1.0210377053064939E-2</v>
      </c>
      <c r="F30" s="91">
        <v>8.2556915635852348E-3</v>
      </c>
      <c r="G30" s="91">
        <v>8.1392745925234211E-3</v>
      </c>
      <c r="H30" s="91">
        <v>1.1804395190354764E-2</v>
      </c>
      <c r="I30" s="91">
        <v>4.5235199194507266E-3</v>
      </c>
      <c r="J30" s="91">
        <v>7.1308197939354409E-3</v>
      </c>
      <c r="K30" s="91">
        <v>7.4349953895991678E-3</v>
      </c>
      <c r="L30" s="91">
        <v>8.3074525432930459E-3</v>
      </c>
      <c r="M30" s="91">
        <v>7.9966192380265793E-3</v>
      </c>
      <c r="N30" s="91">
        <v>9.8046363594264229E-3</v>
      </c>
      <c r="O30" s="91">
        <v>8.1646597868715396E-3</v>
      </c>
      <c r="P30" s="91">
        <v>1.0092531621892319E-2</v>
      </c>
      <c r="Q30" s="91">
        <v>1.1773991757399967E-2</v>
      </c>
      <c r="R30" s="91">
        <v>6.7897078403857253E-3</v>
      </c>
      <c r="S30" s="91">
        <v>2.1516261688136678E-2</v>
      </c>
      <c r="T30" s="91">
        <v>3.0545400469180521E-2</v>
      </c>
      <c r="U30" s="91">
        <v>3.0861758927081359E-2</v>
      </c>
      <c r="V30" s="91">
        <v>7.0031363266487609E-2</v>
      </c>
      <c r="W30" s="91">
        <v>3.7363739937699487E-2</v>
      </c>
      <c r="X30" s="91">
        <v>1.0245675037397687E-2</v>
      </c>
      <c r="Y30" s="91">
        <v>3.6567590024255601E-3</v>
      </c>
      <c r="Z30" s="91">
        <v>6.9227259151439808E-3</v>
      </c>
      <c r="AA30" s="91">
        <v>1.7390536869770514E-2</v>
      </c>
      <c r="AB30" s="91">
        <v>1.5112776720540412E-2</v>
      </c>
      <c r="AC30" s="91">
        <v>2.2612720132327117E-2</v>
      </c>
      <c r="AD30" s="91">
        <v>2.768903962061375E-2</v>
      </c>
      <c r="AE30" s="91">
        <v>2.0244412789793054E-2</v>
      </c>
      <c r="AF30" s="91">
        <v>1.8221925258825652E-2</v>
      </c>
      <c r="AG30" s="91">
        <v>1.9563757932481846E-2</v>
      </c>
      <c r="AH30" s="91">
        <v>1.5513781346277712E-2</v>
      </c>
      <c r="AI30" s="91">
        <v>2.0321727460031549E-2</v>
      </c>
      <c r="AJ30" s="92">
        <v>0</v>
      </c>
      <c r="AK30" s="90">
        <v>3.0867189431590112E-6</v>
      </c>
      <c r="AL30" s="91">
        <v>6.6205201596967588E-5</v>
      </c>
      <c r="AM30" s="91">
        <v>1.2518753325225167E-5</v>
      </c>
      <c r="AN30" s="91">
        <v>1.061470929924138E-5</v>
      </c>
      <c r="AO30" s="91">
        <v>1.3367417399279896E-5</v>
      </c>
      <c r="AP30" s="91">
        <v>4.4241242118611237E-6</v>
      </c>
      <c r="AQ30" s="91">
        <v>1.4511895365124459E-5</v>
      </c>
      <c r="AR30" s="91">
        <v>1.0103055249885069E-5</v>
      </c>
      <c r="AS30" s="91">
        <v>8.2710979729295189E-6</v>
      </c>
      <c r="AT30" s="91">
        <v>8.9225299670507115E-6</v>
      </c>
      <c r="AU30" s="91">
        <v>1.0333534806602574E-5</v>
      </c>
      <c r="AV30" s="91">
        <v>5.8213779125350726E-6</v>
      </c>
      <c r="AW30" s="91">
        <v>6.7397628539229153E-6</v>
      </c>
      <c r="AX30" s="91">
        <v>5.2797647786425903E-6</v>
      </c>
      <c r="AY30" s="91">
        <v>5.7035178066883118E-6</v>
      </c>
      <c r="AZ30" s="91">
        <v>1.076727905964626E-5</v>
      </c>
      <c r="BA30" s="91">
        <v>1.1785901062631835E-5</v>
      </c>
      <c r="BB30" s="91">
        <v>1.4562146705422684E-5</v>
      </c>
      <c r="BC30" s="91">
        <v>4.8898972126342341E-5</v>
      </c>
      <c r="BD30" s="91">
        <v>3.0063099654588421E-5</v>
      </c>
      <c r="BE30" s="91">
        <v>6.2081157393517359E-5</v>
      </c>
      <c r="BF30" s="91">
        <v>3.4132787877887848E-5</v>
      </c>
      <c r="BG30" s="91">
        <v>4.1059881068381164E-5</v>
      </c>
      <c r="BH30" s="91">
        <v>1.7770665875559635E-5</v>
      </c>
      <c r="BI30" s="91">
        <v>3.0467814535874681E-5</v>
      </c>
      <c r="BJ30" s="91">
        <v>7.2350744435503174E-5</v>
      </c>
      <c r="BK30" s="91">
        <v>2.2158406597778094E-5</v>
      </c>
      <c r="BL30" s="91">
        <v>2.2112309918185039E-5</v>
      </c>
      <c r="BM30" s="91">
        <v>1.9858536321495097E-5</v>
      </c>
      <c r="BN30" s="91">
        <v>2.4093453558532784E-5</v>
      </c>
      <c r="BO30" s="91">
        <v>3.554543723445738E-5</v>
      </c>
      <c r="BP30" s="91">
        <v>4.8685912211439014E-5</v>
      </c>
      <c r="BQ30" s="91">
        <v>3.1574404466461665E-5</v>
      </c>
      <c r="BR30" s="91">
        <v>5.336576101881167E-5</v>
      </c>
      <c r="BS30" s="92">
        <v>1.9373894024521094E-7</v>
      </c>
    </row>
    <row r="31" spans="1:71" x14ac:dyDescent="0.35">
      <c r="A31" s="85">
        <v>30</v>
      </c>
      <c r="B31" s="90">
        <v>2.8105543904899555E-2</v>
      </c>
      <c r="C31" s="91">
        <v>6.020680825067512E-2</v>
      </c>
      <c r="D31" s="91">
        <v>5.7707676447379751E-2</v>
      </c>
      <c r="E31" s="91">
        <v>4.9771263889722452E-2</v>
      </c>
      <c r="F31" s="91">
        <v>4.507014705805934E-2</v>
      </c>
      <c r="G31" s="91">
        <v>2.9954974327138759E-2</v>
      </c>
      <c r="H31" s="91">
        <v>7.8708739862180549E-2</v>
      </c>
      <c r="I31" s="91">
        <v>5.0392787794106601E-2</v>
      </c>
      <c r="J31" s="91">
        <v>9.251599420692648E-2</v>
      </c>
      <c r="K31" s="91">
        <v>6.1403782543557169E-2</v>
      </c>
      <c r="L31" s="91">
        <v>5.5464474316664229E-2</v>
      </c>
      <c r="M31" s="91">
        <v>4.5516540006307386E-2</v>
      </c>
      <c r="N31" s="91">
        <v>6.580144510999282E-2</v>
      </c>
      <c r="O31" s="91">
        <v>7.0569905829698729E-2</v>
      </c>
      <c r="P31" s="91">
        <v>5.6050808614570617E-2</v>
      </c>
      <c r="Q31" s="91">
        <v>4.9931062526880995E-2</v>
      </c>
      <c r="R31" s="91">
        <v>4.8922485542247061E-2</v>
      </c>
      <c r="S31" s="91">
        <v>6.3865636552217497E-2</v>
      </c>
      <c r="T31" s="91">
        <v>7.9026568991019036E-2</v>
      </c>
      <c r="U31" s="91">
        <v>9.0608754651783502E-2</v>
      </c>
      <c r="V31" s="91">
        <v>8.9305141022148246E-2</v>
      </c>
      <c r="W31" s="91">
        <v>4.7093490269995937E-2</v>
      </c>
      <c r="X31" s="91">
        <v>6.0994857182360133E-2</v>
      </c>
      <c r="Y31" s="91">
        <v>3.8095549242451156E-2</v>
      </c>
      <c r="Z31" s="91">
        <v>7.3333675299032328E-2</v>
      </c>
      <c r="AA31" s="91">
        <v>7.4647624007824848E-2</v>
      </c>
      <c r="AB31" s="91">
        <v>6.8975975269150905E-2</v>
      </c>
      <c r="AC31" s="91">
        <v>0.11727573882220492</v>
      </c>
      <c r="AD31" s="91">
        <v>3.1097890390769829E-2</v>
      </c>
      <c r="AE31" s="91">
        <v>0.19222685384047522</v>
      </c>
      <c r="AF31" s="91">
        <v>6.5078716594084735E-2</v>
      </c>
      <c r="AG31" s="91">
        <v>3.3196821751228546E-2</v>
      </c>
      <c r="AH31" s="91">
        <v>4.753730265003113E-2</v>
      </c>
      <c r="AI31" s="91">
        <v>9.3748405438584606E-2</v>
      </c>
      <c r="AJ31" s="92">
        <v>0</v>
      </c>
      <c r="AK31" s="90">
        <v>5.2617649821556185E-4</v>
      </c>
      <c r="AL31" s="91">
        <v>9.9736927897526011E-4</v>
      </c>
      <c r="AM31" s="91">
        <v>1.5402048997268942E-3</v>
      </c>
      <c r="AN31" s="91">
        <v>1.5885291879355222E-3</v>
      </c>
      <c r="AO31" s="91">
        <v>1.0407318475269E-3</v>
      </c>
      <c r="AP31" s="91">
        <v>8.9538104863255317E-4</v>
      </c>
      <c r="AQ31" s="91">
        <v>1.7544900674387215E-3</v>
      </c>
      <c r="AR31" s="91">
        <v>6.1719775336190519E-4</v>
      </c>
      <c r="AS31" s="91">
        <v>2.2841397730652708E-3</v>
      </c>
      <c r="AT31" s="91">
        <v>1.0265443741716283E-3</v>
      </c>
      <c r="AU31" s="91">
        <v>1.3555254230845108E-3</v>
      </c>
      <c r="AV31" s="91">
        <v>8.9473798157507236E-4</v>
      </c>
      <c r="AW31" s="91">
        <v>1.5095431299788679E-3</v>
      </c>
      <c r="AX31" s="91">
        <v>1.8049800878814505E-3</v>
      </c>
      <c r="AY31" s="91">
        <v>1.6524697703124082E-3</v>
      </c>
      <c r="AZ31" s="91">
        <v>9.2968090508139785E-4</v>
      </c>
      <c r="BA31" s="91">
        <v>1.1178959864286831E-3</v>
      </c>
      <c r="BB31" s="91">
        <v>1.6158841760354674E-3</v>
      </c>
      <c r="BC31" s="91">
        <v>8.9398914539484838E-4</v>
      </c>
      <c r="BD31" s="91">
        <v>2.0173346143078229E-3</v>
      </c>
      <c r="BE31" s="91">
        <v>1.6704588121666843E-3</v>
      </c>
      <c r="BF31" s="91">
        <v>1.7527024500847994E-3</v>
      </c>
      <c r="BG31" s="91">
        <v>1.2512199383803106E-3</v>
      </c>
      <c r="BH31" s="91">
        <v>1.7771109766112308E-3</v>
      </c>
      <c r="BI31" s="91">
        <v>2.9191717814884902E-3</v>
      </c>
      <c r="BJ31" s="91">
        <v>1.9321968962349178E-3</v>
      </c>
      <c r="BK31" s="91">
        <v>1.9602500156101037E-3</v>
      </c>
      <c r="BL31" s="91">
        <v>3.2186498532131278E-3</v>
      </c>
      <c r="BM31" s="91">
        <v>7.9505978676504556E-4</v>
      </c>
      <c r="BN31" s="91">
        <v>3.2025153831194983E-3</v>
      </c>
      <c r="BO31" s="91">
        <v>2.2804559750225417E-3</v>
      </c>
      <c r="BP31" s="91">
        <v>1.8074795284599937E-3</v>
      </c>
      <c r="BQ31" s="91">
        <v>2.0229565489236472E-3</v>
      </c>
      <c r="BR31" s="91">
        <v>2.141293187177614E-3</v>
      </c>
      <c r="BS31" s="92">
        <v>4.5287477559702955E-4</v>
      </c>
    </row>
    <row r="32" spans="1:71" x14ac:dyDescent="0.35">
      <c r="A32" s="85">
        <v>31</v>
      </c>
      <c r="B32" s="90">
        <v>1.1389148545548112E-3</v>
      </c>
      <c r="C32" s="91">
        <v>3.2119696704839737E-3</v>
      </c>
      <c r="D32" s="91">
        <v>1.7378166182173717E-3</v>
      </c>
      <c r="E32" s="91">
        <v>1.3291452601658662E-3</v>
      </c>
      <c r="F32" s="91">
        <v>1.1299411624187668E-3</v>
      </c>
      <c r="G32" s="91">
        <v>2.2926392890263627E-3</v>
      </c>
      <c r="H32" s="91">
        <v>2.3578665651344546E-3</v>
      </c>
      <c r="I32" s="91">
        <v>1.4912948051666183E-3</v>
      </c>
      <c r="J32" s="91">
        <v>2.6893406339635315E-3</v>
      </c>
      <c r="K32" s="91">
        <v>1.8360836996278045E-3</v>
      </c>
      <c r="L32" s="91">
        <v>2.3466326494172123E-3</v>
      </c>
      <c r="M32" s="91">
        <v>1.6743003252331396E-3</v>
      </c>
      <c r="N32" s="91">
        <v>1.48654716718703E-3</v>
      </c>
      <c r="O32" s="91">
        <v>1.7827479130907318E-3</v>
      </c>
      <c r="P32" s="91">
        <v>1.7347477288109999E-3</v>
      </c>
      <c r="Q32" s="91">
        <v>2.3815016659192605E-3</v>
      </c>
      <c r="R32" s="91">
        <v>1.0269369679559213E-2</v>
      </c>
      <c r="S32" s="91">
        <v>2.2387203439970314E-3</v>
      </c>
      <c r="T32" s="91">
        <v>1.7825888163502405E-3</v>
      </c>
      <c r="U32" s="91">
        <v>1.9300194801961147E-3</v>
      </c>
      <c r="V32" s="91">
        <v>2.193965157524065E-3</v>
      </c>
      <c r="W32" s="91">
        <v>1.6230298012131202E-3</v>
      </c>
      <c r="X32" s="91">
        <v>6.0628629703719534E-3</v>
      </c>
      <c r="Y32" s="91">
        <v>2.0127343878686864E-3</v>
      </c>
      <c r="Z32" s="91">
        <v>2.6294221753011991E-3</v>
      </c>
      <c r="AA32" s="91">
        <v>2.5363145696842082E-3</v>
      </c>
      <c r="AB32" s="91">
        <v>1.9758061633519909E-3</v>
      </c>
      <c r="AC32" s="91">
        <v>1.2277306558678746E-3</v>
      </c>
      <c r="AD32" s="91">
        <v>6.085192345475319E-3</v>
      </c>
      <c r="AE32" s="91">
        <v>3.8303486919882218E-3</v>
      </c>
      <c r="AF32" s="91">
        <v>8.3890502894228541E-3</v>
      </c>
      <c r="AG32" s="91">
        <v>5.4524053200064246E-3</v>
      </c>
      <c r="AH32" s="91">
        <v>2.74839662792924E-3</v>
      </c>
      <c r="AI32" s="91">
        <v>5.3021506562165727E-3</v>
      </c>
      <c r="AJ32" s="92">
        <v>0</v>
      </c>
      <c r="AK32" s="90">
        <v>3.6838775938029902E-5</v>
      </c>
      <c r="AL32" s="91">
        <v>3.4808688713226331E-5</v>
      </c>
      <c r="AM32" s="91">
        <v>3.3349108395623026E-5</v>
      </c>
      <c r="AN32" s="91">
        <v>3.6184955345259625E-5</v>
      </c>
      <c r="AO32" s="91">
        <v>3.1571171266680857E-5</v>
      </c>
      <c r="AP32" s="91">
        <v>3.8331464357568127E-5</v>
      </c>
      <c r="AQ32" s="91">
        <v>4.1109615765084052E-5</v>
      </c>
      <c r="AR32" s="91">
        <v>5.402955770267234E-5</v>
      </c>
      <c r="AS32" s="91">
        <v>4.528138114787461E-5</v>
      </c>
      <c r="AT32" s="91">
        <v>2.6251736774631664E-5</v>
      </c>
      <c r="AU32" s="91">
        <v>5.1136975288728277E-5</v>
      </c>
      <c r="AV32" s="91">
        <v>3.0704805238231355E-5</v>
      </c>
      <c r="AW32" s="91">
        <v>3.5528109199627384E-5</v>
      </c>
      <c r="AX32" s="91">
        <v>2.715483749488784E-5</v>
      </c>
      <c r="AY32" s="91">
        <v>3.2095351191705637E-5</v>
      </c>
      <c r="AZ32" s="91">
        <v>2.5421057810610414E-5</v>
      </c>
      <c r="BA32" s="91">
        <v>4.2882375272983817E-5</v>
      </c>
      <c r="BB32" s="91">
        <v>3.8454171419616154E-5</v>
      </c>
      <c r="BC32" s="91">
        <v>6.6943889714986783E-5</v>
      </c>
      <c r="BD32" s="91">
        <v>4.3006756318261852E-5</v>
      </c>
      <c r="BE32" s="91">
        <v>3.3160205544402483E-5</v>
      </c>
      <c r="BF32" s="91">
        <v>4.2822590440394227E-5</v>
      </c>
      <c r="BG32" s="91">
        <v>1.3147130936371873E-4</v>
      </c>
      <c r="BH32" s="91">
        <v>5.5932106624178954E-5</v>
      </c>
      <c r="BI32" s="91">
        <v>1.5266849803596182E-4</v>
      </c>
      <c r="BJ32" s="91">
        <v>1.0679683223727151E-4</v>
      </c>
      <c r="BK32" s="91">
        <v>5.096339106146934E-5</v>
      </c>
      <c r="BL32" s="91">
        <v>5.4726202834611389E-5</v>
      </c>
      <c r="BM32" s="91">
        <v>3.9954395321147559E-5</v>
      </c>
      <c r="BN32" s="91">
        <v>4.4882243444237671E-5</v>
      </c>
      <c r="BO32" s="91">
        <v>1.0747907225726372E-4</v>
      </c>
      <c r="BP32" s="91">
        <v>5.0774747966610766E-5</v>
      </c>
      <c r="BQ32" s="91">
        <v>7.441220375784376E-5</v>
      </c>
      <c r="BR32" s="91">
        <v>5.7940965222021908E-5</v>
      </c>
      <c r="BS32" s="92">
        <v>1.0495377802762748E-5</v>
      </c>
    </row>
    <row r="33" spans="1:71" x14ac:dyDescent="0.35">
      <c r="A33" s="85">
        <v>32</v>
      </c>
      <c r="B33" s="90">
        <v>5.1875499804865833E-4</v>
      </c>
      <c r="C33" s="91">
        <v>8.340521279720448E-4</v>
      </c>
      <c r="D33" s="91">
        <v>8.9108001607557581E-4</v>
      </c>
      <c r="E33" s="91">
        <v>8.7403788202749806E-4</v>
      </c>
      <c r="F33" s="91">
        <v>9.2726192848082421E-4</v>
      </c>
      <c r="G33" s="91">
        <v>7.4105412777193767E-4</v>
      </c>
      <c r="H33" s="91">
        <v>9.5411644460041581E-4</v>
      </c>
      <c r="I33" s="91">
        <v>1.1062521087622694E-3</v>
      </c>
      <c r="J33" s="91">
        <v>1.8725125637825022E-3</v>
      </c>
      <c r="K33" s="91">
        <v>1.3539277602919678E-3</v>
      </c>
      <c r="L33" s="91">
        <v>9.6593410338658326E-4</v>
      </c>
      <c r="M33" s="91">
        <v>1.1196340454205655E-3</v>
      </c>
      <c r="N33" s="91">
        <v>1.3754882618518737E-3</v>
      </c>
      <c r="O33" s="91">
        <v>1.7137012331173468E-3</v>
      </c>
      <c r="P33" s="91">
        <v>1.7370360164271805E-3</v>
      </c>
      <c r="Q33" s="91">
        <v>7.9994310326171527E-4</v>
      </c>
      <c r="R33" s="91">
        <v>1.1571772175837571E-3</v>
      </c>
      <c r="S33" s="91">
        <v>8.3014943895713114E-4</v>
      </c>
      <c r="T33" s="91">
        <v>1.4484176167270538E-3</v>
      </c>
      <c r="U33" s="91">
        <v>1.490615020769762E-3</v>
      </c>
      <c r="V33" s="91">
        <v>1.567017032798145E-3</v>
      </c>
      <c r="W33" s="91">
        <v>1.1572861591941052E-3</v>
      </c>
      <c r="X33" s="91">
        <v>1.7482156333208322E-3</v>
      </c>
      <c r="Y33" s="91">
        <v>4.8693263419638918E-4</v>
      </c>
      <c r="Z33" s="91">
        <v>3.7498054115445208E-3</v>
      </c>
      <c r="AA33" s="91">
        <v>1.781521094682552E-3</v>
      </c>
      <c r="AB33" s="91">
        <v>2.183171091042155E-3</v>
      </c>
      <c r="AC33" s="91">
        <v>2.1606892454073181E-3</v>
      </c>
      <c r="AD33" s="91">
        <v>6.1279296683029586E-4</v>
      </c>
      <c r="AE33" s="91">
        <v>4.6506368677518995E-3</v>
      </c>
      <c r="AF33" s="91">
        <v>6.0425614138347314E-3</v>
      </c>
      <c r="AG33" s="91">
        <v>3.4177306661067532E-2</v>
      </c>
      <c r="AH33" s="91">
        <v>2.4553103980247972E-3</v>
      </c>
      <c r="AI33" s="91">
        <v>2.2815185577528792E-3</v>
      </c>
      <c r="AJ33" s="92">
        <v>0</v>
      </c>
      <c r="AK33" s="90">
        <v>2.0634159562975286E-5</v>
      </c>
      <c r="AL33" s="91">
        <v>2.2061098891570237E-5</v>
      </c>
      <c r="AM33" s="91">
        <v>1.8492752234116656E-5</v>
      </c>
      <c r="AN33" s="91">
        <v>2.1233276322035458E-5</v>
      </c>
      <c r="AO33" s="91">
        <v>2.3112281928195692E-5</v>
      </c>
      <c r="AP33" s="91">
        <v>9.9847375910799082E-6</v>
      </c>
      <c r="AQ33" s="91">
        <v>1.8828213999149371E-5</v>
      </c>
      <c r="AR33" s="91">
        <v>2.0751720786459623E-5</v>
      </c>
      <c r="AS33" s="91">
        <v>4.8032836903678354E-5</v>
      </c>
      <c r="AT33" s="91">
        <v>2.1965628253540731E-5</v>
      </c>
      <c r="AU33" s="91">
        <v>2.8955505960823348E-5</v>
      </c>
      <c r="AV33" s="91">
        <v>2.7199296388462518E-5</v>
      </c>
      <c r="AW33" s="91">
        <v>5.0796025266416027E-5</v>
      </c>
      <c r="AX33" s="91">
        <v>5.3546429091499981E-5</v>
      </c>
      <c r="AY33" s="91">
        <v>3.9159355966897034E-5</v>
      </c>
      <c r="AZ33" s="91">
        <v>2.1258708572114854E-5</v>
      </c>
      <c r="BA33" s="91">
        <v>2.9883690368088781E-5</v>
      </c>
      <c r="BB33" s="91">
        <v>2.5616918506023122E-5</v>
      </c>
      <c r="BC33" s="91">
        <v>4.1126373297623918E-5</v>
      </c>
      <c r="BD33" s="91">
        <v>2.2960523207797244E-5</v>
      </c>
      <c r="BE33" s="91">
        <v>2.2480961260639194E-5</v>
      </c>
      <c r="BF33" s="91">
        <v>1.2567486166803577E-5</v>
      </c>
      <c r="BG33" s="91">
        <v>3.3435921737753195E-5</v>
      </c>
      <c r="BH33" s="91">
        <v>9.9132947352914247E-6</v>
      </c>
      <c r="BI33" s="91">
        <v>2.1318449126216118E-5</v>
      </c>
      <c r="BJ33" s="91">
        <v>5.5970037788545148E-5</v>
      </c>
      <c r="BK33" s="91">
        <v>2.0786722758241596E-5</v>
      </c>
      <c r="BL33" s="91">
        <v>4.1817668335077313E-5</v>
      </c>
      <c r="BM33" s="91">
        <v>6.8447995641382101E-6</v>
      </c>
      <c r="BN33" s="91">
        <v>4.0052483825543122E-5</v>
      </c>
      <c r="BO33" s="91">
        <v>9.1174410061313523E-5</v>
      </c>
      <c r="BP33" s="91">
        <v>2.0814855074942403E-4</v>
      </c>
      <c r="BQ33" s="91">
        <v>2.3481341579848883E-5</v>
      </c>
      <c r="BR33" s="91">
        <v>2.5145910389836885E-5</v>
      </c>
      <c r="BS33" s="92">
        <v>2.5572884833657785E-5</v>
      </c>
    </row>
    <row r="34" spans="1:71" x14ac:dyDescent="0.35">
      <c r="A34" s="85">
        <v>33</v>
      </c>
      <c r="B34" s="90">
        <v>3.9966829234732108E-3</v>
      </c>
      <c r="C34" s="91">
        <v>6.8514810135433975E-4</v>
      </c>
      <c r="D34" s="91">
        <v>7.3234495505132005E-4</v>
      </c>
      <c r="E34" s="91">
        <v>5.7242334939569344E-4</v>
      </c>
      <c r="F34" s="91">
        <v>5.0350573390622541E-4</v>
      </c>
      <c r="G34" s="91">
        <v>3.644317139068526E-4</v>
      </c>
      <c r="H34" s="91">
        <v>5.4026858150946883E-4</v>
      </c>
      <c r="I34" s="91">
        <v>4.6151503502706107E-4</v>
      </c>
      <c r="J34" s="91">
        <v>7.7569346598041359E-4</v>
      </c>
      <c r="K34" s="91">
        <v>5.9030907633195239E-4</v>
      </c>
      <c r="L34" s="91">
        <v>4.0740258126546752E-4</v>
      </c>
      <c r="M34" s="91">
        <v>3.199298339771072E-4</v>
      </c>
      <c r="N34" s="91">
        <v>4.5877961614539125E-4</v>
      </c>
      <c r="O34" s="91">
        <v>4.1035412129149977E-4</v>
      </c>
      <c r="P34" s="91">
        <v>4.7583655727124265E-4</v>
      </c>
      <c r="Q34" s="91">
        <v>6.0457914522190508E-4</v>
      </c>
      <c r="R34" s="91">
        <v>4.9235969920600185E-4</v>
      </c>
      <c r="S34" s="91">
        <v>4.3583098712701273E-4</v>
      </c>
      <c r="T34" s="91">
        <v>8.1502498495404033E-4</v>
      </c>
      <c r="U34" s="91">
        <v>7.710062336976325E-4</v>
      </c>
      <c r="V34" s="91">
        <v>8.1601002091335746E-4</v>
      </c>
      <c r="W34" s="91">
        <v>1.1315878381052934E-3</v>
      </c>
      <c r="X34" s="91">
        <v>5.4024777170804034E-4</v>
      </c>
      <c r="Y34" s="91">
        <v>3.6684880469886843E-4</v>
      </c>
      <c r="Z34" s="91">
        <v>5.1991608102292257E-4</v>
      </c>
      <c r="AA34" s="91">
        <v>4.9715812710312212E-4</v>
      </c>
      <c r="AB34" s="91">
        <v>8.6805708012569285E-4</v>
      </c>
      <c r="AC34" s="91">
        <v>1.2042925015435908E-3</v>
      </c>
      <c r="AD34" s="91">
        <v>1.2546111511061497E-4</v>
      </c>
      <c r="AE34" s="91">
        <v>8.3324698974980018E-4</v>
      </c>
      <c r="AF34" s="91">
        <v>1.8847123369774947E-3</v>
      </c>
      <c r="AG34" s="91">
        <v>1.3046159116430133E-3</v>
      </c>
      <c r="AH34" s="91">
        <v>6.7523239844108629E-2</v>
      </c>
      <c r="AI34" s="91">
        <v>2.0537907414939459E-3</v>
      </c>
      <c r="AJ34" s="92">
        <v>0</v>
      </c>
      <c r="AK34" s="90">
        <v>2.8036346251193633E-6</v>
      </c>
      <c r="AL34" s="91">
        <v>2.3694024328508459E-6</v>
      </c>
      <c r="AM34" s="91">
        <v>2.8905334767052629E-6</v>
      </c>
      <c r="AN34" s="91">
        <v>5.392093773019346E-6</v>
      </c>
      <c r="AO34" s="91">
        <v>3.972122404143141E-6</v>
      </c>
      <c r="AP34" s="91">
        <v>3.1357838420305416E-6</v>
      </c>
      <c r="AQ34" s="91">
        <v>4.6975772223889739E-6</v>
      </c>
      <c r="AR34" s="91">
        <v>1.7927138003307895E-6</v>
      </c>
      <c r="AS34" s="91">
        <v>8.8591894833608622E-6</v>
      </c>
      <c r="AT34" s="91">
        <v>5.2787971807640641E-6</v>
      </c>
      <c r="AU34" s="91">
        <v>5.2206865689013009E-6</v>
      </c>
      <c r="AV34" s="91">
        <v>3.2572323109068797E-6</v>
      </c>
      <c r="AW34" s="91">
        <v>7.2209477807352694E-6</v>
      </c>
      <c r="AX34" s="91">
        <v>9.5196609644383429E-6</v>
      </c>
      <c r="AY34" s="91">
        <v>6.5174187248653291E-6</v>
      </c>
      <c r="AZ34" s="91">
        <v>4.6532807708791883E-6</v>
      </c>
      <c r="BA34" s="91">
        <v>7.2467279976849509E-6</v>
      </c>
      <c r="BB34" s="91">
        <v>3.2832468770105348E-6</v>
      </c>
      <c r="BC34" s="91">
        <v>4.9204708559454527E-6</v>
      </c>
      <c r="BD34" s="91">
        <v>3.0404092736883712E-6</v>
      </c>
      <c r="BE34" s="91">
        <v>2.6008513633125435E-6</v>
      </c>
      <c r="BF34" s="91">
        <v>2.0226993318131096E-6</v>
      </c>
      <c r="BG34" s="91">
        <v>2.7113036290346425E-6</v>
      </c>
      <c r="BH34" s="91">
        <v>4.9482521364841671E-6</v>
      </c>
      <c r="BI34" s="91">
        <v>5.2279631726178661E-6</v>
      </c>
      <c r="BJ34" s="91">
        <v>9.4228266664196546E-6</v>
      </c>
      <c r="BK34" s="91">
        <v>5.2409871283894431E-6</v>
      </c>
      <c r="BL34" s="91">
        <v>3.3837659421036519E-6</v>
      </c>
      <c r="BM34" s="91">
        <v>1.270588001151388E-6</v>
      </c>
      <c r="BN34" s="91">
        <v>4.4873415687615997E-6</v>
      </c>
      <c r="BO34" s="91">
        <v>2.7957692938656664E-5</v>
      </c>
      <c r="BP34" s="91">
        <v>1.4484466528471788E-5</v>
      </c>
      <c r="BQ34" s="91">
        <v>2.8771010657618362E-5</v>
      </c>
      <c r="BR34" s="91">
        <v>7.2648940895270956E-6</v>
      </c>
      <c r="BS34" s="92">
        <v>9.1443064228179628E-7</v>
      </c>
    </row>
    <row r="35" spans="1:71" x14ac:dyDescent="0.35">
      <c r="A35" s="85">
        <v>34</v>
      </c>
      <c r="B35" s="90">
        <v>2.9303271159272478E-3</v>
      </c>
      <c r="C35" s="91">
        <v>7.3299653695264389E-3</v>
      </c>
      <c r="D35" s="91">
        <v>5.9505285723454532E-3</v>
      </c>
      <c r="E35" s="91">
        <v>6.1779156628607133E-3</v>
      </c>
      <c r="F35" s="91">
        <v>7.0636730420849236E-3</v>
      </c>
      <c r="G35" s="91">
        <v>4.8177757924816071E-3</v>
      </c>
      <c r="H35" s="91">
        <v>2.1158531998839242E-2</v>
      </c>
      <c r="I35" s="91">
        <v>4.7959980787308292E-3</v>
      </c>
      <c r="J35" s="91">
        <v>8.6571665572578744E-3</v>
      </c>
      <c r="K35" s="91">
        <v>4.3205335648067158E-3</v>
      </c>
      <c r="L35" s="91">
        <v>5.3877060582238024E-3</v>
      </c>
      <c r="M35" s="91">
        <v>5.2396153042180279E-3</v>
      </c>
      <c r="N35" s="91">
        <v>3.6427322328320693E-3</v>
      </c>
      <c r="O35" s="91">
        <v>3.1015778361577007E-3</v>
      </c>
      <c r="P35" s="91">
        <v>4.2957708654982026E-3</v>
      </c>
      <c r="Q35" s="91">
        <v>6.2137728913433735E-3</v>
      </c>
      <c r="R35" s="91">
        <v>6.3334931589371195E-3</v>
      </c>
      <c r="S35" s="91">
        <v>3.8604728729785993E-3</v>
      </c>
      <c r="T35" s="91">
        <v>7.3386937810401322E-3</v>
      </c>
      <c r="U35" s="91">
        <v>6.4765117974440239E-3</v>
      </c>
      <c r="V35" s="91">
        <v>1.240221871397218E-2</v>
      </c>
      <c r="W35" s="91">
        <v>1.20627072315554E-2</v>
      </c>
      <c r="X35" s="91">
        <v>4.5612900733646667E-3</v>
      </c>
      <c r="Y35" s="91">
        <v>2.4457298879014587E-3</v>
      </c>
      <c r="Z35" s="91">
        <v>3.8632130030975815E-3</v>
      </c>
      <c r="AA35" s="91">
        <v>8.5968179009464803E-3</v>
      </c>
      <c r="AB35" s="91">
        <v>6.4153134031346409E-3</v>
      </c>
      <c r="AC35" s="91">
        <v>5.0955374746884299E-3</v>
      </c>
      <c r="AD35" s="91">
        <v>5.4389224431593717E-3</v>
      </c>
      <c r="AE35" s="91">
        <v>1.6919606793646055E-2</v>
      </c>
      <c r="AF35" s="91">
        <v>1.8033739366887749E-2</v>
      </c>
      <c r="AG35" s="91">
        <v>5.6324095582063281E-3</v>
      </c>
      <c r="AH35" s="91">
        <v>1.140717404301652E-2</v>
      </c>
      <c r="AI35" s="91">
        <v>0.11372847418906135</v>
      </c>
      <c r="AJ35" s="92">
        <v>0</v>
      </c>
      <c r="AK35" s="90">
        <v>1.7858142324320366E-5</v>
      </c>
      <c r="AL35" s="91">
        <v>3.7810967381497924E-5</v>
      </c>
      <c r="AM35" s="91">
        <v>3.6671061018127944E-5</v>
      </c>
      <c r="AN35" s="91">
        <v>4.4492518600905763E-5</v>
      </c>
      <c r="AO35" s="91">
        <v>4.722648704210593E-5</v>
      </c>
      <c r="AP35" s="91">
        <v>4.2847778338681502E-5</v>
      </c>
      <c r="AQ35" s="91">
        <v>8.5890875480535594E-5</v>
      </c>
      <c r="AR35" s="91">
        <v>1.0321189985186522E-5</v>
      </c>
      <c r="AS35" s="91">
        <v>5.4493300911045255E-5</v>
      </c>
      <c r="AT35" s="91">
        <v>3.6466600535860934E-5</v>
      </c>
      <c r="AU35" s="91">
        <v>5.1090302077472561E-5</v>
      </c>
      <c r="AV35" s="91">
        <v>2.9323311718976746E-5</v>
      </c>
      <c r="AW35" s="91">
        <v>3.7184852919991946E-5</v>
      </c>
      <c r="AX35" s="91">
        <v>2.6331933000784476E-5</v>
      </c>
      <c r="AY35" s="91">
        <v>3.5206683468586985E-5</v>
      </c>
      <c r="AZ35" s="91">
        <v>4.5083098149579483E-5</v>
      </c>
      <c r="BA35" s="91">
        <v>3.4652406917596352E-5</v>
      </c>
      <c r="BB35" s="91">
        <v>3.7424824892033341E-5</v>
      </c>
      <c r="BC35" s="91">
        <v>2.8771533894603924E-5</v>
      </c>
      <c r="BD35" s="91">
        <v>6.9856910332735439E-5</v>
      </c>
      <c r="BE35" s="91">
        <v>6.7706918916986847E-5</v>
      </c>
      <c r="BF35" s="91">
        <v>8.0343111015137593E-5</v>
      </c>
      <c r="BG35" s="91">
        <v>1.5481386626828219E-4</v>
      </c>
      <c r="BH35" s="91">
        <v>3.8134697389705708E-5</v>
      </c>
      <c r="BI35" s="91">
        <v>7.2835004365227285E-5</v>
      </c>
      <c r="BJ35" s="91">
        <v>8.407868804900982E-5</v>
      </c>
      <c r="BK35" s="91">
        <v>1.1797560278484409E-4</v>
      </c>
      <c r="BL35" s="91">
        <v>1.0258995906917197E-4</v>
      </c>
      <c r="BM35" s="91">
        <v>4.4995992799894431E-5</v>
      </c>
      <c r="BN35" s="91">
        <v>1.2733168380880583E-4</v>
      </c>
      <c r="BO35" s="91">
        <v>9.2087618657112885E-5</v>
      </c>
      <c r="BP35" s="91">
        <v>9.0782237653022491E-5</v>
      </c>
      <c r="BQ35" s="91">
        <v>6.1783144190076194E-5</v>
      </c>
      <c r="BR35" s="91">
        <v>5.0062226149044545E-4</v>
      </c>
      <c r="BS35" s="92">
        <v>1.9138132646636048E-5</v>
      </c>
    </row>
    <row r="36" spans="1:71" x14ac:dyDescent="0.35">
      <c r="A36" s="85">
        <v>35</v>
      </c>
      <c r="B36" s="93">
        <v>5.6965407262371117E-8</v>
      </c>
      <c r="C36" s="94">
        <v>1.8842537714451304E-6</v>
      </c>
      <c r="D36" s="94">
        <v>1.5452108572025049E-7</v>
      </c>
      <c r="E36" s="94">
        <v>1.6843823481994768E-7</v>
      </c>
      <c r="F36" s="94">
        <v>3.6720052981716193E-8</v>
      </c>
      <c r="G36" s="94">
        <v>1.7165642887027286E-7</v>
      </c>
      <c r="H36" s="94">
        <v>3.5383069218258172E-7</v>
      </c>
      <c r="I36" s="94">
        <v>2.5337111568729932E-8</v>
      </c>
      <c r="J36" s="94">
        <v>8.4879817063089106E-8</v>
      </c>
      <c r="K36" s="94">
        <v>2.1547746528000459E-7</v>
      </c>
      <c r="L36" s="94">
        <v>2.8830414159624364E-7</v>
      </c>
      <c r="M36" s="94">
        <v>2.2679979166268277E-7</v>
      </c>
      <c r="N36" s="94">
        <v>1.341614864904605E-7</v>
      </c>
      <c r="O36" s="94">
        <v>1.1651164746399204E-7</v>
      </c>
      <c r="P36" s="94">
        <v>1.4150192775936429E-7</v>
      </c>
      <c r="Q36" s="94">
        <v>2.7511453562804567E-7</v>
      </c>
      <c r="R36" s="94">
        <v>1.2601154186808199E-7</v>
      </c>
      <c r="S36" s="94">
        <v>1.693774645852851E-6</v>
      </c>
      <c r="T36" s="94">
        <v>1.0575682005168162E-6</v>
      </c>
      <c r="U36" s="94">
        <v>2.2327872864417268E-7</v>
      </c>
      <c r="V36" s="94">
        <v>4.6241333690198167E-7</v>
      </c>
      <c r="W36" s="94">
        <v>1.0711496773419233E-7</v>
      </c>
      <c r="X36" s="94">
        <v>1.7322418708803313E-6</v>
      </c>
      <c r="Y36" s="94">
        <v>4.8614397509454311E-8</v>
      </c>
      <c r="Z36" s="94">
        <v>1.2134507586007872E-7</v>
      </c>
      <c r="AA36" s="94">
        <v>7.2446824650645351E-7</v>
      </c>
      <c r="AB36" s="94">
        <v>1.9706810734053365E-7</v>
      </c>
      <c r="AC36" s="94">
        <v>2.1408854634490996E-7</v>
      </c>
      <c r="AD36" s="94">
        <v>3.3819256041516535E-4</v>
      </c>
      <c r="AE36" s="94">
        <v>2.4319957895595171E-7</v>
      </c>
      <c r="AF36" s="94">
        <v>1.2695070753438645E-7</v>
      </c>
      <c r="AG36" s="94">
        <v>6.9999609341076935E-7</v>
      </c>
      <c r="AH36" s="94">
        <v>4.6439318883661181E-7</v>
      </c>
      <c r="AI36" s="94">
        <v>5.4703418140823062E-7</v>
      </c>
      <c r="AJ36" s="95">
        <v>0</v>
      </c>
      <c r="AK36" s="93">
        <v>8.6645188918230367E-11</v>
      </c>
      <c r="AL36" s="94">
        <v>1.9638405686274769E-10</v>
      </c>
      <c r="AM36" s="94">
        <v>1.1311418713148005E-10</v>
      </c>
      <c r="AN36" s="94">
        <v>5.9489380926660801E-11</v>
      </c>
      <c r="AO36" s="94">
        <v>2.6436235445407207E-11</v>
      </c>
      <c r="AP36" s="94">
        <v>9.704097098305326E-11</v>
      </c>
      <c r="AQ36" s="94">
        <v>1.8133306851265004E-10</v>
      </c>
      <c r="AR36" s="94">
        <v>1.013825278853456E-9</v>
      </c>
      <c r="AS36" s="94">
        <v>3.0924806635567443E-10</v>
      </c>
      <c r="AT36" s="94">
        <v>9.9628873111122757E-11</v>
      </c>
      <c r="AU36" s="94">
        <v>3.2079505131674657E-10</v>
      </c>
      <c r="AV36" s="94">
        <v>2.5416600655880449E-10</v>
      </c>
      <c r="AW36" s="94">
        <v>7.3568900738517678E-11</v>
      </c>
      <c r="AX36" s="94">
        <v>2.02211347862141E-9</v>
      </c>
      <c r="AY36" s="94">
        <v>1.2921128591819248E-10</v>
      </c>
      <c r="AZ36" s="94">
        <v>1.1630109868011224E-10</v>
      </c>
      <c r="BA36" s="94">
        <v>2.1243138233039362E-11</v>
      </c>
      <c r="BB36" s="94">
        <v>4.3841966472478856E-10</v>
      </c>
      <c r="BC36" s="94">
        <v>1.4968597040240348E-10</v>
      </c>
      <c r="BD36" s="94">
        <v>8.9954685951951819E-11</v>
      </c>
      <c r="BE36" s="94">
        <v>5.6006825612897538E-10</v>
      </c>
      <c r="BF36" s="94">
        <v>1.5815631282030629E-10</v>
      </c>
      <c r="BG36" s="94">
        <v>5.2713074178347771E-10</v>
      </c>
      <c r="BH36" s="94">
        <v>1.371436340040465E-8</v>
      </c>
      <c r="BI36" s="94">
        <v>8.0463899326107303E-9</v>
      </c>
      <c r="BJ36" s="94">
        <v>2.1286618875477758E-9</v>
      </c>
      <c r="BK36" s="94">
        <v>1.4934997121844055E-9</v>
      </c>
      <c r="BL36" s="94">
        <v>2.4362635607668999E-10</v>
      </c>
      <c r="BM36" s="94">
        <v>8.4026790992748749E-11</v>
      </c>
      <c r="BN36" s="94">
        <v>4.1787991766753044E-10</v>
      </c>
      <c r="BO36" s="94">
        <v>2.7727749310709726E-10</v>
      </c>
      <c r="BP36" s="94">
        <v>2.4380169153168637E-10</v>
      </c>
      <c r="BQ36" s="94">
        <v>2.5703512877139762E-10</v>
      </c>
      <c r="BR36" s="94">
        <v>3.5830133856688205E-10</v>
      </c>
      <c r="BS36" s="95">
        <v>0</v>
      </c>
    </row>
    <row r="37" spans="1:71" x14ac:dyDescent="0.35">
      <c r="A37" s="86">
        <v>1</v>
      </c>
      <c r="B37" s="87">
        <v>5.4252039494510672E-3</v>
      </c>
      <c r="C37" s="88">
        <v>8.089939903228188E-5</v>
      </c>
      <c r="D37" s="88">
        <v>1.3824187112670664E-2</v>
      </c>
      <c r="E37" s="88">
        <v>6.5482771991061276E-4</v>
      </c>
      <c r="F37" s="88">
        <v>4.4820320756850236E-4</v>
      </c>
      <c r="G37" s="88">
        <v>4.8156842791271318E-3</v>
      </c>
      <c r="H37" s="88">
        <v>5.3964211154704038E-4</v>
      </c>
      <c r="I37" s="88">
        <v>1.7715746085555758E-5</v>
      </c>
      <c r="J37" s="88">
        <v>1.3258040849767382E-4</v>
      </c>
      <c r="K37" s="88">
        <v>4.6225282422030195E-4</v>
      </c>
      <c r="L37" s="88">
        <v>3.0071259475587278E-5</v>
      </c>
      <c r="M37" s="88">
        <v>2.3253481512356835E-5</v>
      </c>
      <c r="N37" s="88">
        <v>1.5221568253233689E-5</v>
      </c>
      <c r="O37" s="88">
        <v>1.2444041173202263E-5</v>
      </c>
      <c r="P37" s="88">
        <v>9.0635580226531229E-6</v>
      </c>
      <c r="Q37" s="88">
        <v>2.1789846184626526E-4</v>
      </c>
      <c r="R37" s="88">
        <v>7.8009337010725402E-5</v>
      </c>
      <c r="S37" s="88">
        <v>7.3168083090052689E-5</v>
      </c>
      <c r="T37" s="88">
        <v>5.3775466755149768E-5</v>
      </c>
      <c r="U37" s="88">
        <v>2.7328509946994645E-4</v>
      </c>
      <c r="V37" s="88">
        <v>2.7389876709526867E-4</v>
      </c>
      <c r="W37" s="88">
        <v>1.5318268243838988E-3</v>
      </c>
      <c r="X37" s="88">
        <v>2.3125761329067416E-5</v>
      </c>
      <c r="Y37" s="88">
        <v>1.5044778289703879E-4</v>
      </c>
      <c r="Z37" s="88">
        <v>1.7704693025330453E-5</v>
      </c>
      <c r="AA37" s="88">
        <v>4.3636042343361158E-5</v>
      </c>
      <c r="AB37" s="88">
        <v>1.217954637747213E-5</v>
      </c>
      <c r="AC37" s="88">
        <v>9.823894819489768E-6</v>
      </c>
      <c r="AD37" s="88">
        <v>7.2942910323068859E-5</v>
      </c>
      <c r="AE37" s="88">
        <v>1.829598774824755E-5</v>
      </c>
      <c r="AF37" s="88">
        <v>2.6366623317024122E-4</v>
      </c>
      <c r="AG37" s="88">
        <v>7.5921680796344396E-5</v>
      </c>
      <c r="AH37" s="88">
        <v>2.211330655049712E-4</v>
      </c>
      <c r="AI37" s="88">
        <v>2.5438658202911691E-4</v>
      </c>
      <c r="AJ37" s="89">
        <v>0</v>
      </c>
      <c r="AK37" s="87">
        <v>0.11322895395003213</v>
      </c>
      <c r="AL37" s="88">
        <v>5.0874119771675004E-4</v>
      </c>
      <c r="AM37" s="88">
        <v>0.27791492806418788</v>
      </c>
      <c r="AN37" s="88">
        <v>5.7480766501734712E-2</v>
      </c>
      <c r="AO37" s="88">
        <v>6.6575550553485893E-2</v>
      </c>
      <c r="AP37" s="88">
        <v>0.13201449127027554</v>
      </c>
      <c r="AQ37" s="88">
        <v>1.8287175259209934E-2</v>
      </c>
      <c r="AR37" s="88">
        <v>3.1462214163770707E-3</v>
      </c>
      <c r="AS37" s="88">
        <v>9.6752612573687922E-3</v>
      </c>
      <c r="AT37" s="88">
        <v>1.3711465575179528E-2</v>
      </c>
      <c r="AU37" s="88">
        <v>4.5954930525688787E-4</v>
      </c>
      <c r="AV37" s="88">
        <v>9.3184416002355984E-5</v>
      </c>
      <c r="AW37" s="88">
        <v>8.3287692916103216E-5</v>
      </c>
      <c r="AX37" s="88">
        <v>3.5858275752591721E-5</v>
      </c>
      <c r="AY37" s="88">
        <v>5.290739155513387E-5</v>
      </c>
      <c r="AZ37" s="88">
        <v>1.5188255362557005E-2</v>
      </c>
      <c r="BA37" s="88">
        <v>5.8280114715870739E-5</v>
      </c>
      <c r="BB37" s="88">
        <v>3.7690812104610909E-3</v>
      </c>
      <c r="BC37" s="88">
        <v>9.3061774006072452E-4</v>
      </c>
      <c r="BD37" s="88">
        <v>1.7424272964438091E-3</v>
      </c>
      <c r="BE37" s="88">
        <v>1.3122374503245925E-3</v>
      </c>
      <c r="BF37" s="88">
        <v>4.6585102302912046E-2</v>
      </c>
      <c r="BG37" s="88">
        <v>2.0407047057804328E-3</v>
      </c>
      <c r="BH37" s="88">
        <v>1.3539536292092832E-4</v>
      </c>
      <c r="BI37" s="88">
        <v>2.3069976400411803E-4</v>
      </c>
      <c r="BJ37" s="88">
        <v>1.238811892314054E-2</v>
      </c>
      <c r="BK37" s="88">
        <v>1.6566912669429719E-4</v>
      </c>
      <c r="BL37" s="88">
        <v>1.4786993919727414E-4</v>
      </c>
      <c r="BM37" s="88">
        <v>1.1308342599867003E-4</v>
      </c>
      <c r="BN37" s="88">
        <v>1.0635151592901428E-3</v>
      </c>
      <c r="BO37" s="88">
        <v>1.2086208009665972E-3</v>
      </c>
      <c r="BP37" s="88">
        <v>3.3483985450884373E-3</v>
      </c>
      <c r="BQ37" s="88">
        <v>1.8986166717441953E-3</v>
      </c>
      <c r="BR37" s="88">
        <v>2.3462563778532597E-3</v>
      </c>
      <c r="BS37" s="89">
        <v>2.4328615952960605E-5</v>
      </c>
    </row>
    <row r="38" spans="1:71" x14ac:dyDescent="0.35">
      <c r="A38" s="86">
        <v>2</v>
      </c>
      <c r="B38" s="90">
        <v>2.7497694816329264E-4</v>
      </c>
      <c r="C38" s="91">
        <v>2.8449203744144409E-2</v>
      </c>
      <c r="D38" s="91">
        <v>5.4131961713166897E-4</v>
      </c>
      <c r="E38" s="91">
        <v>6.3245400735312013E-4</v>
      </c>
      <c r="F38" s="91">
        <v>7.4642955099262612E-5</v>
      </c>
      <c r="G38" s="91">
        <v>2.0919996679076583E-4</v>
      </c>
      <c r="H38" s="91">
        <v>7.055067281574902E-4</v>
      </c>
      <c r="I38" s="91">
        <v>0.20267878077564647</v>
      </c>
      <c r="J38" s="91">
        <v>3.2615390884723171E-3</v>
      </c>
      <c r="K38" s="91">
        <v>3.7435626691264314E-4</v>
      </c>
      <c r="L38" s="91">
        <v>8.6689053788789813E-3</v>
      </c>
      <c r="M38" s="91">
        <v>1.1156247458232885E-2</v>
      </c>
      <c r="N38" s="91">
        <v>2.5759630441681681E-4</v>
      </c>
      <c r="O38" s="91">
        <v>2.0980186539210934E-4</v>
      </c>
      <c r="P38" s="91">
        <v>2.4526755683203011E-4</v>
      </c>
      <c r="Q38" s="91">
        <v>2.2998697527440749E-3</v>
      </c>
      <c r="R38" s="91">
        <v>4.8877239230896111E-2</v>
      </c>
      <c r="S38" s="91">
        <v>1.6052333860014875E-3</v>
      </c>
      <c r="T38" s="91">
        <v>6.0727257681073517E-5</v>
      </c>
      <c r="U38" s="91">
        <v>2.020181256519704E-4</v>
      </c>
      <c r="V38" s="91">
        <v>1.6022395573457305E-4</v>
      </c>
      <c r="W38" s="91">
        <v>1.3649653880195577E-4</v>
      </c>
      <c r="X38" s="91">
        <v>2.1962191418561369E-4</v>
      </c>
      <c r="Y38" s="91">
        <v>2.3253901115407574E-4</v>
      </c>
      <c r="Z38" s="91">
        <v>1.7660964012718855E-4</v>
      </c>
      <c r="AA38" s="91">
        <v>1.6785706316103236E-4</v>
      </c>
      <c r="AB38" s="91">
        <v>2.8596361978862115E-5</v>
      </c>
      <c r="AC38" s="91">
        <v>2.8019258818727623E-5</v>
      </c>
      <c r="AD38" s="91">
        <v>4.3236663474568794E-5</v>
      </c>
      <c r="AE38" s="91">
        <v>4.2372528548625088E-5</v>
      </c>
      <c r="AF38" s="91">
        <v>2.0107436158948308E-4</v>
      </c>
      <c r="AG38" s="91">
        <v>8.8851933840108899E-5</v>
      </c>
      <c r="AH38" s="91">
        <v>7.7875133300671156E-5</v>
      </c>
      <c r="AI38" s="91">
        <v>1.3486348822994097E-4</v>
      </c>
      <c r="AJ38" s="92">
        <v>0</v>
      </c>
      <c r="AK38" s="90">
        <v>2.8697576200247452E-3</v>
      </c>
      <c r="AL38" s="91">
        <v>9.7123309952980116E-2</v>
      </c>
      <c r="AM38" s="91">
        <v>4.0516669859309981E-3</v>
      </c>
      <c r="AN38" s="91">
        <v>4.7311386271926756E-3</v>
      </c>
      <c r="AO38" s="91">
        <v>3.7263482130297353E-3</v>
      </c>
      <c r="AP38" s="91">
        <v>6.9912093672732743E-3</v>
      </c>
      <c r="AQ38" s="91">
        <v>7.2659427850859156E-3</v>
      </c>
      <c r="AR38" s="91">
        <v>0.4265347944267433</v>
      </c>
      <c r="AS38" s="91">
        <v>4.1760918912571256E-2</v>
      </c>
      <c r="AT38" s="91">
        <v>5.7788260320991375E-3</v>
      </c>
      <c r="AU38" s="91">
        <v>8.4909550691194213E-2</v>
      </c>
      <c r="AV38" s="91">
        <v>7.2088807031706795E-2</v>
      </c>
      <c r="AW38" s="91">
        <v>5.0285603065816737E-3</v>
      </c>
      <c r="AX38" s="91">
        <v>1.2902225134413703E-3</v>
      </c>
      <c r="AY38" s="91">
        <v>1.9699871247694884E-3</v>
      </c>
      <c r="AZ38" s="91">
        <v>6.631977882690856E-3</v>
      </c>
      <c r="BA38" s="91">
        <v>0.11888294419016195</v>
      </c>
      <c r="BB38" s="91">
        <v>2.8827658956750091E-2</v>
      </c>
      <c r="BC38" s="91">
        <v>6.1463293375300064E-4</v>
      </c>
      <c r="BD38" s="91">
        <v>5.0351616737486285E-4</v>
      </c>
      <c r="BE38" s="91">
        <v>1.4089517855130987E-3</v>
      </c>
      <c r="BF38" s="91">
        <v>3.6313622729564417E-3</v>
      </c>
      <c r="BG38" s="91">
        <v>8.3861211974372903E-3</v>
      </c>
      <c r="BH38" s="91">
        <v>6.3216900018733943E-3</v>
      </c>
      <c r="BI38" s="91">
        <v>6.481708954133472E-3</v>
      </c>
      <c r="BJ38" s="91">
        <v>7.6466508695460546E-3</v>
      </c>
      <c r="BK38" s="91">
        <v>6.0130009841906893E-4</v>
      </c>
      <c r="BL38" s="91">
        <v>3.2281150788441654E-4</v>
      </c>
      <c r="BM38" s="91">
        <v>2.542626412590863E-3</v>
      </c>
      <c r="BN38" s="91">
        <v>1.1897353501225776E-3</v>
      </c>
      <c r="BO38" s="91">
        <v>4.0015193827863081E-3</v>
      </c>
      <c r="BP38" s="91">
        <v>3.001209833249223E-3</v>
      </c>
      <c r="BQ38" s="91">
        <v>2.8772038118360945E-3</v>
      </c>
      <c r="BR38" s="91">
        <v>4.1975520275223345E-3</v>
      </c>
      <c r="BS38" s="92">
        <v>2.4802958633488767E-5</v>
      </c>
    </row>
    <row r="39" spans="1:71" x14ac:dyDescent="0.35">
      <c r="A39" s="86">
        <v>3</v>
      </c>
      <c r="B39" s="90">
        <v>3.6630922903283041E-3</v>
      </c>
      <c r="C39" s="91">
        <v>7.5405568569215567E-5</v>
      </c>
      <c r="D39" s="91">
        <v>8.598793469527917E-3</v>
      </c>
      <c r="E39" s="91">
        <v>2.5795407175325602E-4</v>
      </c>
      <c r="F39" s="91">
        <v>2.5973726531425731E-3</v>
      </c>
      <c r="G39" s="91">
        <v>8.0074377834611383E-5</v>
      </c>
      <c r="H39" s="91">
        <v>1.6655958724009725E-4</v>
      </c>
      <c r="I39" s="91">
        <v>1.5112631050247485E-4</v>
      </c>
      <c r="J39" s="91">
        <v>1.0051003229514096E-3</v>
      </c>
      <c r="K39" s="91">
        <v>3.4296449239998029E-4</v>
      </c>
      <c r="L39" s="91">
        <v>8.1993607369764982E-5</v>
      </c>
      <c r="M39" s="91">
        <v>7.6904414032216912E-5</v>
      </c>
      <c r="N39" s="91">
        <v>6.4671601238565639E-5</v>
      </c>
      <c r="O39" s="91">
        <v>6.4945205808385954E-5</v>
      </c>
      <c r="P39" s="91">
        <v>5.6382626100509277E-5</v>
      </c>
      <c r="Q39" s="91">
        <v>2.2309143051629519E-4</v>
      </c>
      <c r="R39" s="91">
        <v>3.2955017182680909E-5</v>
      </c>
      <c r="S39" s="91">
        <v>4.3116010417866384E-5</v>
      </c>
      <c r="T39" s="91">
        <v>9.8548492793619664E-5</v>
      </c>
      <c r="U39" s="91">
        <v>2.9309233276853783E-4</v>
      </c>
      <c r="V39" s="91">
        <v>5.8373166923740734E-4</v>
      </c>
      <c r="W39" s="91">
        <v>8.6785669241774711E-3</v>
      </c>
      <c r="X39" s="91">
        <v>4.7035872440267239E-5</v>
      </c>
      <c r="Y39" s="91">
        <v>3.3274430281076978E-4</v>
      </c>
      <c r="Z39" s="91">
        <v>1.2806870102185638E-4</v>
      </c>
      <c r="AA39" s="91">
        <v>6.3900194986989115E-5</v>
      </c>
      <c r="AB39" s="91">
        <v>4.4261562452748603E-5</v>
      </c>
      <c r="AC39" s="91">
        <v>3.824493194521619E-5</v>
      </c>
      <c r="AD39" s="91">
        <v>1.4076647385818207E-5</v>
      </c>
      <c r="AE39" s="91">
        <v>8.0955330023356475E-5</v>
      </c>
      <c r="AF39" s="91">
        <v>2.2679614278740527E-4</v>
      </c>
      <c r="AG39" s="91">
        <v>2.7549970729183124E-4</v>
      </c>
      <c r="AH39" s="91">
        <v>8.689988548052671E-4</v>
      </c>
      <c r="AI39" s="91">
        <v>4.9228723231698E-4</v>
      </c>
      <c r="AJ39" s="92">
        <v>0</v>
      </c>
      <c r="AK39" s="90">
        <v>6.5438373808558215E-2</v>
      </c>
      <c r="AL39" s="91">
        <v>7.5421462796248725E-4</v>
      </c>
      <c r="AM39" s="91">
        <v>0.16899573760835424</v>
      </c>
      <c r="AN39" s="91">
        <v>5.3575661744908716E-3</v>
      </c>
      <c r="AO39" s="91">
        <v>0.11166947252287174</v>
      </c>
      <c r="AP39" s="91">
        <v>3.6090210634320912E-3</v>
      </c>
      <c r="AQ39" s="91">
        <v>3.6701391475324127E-3</v>
      </c>
      <c r="AR39" s="91">
        <v>1.9049137987520257E-3</v>
      </c>
      <c r="AS39" s="91">
        <v>1.2514117126555318E-2</v>
      </c>
      <c r="AT39" s="91">
        <v>4.2868834695522721E-3</v>
      </c>
      <c r="AU39" s="91">
        <v>3.3349889339113932E-3</v>
      </c>
      <c r="AV39" s="91">
        <v>2.4765956799212654E-3</v>
      </c>
      <c r="AW39" s="91">
        <v>2.2378795477461131E-3</v>
      </c>
      <c r="AX39" s="91">
        <v>1.5705147570001172E-3</v>
      </c>
      <c r="AY39" s="91">
        <v>1.291840111758589E-3</v>
      </c>
      <c r="AZ39" s="91">
        <v>2.8868993524161892E-3</v>
      </c>
      <c r="BA39" s="91">
        <v>1.2378961194423521E-3</v>
      </c>
      <c r="BB39" s="91">
        <v>1.9177070628916438E-3</v>
      </c>
      <c r="BC39" s="91">
        <v>8.5809686758368928E-4</v>
      </c>
      <c r="BD39" s="91">
        <v>4.2095404254469298E-3</v>
      </c>
      <c r="BE39" s="91">
        <v>2.219363692708174E-3</v>
      </c>
      <c r="BF39" s="91">
        <v>0.14663924238921264</v>
      </c>
      <c r="BG39" s="91">
        <v>2.0846893277440487E-3</v>
      </c>
      <c r="BH39" s="91">
        <v>5.168662003754332E-3</v>
      </c>
      <c r="BI39" s="91">
        <v>5.653669505357675E-3</v>
      </c>
      <c r="BJ39" s="91">
        <v>1.8793934312078331E-3</v>
      </c>
      <c r="BK39" s="91">
        <v>1.2594587228330438E-3</v>
      </c>
      <c r="BL39" s="91">
        <v>6.5357559422462132E-4</v>
      </c>
      <c r="BM39" s="91">
        <v>2.2589147789803826E-4</v>
      </c>
      <c r="BN39" s="91">
        <v>1.9798542648726413E-3</v>
      </c>
      <c r="BO39" s="91">
        <v>6.777140165126783E-3</v>
      </c>
      <c r="BP39" s="91">
        <v>8.7163325945084878E-3</v>
      </c>
      <c r="BQ39" s="91">
        <v>9.7521495836014535E-3</v>
      </c>
      <c r="BR39" s="91">
        <v>7.5687110864973593E-3</v>
      </c>
      <c r="BS39" s="92">
        <v>5.0111837064532619E-5</v>
      </c>
    </row>
    <row r="40" spans="1:71" x14ac:dyDescent="0.35">
      <c r="A40" s="86">
        <v>4</v>
      </c>
      <c r="B40" s="90">
        <v>2.9270772412405311E-4</v>
      </c>
      <c r="C40" s="91">
        <v>2.5034426013720307E-4</v>
      </c>
      <c r="D40" s="91">
        <v>1.2971931251742658E-4</v>
      </c>
      <c r="E40" s="91">
        <v>4.0775333511672139E-2</v>
      </c>
      <c r="F40" s="91">
        <v>6.4754199252958135E-3</v>
      </c>
      <c r="G40" s="91">
        <v>1.8792989555640948E-4</v>
      </c>
      <c r="H40" s="91">
        <v>4.1888658130418235E-4</v>
      </c>
      <c r="I40" s="91">
        <v>7.964795378061859E-5</v>
      </c>
      <c r="J40" s="91">
        <v>5.0305540555377218E-4</v>
      </c>
      <c r="K40" s="91">
        <v>1.8132496588297972E-3</v>
      </c>
      <c r="L40" s="91">
        <v>3.0468787744665097E-4</v>
      </c>
      <c r="M40" s="91">
        <v>1.8994904403712084E-4</v>
      </c>
      <c r="N40" s="91">
        <v>2.3626613413265011E-4</v>
      </c>
      <c r="O40" s="91">
        <v>2.2259552971529048E-4</v>
      </c>
      <c r="P40" s="91">
        <v>9.0510551697606278E-4</v>
      </c>
      <c r="Q40" s="91">
        <v>4.2657797992169148E-3</v>
      </c>
      <c r="R40" s="91">
        <v>5.143071062415664E-5</v>
      </c>
      <c r="S40" s="91">
        <v>2.6396951879169213E-4</v>
      </c>
      <c r="T40" s="91">
        <v>2.04120801547652E-4</v>
      </c>
      <c r="U40" s="91">
        <v>3.5754122302256587E-4</v>
      </c>
      <c r="V40" s="91">
        <v>4.754817387962652E-4</v>
      </c>
      <c r="W40" s="91">
        <v>5.1924634738106012E-4</v>
      </c>
      <c r="X40" s="91">
        <v>9.6466774551738497E-5</v>
      </c>
      <c r="Y40" s="91">
        <v>8.6614935742901019E-5</v>
      </c>
      <c r="Z40" s="91">
        <v>6.513456932969407E-5</v>
      </c>
      <c r="AA40" s="91">
        <v>6.9613256831638353E-5</v>
      </c>
      <c r="AB40" s="91">
        <v>9.0794099396673386E-5</v>
      </c>
      <c r="AC40" s="91">
        <v>4.3151843608235582E-5</v>
      </c>
      <c r="AD40" s="91">
        <v>4.0936026474818488E-5</v>
      </c>
      <c r="AE40" s="91">
        <v>8.4744418286683557E-5</v>
      </c>
      <c r="AF40" s="91">
        <v>3.1504331919063756E-4</v>
      </c>
      <c r="AG40" s="91">
        <v>1.4519127318353203E-4</v>
      </c>
      <c r="AH40" s="91">
        <v>6.7280061463521434E-4</v>
      </c>
      <c r="AI40" s="91">
        <v>5.094405312335604E-4</v>
      </c>
      <c r="AJ40" s="92">
        <v>0</v>
      </c>
      <c r="AK40" s="90">
        <v>1.6294513434924464E-3</v>
      </c>
      <c r="AL40" s="91">
        <v>9.5493983303528499E-4</v>
      </c>
      <c r="AM40" s="91">
        <v>1.7884870994310492E-3</v>
      </c>
      <c r="AN40" s="91">
        <v>0.41377533629983376</v>
      </c>
      <c r="AO40" s="91">
        <v>7.1585987153955422E-2</v>
      </c>
      <c r="AP40" s="91">
        <v>4.0373609607715025E-3</v>
      </c>
      <c r="AQ40" s="91">
        <v>8.2417835220045445E-3</v>
      </c>
      <c r="AR40" s="91">
        <v>7.2440699550126056E-4</v>
      </c>
      <c r="AS40" s="91">
        <v>4.3149231384316256E-3</v>
      </c>
      <c r="AT40" s="91">
        <v>1.8880009713805147E-2</v>
      </c>
      <c r="AU40" s="91">
        <v>5.760836817321105E-3</v>
      </c>
      <c r="AV40" s="91">
        <v>3.036476094169422E-3</v>
      </c>
      <c r="AW40" s="91">
        <v>3.3397014470927296E-3</v>
      </c>
      <c r="AX40" s="91">
        <v>2.1361860901411506E-3</v>
      </c>
      <c r="AY40" s="91">
        <v>4.0224765243205016E-3</v>
      </c>
      <c r="AZ40" s="91">
        <v>2.8739787356823449E-2</v>
      </c>
      <c r="BA40" s="91">
        <v>1.5153443823508893E-3</v>
      </c>
      <c r="BB40" s="91">
        <v>2.8039073140016038E-3</v>
      </c>
      <c r="BC40" s="91">
        <v>1.6655540482228184E-3</v>
      </c>
      <c r="BD40" s="91">
        <v>2.9940427783792822E-3</v>
      </c>
      <c r="BE40" s="91">
        <v>2.6176826536655788E-3</v>
      </c>
      <c r="BF40" s="91">
        <v>2.7403938893355408E-3</v>
      </c>
      <c r="BG40" s="91">
        <v>2.6500580756730618E-3</v>
      </c>
      <c r="BH40" s="91">
        <v>4.4946431146692814E-3</v>
      </c>
      <c r="BI40" s="91">
        <v>3.5463442784491087E-3</v>
      </c>
      <c r="BJ40" s="91">
        <v>3.2449898291184451E-3</v>
      </c>
      <c r="BK40" s="91">
        <v>6.1210061715601658E-4</v>
      </c>
      <c r="BL40" s="91">
        <v>5.4194665370874693E-4</v>
      </c>
      <c r="BM40" s="91">
        <v>4.6273027256779435E-4</v>
      </c>
      <c r="BN40" s="91">
        <v>2.1560276870670305E-3</v>
      </c>
      <c r="BO40" s="91">
        <v>2.7792104665632002E-3</v>
      </c>
      <c r="BP40" s="91">
        <v>1.3939651548697883E-3</v>
      </c>
      <c r="BQ40" s="91">
        <v>3.5613077816458606E-3</v>
      </c>
      <c r="BR40" s="91">
        <v>4.9516367977839983E-3</v>
      </c>
      <c r="BS40" s="92">
        <v>2.0484944972419208E-4</v>
      </c>
    </row>
    <row r="41" spans="1:71" x14ac:dyDescent="0.35">
      <c r="A41" s="86">
        <v>5</v>
      </c>
      <c r="B41" s="90">
        <v>4.6542035333218464E-5</v>
      </c>
      <c r="C41" s="91">
        <v>3.5048983187787085E-5</v>
      </c>
      <c r="D41" s="91">
        <v>2.5150925446812023E-5</v>
      </c>
      <c r="E41" s="91">
        <v>6.7547496946782754E-4</v>
      </c>
      <c r="F41" s="91">
        <v>2.7242470761515328E-2</v>
      </c>
      <c r="G41" s="91">
        <v>4.0615278907230559E-5</v>
      </c>
      <c r="H41" s="91">
        <v>2.010082215510894E-5</v>
      </c>
      <c r="I41" s="91">
        <v>2.2746506080584624E-5</v>
      </c>
      <c r="J41" s="91">
        <v>2.353651938536617E-5</v>
      </c>
      <c r="K41" s="91">
        <v>7.4090910310449813E-5</v>
      </c>
      <c r="L41" s="91">
        <v>2.7582092064104544E-5</v>
      </c>
      <c r="M41" s="91">
        <v>3.0556349649637006E-5</v>
      </c>
      <c r="N41" s="91">
        <v>3.450154654137869E-5</v>
      </c>
      <c r="O41" s="91">
        <v>4.6325496649007979E-5</v>
      </c>
      <c r="P41" s="91">
        <v>1.5827941035890237E-4</v>
      </c>
      <c r="Q41" s="91">
        <v>1.3421708757235559E-3</v>
      </c>
      <c r="R41" s="91">
        <v>7.4305705665577981E-6</v>
      </c>
      <c r="S41" s="91">
        <v>3.2637582722159242E-5</v>
      </c>
      <c r="T41" s="91">
        <v>3.3617714552010926E-4</v>
      </c>
      <c r="U41" s="91">
        <v>1.1765678916159181E-4</v>
      </c>
      <c r="V41" s="91">
        <v>1.0702583982698236E-4</v>
      </c>
      <c r="W41" s="91">
        <v>8.482247403260994E-5</v>
      </c>
      <c r="X41" s="91">
        <v>2.3341919549204711E-5</v>
      </c>
      <c r="Y41" s="91">
        <v>3.5694703248408613E-6</v>
      </c>
      <c r="Z41" s="91">
        <v>1.2511183911238787E-5</v>
      </c>
      <c r="AA41" s="91">
        <v>1.455557330814726E-5</v>
      </c>
      <c r="AB41" s="91">
        <v>2.2142989778581262E-5</v>
      </c>
      <c r="AC41" s="91">
        <v>1.0990533742926519E-5</v>
      </c>
      <c r="AD41" s="91">
        <v>2.598016507903612E-6</v>
      </c>
      <c r="AE41" s="91">
        <v>1.6545472494812388E-5</v>
      </c>
      <c r="AF41" s="91">
        <v>7.8994163436509751E-5</v>
      </c>
      <c r="AG41" s="91">
        <v>3.3976607737027879E-5</v>
      </c>
      <c r="AH41" s="91">
        <v>6.2661164921649798E-5</v>
      </c>
      <c r="AI41" s="91">
        <v>1.0199755690644538E-4</v>
      </c>
      <c r="AJ41" s="92">
        <v>0</v>
      </c>
      <c r="AK41" s="90">
        <v>1.4556105037612742E-4</v>
      </c>
      <c r="AL41" s="91">
        <v>4.9335037309940566E-5</v>
      </c>
      <c r="AM41" s="91">
        <v>9.989457129467242E-5</v>
      </c>
      <c r="AN41" s="91">
        <v>1.5426474715274576E-2</v>
      </c>
      <c r="AO41" s="91">
        <v>0.24944230017610691</v>
      </c>
      <c r="AP41" s="91">
        <v>6.3542022738422672E-4</v>
      </c>
      <c r="AQ41" s="91">
        <v>8.8338124708094981E-4</v>
      </c>
      <c r="AR41" s="91">
        <v>3.0887300043472419E-5</v>
      </c>
      <c r="AS41" s="91">
        <v>3.247801867797478E-4</v>
      </c>
      <c r="AT41" s="91">
        <v>1.4695683285228757E-3</v>
      </c>
      <c r="AU41" s="91">
        <v>2.7519636523646158E-4</v>
      </c>
      <c r="AV41" s="91">
        <v>1.0912764094336696E-4</v>
      </c>
      <c r="AW41" s="91">
        <v>1.8016862590756005E-4</v>
      </c>
      <c r="AX41" s="91">
        <v>3.3750837916795824E-4</v>
      </c>
      <c r="AY41" s="91">
        <v>3.0538498019424087E-3</v>
      </c>
      <c r="AZ41" s="91">
        <v>6.4183222431153653E-3</v>
      </c>
      <c r="BA41" s="91">
        <v>7.8507927568137315E-5</v>
      </c>
      <c r="BB41" s="91">
        <v>8.478477948977315E-5</v>
      </c>
      <c r="BC41" s="91">
        <v>1.0259058208542822E-4</v>
      </c>
      <c r="BD41" s="91">
        <v>7.5673982623320851E-5</v>
      </c>
      <c r="BE41" s="91">
        <v>1.1708871452334623E-4</v>
      </c>
      <c r="BF41" s="91">
        <v>5.5021037912052533E-5</v>
      </c>
      <c r="BG41" s="91">
        <v>2.8637349464645637E-4</v>
      </c>
      <c r="BH41" s="91">
        <v>1.1143987033431231E-4</v>
      </c>
      <c r="BI41" s="91">
        <v>1.6567559118903962E-4</v>
      </c>
      <c r="BJ41" s="91">
        <v>2.6415180254740056E-4</v>
      </c>
      <c r="BK41" s="91">
        <v>1.7931575386433414E-4</v>
      </c>
      <c r="BL41" s="91">
        <v>3.1384299864436826E-5</v>
      </c>
      <c r="BM41" s="91">
        <v>8.3565984856813449E-6</v>
      </c>
      <c r="BN41" s="91">
        <v>1.0351440322167588E-4</v>
      </c>
      <c r="BO41" s="91">
        <v>6.8824526492025141E-4</v>
      </c>
      <c r="BP41" s="91">
        <v>1.2846821751931765E-4</v>
      </c>
      <c r="BQ41" s="91">
        <v>2.847138619110778E-4</v>
      </c>
      <c r="BR41" s="91">
        <v>4.2489861995169517E-4</v>
      </c>
      <c r="BS41" s="92">
        <v>5.1198414884883935E-6</v>
      </c>
    </row>
    <row r="42" spans="1:71" x14ac:dyDescent="0.35">
      <c r="A42" s="86">
        <v>6</v>
      </c>
      <c r="B42" s="90">
        <v>1.6517503830405745E-4</v>
      </c>
      <c r="C42" s="91">
        <v>1.4096855015537061E-4</v>
      </c>
      <c r="D42" s="91">
        <v>1.4520761602329336E-4</v>
      </c>
      <c r="E42" s="91">
        <v>6.3783489816887485E-5</v>
      </c>
      <c r="F42" s="91">
        <v>1.2090063372820168E-4</v>
      </c>
      <c r="G42" s="91">
        <v>1.1826986425163721E-2</v>
      </c>
      <c r="H42" s="91">
        <v>3.2728433602101777E-4</v>
      </c>
      <c r="I42" s="91">
        <v>3.6881515285614377E-5</v>
      </c>
      <c r="J42" s="91">
        <v>9.0527671691639316E-5</v>
      </c>
      <c r="K42" s="91">
        <v>1.8413908500582851E-4</v>
      </c>
      <c r="L42" s="91">
        <v>3.2922111464312565E-4</v>
      </c>
      <c r="M42" s="91">
        <v>2.0847485382540374E-4</v>
      </c>
      <c r="N42" s="91">
        <v>1.5794403544013672E-4</v>
      </c>
      <c r="O42" s="91">
        <v>9.4504581832534695E-5</v>
      </c>
      <c r="P42" s="91">
        <v>1.9992850708050141E-4</v>
      </c>
      <c r="Q42" s="91">
        <v>5.4723351145503389E-3</v>
      </c>
      <c r="R42" s="91">
        <v>6.7613978433479682E-5</v>
      </c>
      <c r="S42" s="91">
        <v>1.3561518899640906E-3</v>
      </c>
      <c r="T42" s="91">
        <v>4.2755282809291806E-5</v>
      </c>
      <c r="U42" s="91">
        <v>6.297611207489441E-5</v>
      </c>
      <c r="V42" s="91">
        <v>7.5401557119626723E-5</v>
      </c>
      <c r="W42" s="91">
        <v>7.0039783338250098E-5</v>
      </c>
      <c r="X42" s="91">
        <v>2.3948707563259799E-5</v>
      </c>
      <c r="Y42" s="91">
        <v>1.2127433041516649E-5</v>
      </c>
      <c r="Z42" s="91">
        <v>1.1972417225945916E-5</v>
      </c>
      <c r="AA42" s="91">
        <v>7.8773074859442212E-5</v>
      </c>
      <c r="AB42" s="91">
        <v>2.2403050923276991E-5</v>
      </c>
      <c r="AC42" s="91">
        <v>8.3068263709909569E-6</v>
      </c>
      <c r="AD42" s="91">
        <v>9.7954813464884067E-5</v>
      </c>
      <c r="AE42" s="91">
        <v>3.8259548756549005E-5</v>
      </c>
      <c r="AF42" s="91">
        <v>4.5887975970637765E-5</v>
      </c>
      <c r="AG42" s="91">
        <v>6.6005201089858824E-5</v>
      </c>
      <c r="AH42" s="91">
        <v>2.0795563137878288E-5</v>
      </c>
      <c r="AI42" s="91">
        <v>1.7902955557471176E-4</v>
      </c>
      <c r="AJ42" s="92">
        <v>0</v>
      </c>
      <c r="AK42" s="90">
        <v>1.0623913764672714E-3</v>
      </c>
      <c r="AL42" s="91">
        <v>1.3608524146122578E-3</v>
      </c>
      <c r="AM42" s="91">
        <v>1.220119237586498E-3</v>
      </c>
      <c r="AN42" s="91">
        <v>1.5197970157528552E-3</v>
      </c>
      <c r="AO42" s="91">
        <v>1.7098846535938403E-3</v>
      </c>
      <c r="AP42" s="91">
        <v>0.28837249708054213</v>
      </c>
      <c r="AQ42" s="91">
        <v>1.4982101067905377E-2</v>
      </c>
      <c r="AR42" s="91">
        <v>2.2796835326841221E-4</v>
      </c>
      <c r="AS42" s="91">
        <v>1.4313224598161743E-3</v>
      </c>
      <c r="AT42" s="91">
        <v>2.8893907739896709E-3</v>
      </c>
      <c r="AU42" s="91">
        <v>8.8439972480186813E-3</v>
      </c>
      <c r="AV42" s="91">
        <v>4.3477541456191371E-3</v>
      </c>
      <c r="AW42" s="91">
        <v>3.4791552685858864E-3</v>
      </c>
      <c r="AX42" s="91">
        <v>1.6090738072101522E-3</v>
      </c>
      <c r="AY42" s="91">
        <v>2.5254054621969969E-3</v>
      </c>
      <c r="AZ42" s="91">
        <v>6.4165798446025088E-2</v>
      </c>
      <c r="BA42" s="91">
        <v>4.6250268787133313E-4</v>
      </c>
      <c r="BB42" s="91">
        <v>2.9958404152156483E-2</v>
      </c>
      <c r="BC42" s="91">
        <v>9.5665150110670668E-4</v>
      </c>
      <c r="BD42" s="91">
        <v>9.4771456869652813E-4</v>
      </c>
      <c r="BE42" s="91">
        <v>1.0024297137270375E-3</v>
      </c>
      <c r="BF42" s="91">
        <v>2.5668016321549873E-3</v>
      </c>
      <c r="BG42" s="91">
        <v>1.354121548359433E-3</v>
      </c>
      <c r="BH42" s="91">
        <v>7.1200387623728792E-4</v>
      </c>
      <c r="BI42" s="91">
        <v>3.7894128110183982E-4</v>
      </c>
      <c r="BJ42" s="91">
        <v>2.6148549585209972E-3</v>
      </c>
      <c r="BK42" s="91">
        <v>4.584167756926295E-4</v>
      </c>
      <c r="BL42" s="91">
        <v>2.907348840140936E-4</v>
      </c>
      <c r="BM42" s="91">
        <v>1.2496914482205349E-3</v>
      </c>
      <c r="BN42" s="91">
        <v>1.1742681139713105E-3</v>
      </c>
      <c r="BO42" s="91">
        <v>2.3163460994114256E-3</v>
      </c>
      <c r="BP42" s="91">
        <v>4.2942161906576824E-3</v>
      </c>
      <c r="BQ42" s="91">
        <v>1.9963943908630206E-3</v>
      </c>
      <c r="BR42" s="91">
        <v>2.4138229957773828E-3</v>
      </c>
      <c r="BS42" s="92">
        <v>4.6421509805707173E-5</v>
      </c>
    </row>
    <row r="43" spans="1:71" x14ac:dyDescent="0.35">
      <c r="A43" s="86">
        <v>7</v>
      </c>
      <c r="B43" s="90">
        <v>1.5540858486402857E-4</v>
      </c>
      <c r="C43" s="91">
        <v>3.2888575448181915E-4</v>
      </c>
      <c r="D43" s="91">
        <v>1.416792260023977E-3</v>
      </c>
      <c r="E43" s="91">
        <v>7.022284964925573E-4</v>
      </c>
      <c r="F43" s="91">
        <v>7.9481010915460101E-4</v>
      </c>
      <c r="G43" s="91">
        <v>7.2882884072811565E-4</v>
      </c>
      <c r="H43" s="91">
        <v>1.3347737278931678E-2</v>
      </c>
      <c r="I43" s="91">
        <v>3.9514401518554493E-4</v>
      </c>
      <c r="J43" s="91">
        <v>1.228438131833408E-3</v>
      </c>
      <c r="K43" s="91">
        <v>9.7453468765483432E-4</v>
      </c>
      <c r="L43" s="91">
        <v>8.1474062208289626E-4</v>
      </c>
      <c r="M43" s="91">
        <v>3.2306728828078815E-4</v>
      </c>
      <c r="N43" s="91">
        <v>4.9418209885500797E-4</v>
      </c>
      <c r="O43" s="91">
        <v>7.4079373768279658E-4</v>
      </c>
      <c r="P43" s="91">
        <v>2.6278487899052404E-4</v>
      </c>
      <c r="Q43" s="91">
        <v>1.2204731005273392E-3</v>
      </c>
      <c r="R43" s="91">
        <v>2.0748916911163983E-4</v>
      </c>
      <c r="S43" s="91">
        <v>2.3340781920477808E-4</v>
      </c>
      <c r="T43" s="91">
        <v>3.3212884212007604E-4</v>
      </c>
      <c r="U43" s="91">
        <v>6.035761879892331E-4</v>
      </c>
      <c r="V43" s="91">
        <v>7.5324426857304458E-4</v>
      </c>
      <c r="W43" s="91">
        <v>3.4618065627981697E-4</v>
      </c>
      <c r="X43" s="91">
        <v>2.6038847945769432E-4</v>
      </c>
      <c r="Y43" s="91">
        <v>1.6430212510289445E-4</v>
      </c>
      <c r="Z43" s="91">
        <v>2.6087088944077018E-4</v>
      </c>
      <c r="AA43" s="91">
        <v>3.3358461741795731E-4</v>
      </c>
      <c r="AB43" s="91">
        <v>3.4714506677799214E-4</v>
      </c>
      <c r="AC43" s="91">
        <v>4.2683908984545311E-4</v>
      </c>
      <c r="AD43" s="91">
        <v>9.6961979472881568E-5</v>
      </c>
      <c r="AE43" s="91">
        <v>6.4310179111797699E-4</v>
      </c>
      <c r="AF43" s="91">
        <v>5.2120253669755946E-4</v>
      </c>
      <c r="AG43" s="91">
        <v>3.80197999350187E-4</v>
      </c>
      <c r="AH43" s="91">
        <v>3.8931659530678755E-4</v>
      </c>
      <c r="AI43" s="91">
        <v>4.2815007398204231E-4</v>
      </c>
      <c r="AJ43" s="92">
        <v>0</v>
      </c>
      <c r="AK43" s="90">
        <v>2.0529933110363585E-3</v>
      </c>
      <c r="AL43" s="91">
        <v>1.8332840485079415E-3</v>
      </c>
      <c r="AM43" s="91">
        <v>2.4751077891095392E-2</v>
      </c>
      <c r="AN43" s="91">
        <v>1.1116980095459828E-2</v>
      </c>
      <c r="AO43" s="91">
        <v>1.4698023338336325E-2</v>
      </c>
      <c r="AP43" s="91">
        <v>1.4476489359584833E-2</v>
      </c>
      <c r="AQ43" s="91">
        <v>0.25284892909885748</v>
      </c>
      <c r="AR43" s="91">
        <v>1.625727904883807E-3</v>
      </c>
      <c r="AS43" s="91">
        <v>1.359398607092276E-2</v>
      </c>
      <c r="AT43" s="91">
        <v>1.5895719651276778E-2</v>
      </c>
      <c r="AU43" s="91">
        <v>2.4113451738390381E-2</v>
      </c>
      <c r="AV43" s="91">
        <v>4.7482924092028854E-3</v>
      </c>
      <c r="AW43" s="91">
        <v>5.773756145017509E-3</v>
      </c>
      <c r="AX43" s="91">
        <v>7.5613521594631982E-3</v>
      </c>
      <c r="AY43" s="91">
        <v>3.7445955413487986E-3</v>
      </c>
      <c r="AZ43" s="91">
        <v>1.7092995100403591E-2</v>
      </c>
      <c r="BA43" s="91">
        <v>2.5421619629598614E-3</v>
      </c>
      <c r="BB43" s="91">
        <v>3.8203134488142801E-3</v>
      </c>
      <c r="BC43" s="91">
        <v>5.3259953865155913E-3</v>
      </c>
      <c r="BD43" s="91">
        <v>9.2149180651351272E-3</v>
      </c>
      <c r="BE43" s="91">
        <v>7.9149471581346185E-3</v>
      </c>
      <c r="BF43" s="91">
        <v>7.7957854230308096E-3</v>
      </c>
      <c r="BG43" s="91">
        <v>7.0628527585314665E-3</v>
      </c>
      <c r="BH43" s="91">
        <v>4.1423729893284881E-3</v>
      </c>
      <c r="BI43" s="91">
        <v>5.3516735427521335E-3</v>
      </c>
      <c r="BJ43" s="91">
        <v>1.5015905391069147E-2</v>
      </c>
      <c r="BK43" s="91">
        <v>8.2004895286559593E-3</v>
      </c>
      <c r="BL43" s="91">
        <v>1.1190764997874426E-2</v>
      </c>
      <c r="BM43" s="91">
        <v>1.2930201385150933E-3</v>
      </c>
      <c r="BN43" s="91">
        <v>1.8892006920318689E-2</v>
      </c>
      <c r="BO43" s="91">
        <v>1.7584842504878306E-2</v>
      </c>
      <c r="BP43" s="91">
        <v>2.0404679128069713E-2</v>
      </c>
      <c r="BQ43" s="91">
        <v>8.2881782017270363E-3</v>
      </c>
      <c r="BR43" s="91">
        <v>2.4253895360820735E-2</v>
      </c>
      <c r="BS43" s="92">
        <v>2.6274045615092267E-4</v>
      </c>
    </row>
    <row r="44" spans="1:71" x14ac:dyDescent="0.35">
      <c r="A44" s="86">
        <v>8</v>
      </c>
      <c r="B44" s="90">
        <v>2.0254646079361891E-3</v>
      </c>
      <c r="C44" s="91">
        <v>1.4718424495134298E-3</v>
      </c>
      <c r="D44" s="91">
        <v>4.240656170062202E-4</v>
      </c>
      <c r="E44" s="91">
        <v>5.4104233473694155E-4</v>
      </c>
      <c r="F44" s="91">
        <v>3.0833336269628294E-4</v>
      </c>
      <c r="G44" s="91">
        <v>6.1361117556820864E-4</v>
      </c>
      <c r="H44" s="91">
        <v>3.5733017568406067E-4</v>
      </c>
      <c r="I44" s="91">
        <v>1.0511258501334381E-2</v>
      </c>
      <c r="J44" s="91">
        <v>2.9276794145917679E-3</v>
      </c>
      <c r="K44" s="91">
        <v>7.6093213431039015E-4</v>
      </c>
      <c r="L44" s="91">
        <v>1.2172705834741721E-3</v>
      </c>
      <c r="M44" s="91">
        <v>6.1083643469955502E-4</v>
      </c>
      <c r="N44" s="91">
        <v>2.3652661992153769E-4</v>
      </c>
      <c r="O44" s="91">
        <v>1.7089684005040844E-4</v>
      </c>
      <c r="P44" s="91">
        <v>1.6140483487373593E-4</v>
      </c>
      <c r="Q44" s="91">
        <v>6.0436718756192147E-4</v>
      </c>
      <c r="R44" s="91">
        <v>2.0700763370485979E-3</v>
      </c>
      <c r="S44" s="91">
        <v>6.9572608745897021E-4</v>
      </c>
      <c r="T44" s="91">
        <v>8.0472489901316072E-4</v>
      </c>
      <c r="U44" s="91">
        <v>1.0425884892831696E-3</v>
      </c>
      <c r="V44" s="91">
        <v>6.2608823430471095E-4</v>
      </c>
      <c r="W44" s="91">
        <v>5.8876639629559671E-4</v>
      </c>
      <c r="X44" s="91">
        <v>6.2142576132042208E-3</v>
      </c>
      <c r="Y44" s="91">
        <v>6.5785390778039798E-3</v>
      </c>
      <c r="Z44" s="91">
        <v>7.4121335763074033E-3</v>
      </c>
      <c r="AA44" s="91">
        <v>8.1698355027545321E-4</v>
      </c>
      <c r="AB44" s="91">
        <v>3.1880589660701711E-4</v>
      </c>
      <c r="AC44" s="91">
        <v>1.9012482880221475E-4</v>
      </c>
      <c r="AD44" s="91">
        <v>8.0641483773131746E-5</v>
      </c>
      <c r="AE44" s="91">
        <v>3.7054163446406283E-4</v>
      </c>
      <c r="AF44" s="91">
        <v>5.3098491023648099E-4</v>
      </c>
      <c r="AG44" s="91">
        <v>3.1426888695800398E-4</v>
      </c>
      <c r="AH44" s="91">
        <v>3.6496939424621497E-4</v>
      </c>
      <c r="AI44" s="91">
        <v>5.4498991585854814E-4</v>
      </c>
      <c r="AJ44" s="92">
        <v>0</v>
      </c>
      <c r="AK44" s="90">
        <v>1.0404332481767991E-2</v>
      </c>
      <c r="AL44" s="91">
        <v>5.5967952510719279E-3</v>
      </c>
      <c r="AM44" s="91">
        <v>3.0420159520506327E-3</v>
      </c>
      <c r="AN44" s="91">
        <v>4.5507174636377958E-3</v>
      </c>
      <c r="AO44" s="91">
        <v>4.1328401724990459E-3</v>
      </c>
      <c r="AP44" s="91">
        <v>4.1127043842405396E-3</v>
      </c>
      <c r="AQ44" s="91">
        <v>4.7256438339310708E-3</v>
      </c>
      <c r="AR44" s="91">
        <v>9.1523872390266423E-2</v>
      </c>
      <c r="AS44" s="91">
        <v>4.7773076132687969E-2</v>
      </c>
      <c r="AT44" s="91">
        <v>8.6836974252514805E-3</v>
      </c>
      <c r="AU44" s="91">
        <v>2.17633221330975E-2</v>
      </c>
      <c r="AV44" s="91">
        <v>1.5881261836811902E-2</v>
      </c>
      <c r="AW44" s="91">
        <v>4.2757786378294299E-3</v>
      </c>
      <c r="AX44" s="91">
        <v>1.8363720076797093E-3</v>
      </c>
      <c r="AY44" s="91">
        <v>1.9318183941133334E-3</v>
      </c>
      <c r="AZ44" s="91">
        <v>3.0118420765230872E-3</v>
      </c>
      <c r="BA44" s="91">
        <v>2.7652111409140201E-2</v>
      </c>
      <c r="BB44" s="91">
        <v>1.1978807148621779E-2</v>
      </c>
      <c r="BC44" s="91">
        <v>4.7442954977909785E-3</v>
      </c>
      <c r="BD44" s="91">
        <v>2.7836283437249003E-3</v>
      </c>
      <c r="BE44" s="91">
        <v>2.9670886018102632E-3</v>
      </c>
      <c r="BF44" s="91">
        <v>3.2090851569871702E-3</v>
      </c>
      <c r="BG44" s="91">
        <v>5.697269137981447E-2</v>
      </c>
      <c r="BH44" s="91">
        <v>7.9933633155987102E-2</v>
      </c>
      <c r="BI44" s="91">
        <v>9.9445565609918421E-2</v>
      </c>
      <c r="BJ44" s="91">
        <v>3.6885411483916594E-2</v>
      </c>
      <c r="BK44" s="91">
        <v>3.2702060419955012E-3</v>
      </c>
      <c r="BL44" s="91">
        <v>1.0554334162919728E-3</v>
      </c>
      <c r="BM44" s="91">
        <v>1.2639662450470671E-3</v>
      </c>
      <c r="BN44" s="91">
        <v>5.2319510518716071E-3</v>
      </c>
      <c r="BO44" s="91">
        <v>9.6829400230116179E-3</v>
      </c>
      <c r="BP44" s="91">
        <v>3.1687329563202752E-3</v>
      </c>
      <c r="BQ44" s="91">
        <v>2.460348533383473E-3</v>
      </c>
      <c r="BR44" s="91">
        <v>5.2714412491377321E-3</v>
      </c>
      <c r="BS44" s="92">
        <v>4.0168841101074598E-5</v>
      </c>
    </row>
    <row r="45" spans="1:71" x14ac:dyDescent="0.35">
      <c r="A45" s="86">
        <v>9</v>
      </c>
      <c r="B45" s="90">
        <v>5.8392261846721182E-3</v>
      </c>
      <c r="C45" s="91">
        <v>1.8659666375208329E-3</v>
      </c>
      <c r="D45" s="91">
        <v>1.4218972211075638E-3</v>
      </c>
      <c r="E45" s="91">
        <v>7.5750560977682459E-3</v>
      </c>
      <c r="F45" s="91">
        <v>4.4959046279894298E-3</v>
      </c>
      <c r="G45" s="91">
        <v>5.0760764500728164E-3</v>
      </c>
      <c r="H45" s="91">
        <v>4.6444518420025544E-3</v>
      </c>
      <c r="I45" s="91">
        <v>5.445024701999375E-3</v>
      </c>
      <c r="J45" s="91">
        <v>3.3545068671007108E-2</v>
      </c>
      <c r="K45" s="91">
        <v>2.5553752655384402E-2</v>
      </c>
      <c r="L45" s="91">
        <v>4.2781953621641973E-3</v>
      </c>
      <c r="M45" s="91">
        <v>2.9747936245856439E-3</v>
      </c>
      <c r="N45" s="91">
        <v>1.6631312895829737E-3</v>
      </c>
      <c r="O45" s="91">
        <v>2.1355480384653764E-3</v>
      </c>
      <c r="P45" s="91">
        <v>1.9980394842562688E-3</v>
      </c>
      <c r="Q45" s="91">
        <v>3.8687716555552191E-3</v>
      </c>
      <c r="R45" s="91">
        <v>6.4356641709132549E-4</v>
      </c>
      <c r="S45" s="91">
        <v>1.250812401829126E-3</v>
      </c>
      <c r="T45" s="91">
        <v>9.318353699561124E-4</v>
      </c>
      <c r="U45" s="91">
        <v>5.9576158773123162E-4</v>
      </c>
      <c r="V45" s="91">
        <v>3.79061032852032E-4</v>
      </c>
      <c r="W45" s="91">
        <v>6.2644531547952954E-4</v>
      </c>
      <c r="X45" s="91">
        <v>3.6756896020553875E-4</v>
      </c>
      <c r="Y45" s="91">
        <v>2.8925982779935856E-4</v>
      </c>
      <c r="Z45" s="91">
        <v>2.9478101311373247E-4</v>
      </c>
      <c r="AA45" s="91">
        <v>2.085733569952282E-4</v>
      </c>
      <c r="AB45" s="91">
        <v>1.095626772871613E-4</v>
      </c>
      <c r="AC45" s="91">
        <v>6.17020311802126E-5</v>
      </c>
      <c r="AD45" s="91">
        <v>1.3778690043208299E-4</v>
      </c>
      <c r="AE45" s="91">
        <v>4.9241682658231819E-4</v>
      </c>
      <c r="AF45" s="91">
        <v>4.83703904837885E-4</v>
      </c>
      <c r="AG45" s="91">
        <v>4.0385650144474539E-4</v>
      </c>
      <c r="AH45" s="91">
        <v>7.1161437547568327E-3</v>
      </c>
      <c r="AI45" s="91">
        <v>1.2090130537374983E-3</v>
      </c>
      <c r="AJ45" s="92">
        <v>0</v>
      </c>
      <c r="AK45" s="90">
        <v>3.392487364033029E-2</v>
      </c>
      <c r="AL45" s="91">
        <v>7.2704013702156994E-3</v>
      </c>
      <c r="AM45" s="91">
        <v>8.2437345777511741E-3</v>
      </c>
      <c r="AN45" s="91">
        <v>5.8102950722732867E-2</v>
      </c>
      <c r="AO45" s="91">
        <v>3.4180272326951679E-2</v>
      </c>
      <c r="AP45" s="91">
        <v>3.7761711223309555E-2</v>
      </c>
      <c r="AQ45" s="91">
        <v>3.6800691165591932E-2</v>
      </c>
      <c r="AR45" s="91">
        <v>1.3106107259059797E-2</v>
      </c>
      <c r="AS45" s="91">
        <v>0.24515149724262947</v>
      </c>
      <c r="AT45" s="91">
        <v>0.23128217141580501</v>
      </c>
      <c r="AU45" s="91">
        <v>4.0765267245367567E-2</v>
      </c>
      <c r="AV45" s="91">
        <v>1.3729885516158027E-2</v>
      </c>
      <c r="AW45" s="91">
        <v>9.2937835596873988E-3</v>
      </c>
      <c r="AX45" s="91">
        <v>1.8070954401782299E-2</v>
      </c>
      <c r="AY45" s="91">
        <v>9.7574961999333416E-3</v>
      </c>
      <c r="AZ45" s="91">
        <v>2.6021864199925034E-2</v>
      </c>
      <c r="BA45" s="91">
        <v>6.2681122548729267E-3</v>
      </c>
      <c r="BB45" s="91">
        <v>1.1370052380023412E-2</v>
      </c>
      <c r="BC45" s="91">
        <v>4.0533068761342645E-3</v>
      </c>
      <c r="BD45" s="91">
        <v>1.6280898170046249E-3</v>
      </c>
      <c r="BE45" s="91">
        <v>1.2822632052114473E-3</v>
      </c>
      <c r="BF45" s="91">
        <v>3.6549167044285856E-3</v>
      </c>
      <c r="BG45" s="91">
        <v>3.3164057649920269E-3</v>
      </c>
      <c r="BH45" s="91">
        <v>5.6176983149911095E-3</v>
      </c>
      <c r="BI45" s="91">
        <v>4.1129442047227001E-3</v>
      </c>
      <c r="BJ45" s="91">
        <v>6.1949013695275779E-3</v>
      </c>
      <c r="BK45" s="91">
        <v>8.2787432682173844E-4</v>
      </c>
      <c r="BL45" s="91">
        <v>4.6071531277270828E-4</v>
      </c>
      <c r="BM45" s="91">
        <v>1.480340088528222E-3</v>
      </c>
      <c r="BN45" s="91">
        <v>4.6311406172203319E-3</v>
      </c>
      <c r="BO45" s="91">
        <v>7.7741198498078078E-3</v>
      </c>
      <c r="BP45" s="91">
        <v>4.325658468712172E-3</v>
      </c>
      <c r="BQ45" s="91">
        <v>6.6537431932271365E-2</v>
      </c>
      <c r="BR45" s="91">
        <v>1.0195985941528426E-2</v>
      </c>
      <c r="BS45" s="92">
        <v>3.7030150815717098E-4</v>
      </c>
    </row>
    <row r="46" spans="1:71" x14ac:dyDescent="0.35">
      <c r="A46" s="86">
        <v>10</v>
      </c>
      <c r="B46" s="90">
        <v>3.6434928352690679E-4</v>
      </c>
      <c r="C46" s="91">
        <v>4.9305329807419859E-4</v>
      </c>
      <c r="D46" s="91">
        <v>1.3102717670211512E-3</v>
      </c>
      <c r="E46" s="91">
        <v>7.9731871400788113E-4</v>
      </c>
      <c r="F46" s="91">
        <v>2.3958198197668113E-3</v>
      </c>
      <c r="G46" s="91">
        <v>7.0873388174205331E-4</v>
      </c>
      <c r="H46" s="91">
        <v>9.4460783349077605E-4</v>
      </c>
      <c r="I46" s="91">
        <v>9.9532073648761444E-4</v>
      </c>
      <c r="J46" s="91">
        <v>1.2245745595225947E-3</v>
      </c>
      <c r="K46" s="91">
        <v>7.6879943632151247E-3</v>
      </c>
      <c r="L46" s="91">
        <v>8.4671399668751694E-4</v>
      </c>
      <c r="M46" s="91">
        <v>6.9134339713658162E-4</v>
      </c>
      <c r="N46" s="91">
        <v>2.0166489624700154E-3</v>
      </c>
      <c r="O46" s="91">
        <v>1.571070435708786E-3</v>
      </c>
      <c r="P46" s="91">
        <v>3.0039912748923026E-3</v>
      </c>
      <c r="Q46" s="91">
        <v>2.5412096488168128E-3</v>
      </c>
      <c r="R46" s="91">
        <v>2.1559103520680126E-4</v>
      </c>
      <c r="S46" s="91">
        <v>2.0269523747392299E-3</v>
      </c>
      <c r="T46" s="91">
        <v>1.3052306921752961E-3</v>
      </c>
      <c r="U46" s="91">
        <v>5.0479309750199304E-4</v>
      </c>
      <c r="V46" s="91">
        <v>4.9422492290735994E-4</v>
      </c>
      <c r="W46" s="91">
        <v>1.6833303564136085E-4</v>
      </c>
      <c r="X46" s="91">
        <v>8.6093141283721667E-4</v>
      </c>
      <c r="Y46" s="91">
        <v>9.7219253401475996E-5</v>
      </c>
      <c r="Z46" s="91">
        <v>1.3911534508852491E-4</v>
      </c>
      <c r="AA46" s="91">
        <v>4.100495620056091E-4</v>
      </c>
      <c r="AB46" s="91">
        <v>3.9397240965599698E-4</v>
      </c>
      <c r="AC46" s="91">
        <v>5.4159830583918999E-5</v>
      </c>
      <c r="AD46" s="91">
        <v>9.567115802344791E-5</v>
      </c>
      <c r="AE46" s="91">
        <v>1.8220678513574751E-4</v>
      </c>
      <c r="AF46" s="91">
        <v>1.7525160372311411E-4</v>
      </c>
      <c r="AG46" s="91">
        <v>8.7187595130312534E-5</v>
      </c>
      <c r="AH46" s="91">
        <v>2.5773487222672154E-4</v>
      </c>
      <c r="AI46" s="91">
        <v>2.8795840149836905E-4</v>
      </c>
      <c r="AJ46" s="92">
        <v>0</v>
      </c>
      <c r="AK46" s="90">
        <v>4.3523862314978744E-3</v>
      </c>
      <c r="AL46" s="91">
        <v>4.5868013933059726E-3</v>
      </c>
      <c r="AM46" s="91">
        <v>1.9318907163568457E-2</v>
      </c>
      <c r="AN46" s="91">
        <v>9.9616221954441225E-3</v>
      </c>
      <c r="AO46" s="91">
        <v>3.8199444029359687E-2</v>
      </c>
      <c r="AP46" s="91">
        <v>6.9642697179288244E-3</v>
      </c>
      <c r="AQ46" s="91">
        <v>1.9018405641133478E-2</v>
      </c>
      <c r="AR46" s="91">
        <v>1.7293765227537076E-3</v>
      </c>
      <c r="AS46" s="91">
        <v>1.8114181350579045E-2</v>
      </c>
      <c r="AT46" s="91">
        <v>0.1798768327202348</v>
      </c>
      <c r="AU46" s="91">
        <v>1.290065570632009E-2</v>
      </c>
      <c r="AV46" s="91">
        <v>5.9450875184867153E-3</v>
      </c>
      <c r="AW46" s="91">
        <v>2.1638119087366337E-2</v>
      </c>
      <c r="AX46" s="91">
        <v>2.3613770005143642E-2</v>
      </c>
      <c r="AY46" s="91">
        <v>3.0503250706789272E-2</v>
      </c>
      <c r="AZ46" s="91">
        <v>3.3563194132107795E-2</v>
      </c>
      <c r="BA46" s="91">
        <v>2.2064998378095477E-3</v>
      </c>
      <c r="BB46" s="91">
        <v>1.5382851862242744E-2</v>
      </c>
      <c r="BC46" s="91">
        <v>1.496524322682277E-2</v>
      </c>
      <c r="BD46" s="91">
        <v>3.0991570998633263E-3</v>
      </c>
      <c r="BE46" s="91">
        <v>3.8291111124789268E-3</v>
      </c>
      <c r="BF46" s="91">
        <v>4.8134067251751787E-3</v>
      </c>
      <c r="BG46" s="91">
        <v>1.1426781198284249E-2</v>
      </c>
      <c r="BH46" s="91">
        <v>3.816778776799765E-3</v>
      </c>
      <c r="BI46" s="91">
        <v>4.6114243221886762E-3</v>
      </c>
      <c r="BJ46" s="91">
        <v>8.6075166192544714E-3</v>
      </c>
      <c r="BK46" s="91">
        <v>2.0935347434422121E-3</v>
      </c>
      <c r="BL46" s="91">
        <v>5.3747642735047104E-4</v>
      </c>
      <c r="BM46" s="91">
        <v>1.1180459509902963E-3</v>
      </c>
      <c r="BN46" s="91">
        <v>2.9353467998156999E-3</v>
      </c>
      <c r="BO46" s="91">
        <v>3.0590134965381077E-3</v>
      </c>
      <c r="BP46" s="91">
        <v>1.6979716940825655E-3</v>
      </c>
      <c r="BQ46" s="91">
        <v>5.6799277512313553E-3</v>
      </c>
      <c r="BR46" s="91">
        <v>4.954703934725458E-3</v>
      </c>
      <c r="BS46" s="92">
        <v>1.808120749541286E-4</v>
      </c>
    </row>
    <row r="47" spans="1:71" x14ac:dyDescent="0.35">
      <c r="A47" s="86">
        <v>11</v>
      </c>
      <c r="B47" s="90">
        <v>1.730144203894396E-4</v>
      </c>
      <c r="C47" s="91">
        <v>6.4197981663031002E-4</v>
      </c>
      <c r="D47" s="91">
        <v>3.070587447387587E-4</v>
      </c>
      <c r="E47" s="91">
        <v>1.3215152678826663E-4</v>
      </c>
      <c r="F47" s="91">
        <v>5.8755848087612476E-5</v>
      </c>
      <c r="G47" s="91">
        <v>5.6961522415565052E-4</v>
      </c>
      <c r="H47" s="91">
        <v>6.1833330795091476E-5</v>
      </c>
      <c r="I47" s="91">
        <v>1.7895350254341138E-4</v>
      </c>
      <c r="J47" s="91">
        <v>3.108321028429415E-4</v>
      </c>
      <c r="K47" s="91">
        <v>3.8727306275127666E-4</v>
      </c>
      <c r="L47" s="91">
        <v>5.9331714178876283E-3</v>
      </c>
      <c r="M47" s="91">
        <v>4.9960730139637921E-4</v>
      </c>
      <c r="N47" s="91">
        <v>2.5231079005705629E-4</v>
      </c>
      <c r="O47" s="91">
        <v>4.4270500089819395E-4</v>
      </c>
      <c r="P47" s="91">
        <v>3.8108955053822979E-4</v>
      </c>
      <c r="Q47" s="91">
        <v>3.5812384379639231E-4</v>
      </c>
      <c r="R47" s="91">
        <v>1.8169522056582071E-4</v>
      </c>
      <c r="S47" s="91">
        <v>3.3974063872247947E-3</v>
      </c>
      <c r="T47" s="91">
        <v>1.5607818203117399E-4</v>
      </c>
      <c r="U47" s="91">
        <v>1.0318424080270709E-4</v>
      </c>
      <c r="V47" s="91">
        <v>6.5201689404361318E-5</v>
      </c>
      <c r="W47" s="91">
        <v>1.2658340276057515E-4</v>
      </c>
      <c r="X47" s="91">
        <v>8.2577924163498745E-5</v>
      </c>
      <c r="Y47" s="91">
        <v>2.7278511246355674E-5</v>
      </c>
      <c r="Z47" s="91">
        <v>3.6189394163896538E-5</v>
      </c>
      <c r="AA47" s="91">
        <v>5.299434665799494E-5</v>
      </c>
      <c r="AB47" s="91">
        <v>5.6513796993848765E-5</v>
      </c>
      <c r="AC47" s="91">
        <v>6.3418303954936663E-6</v>
      </c>
      <c r="AD47" s="91">
        <v>1.3198164659978317E-4</v>
      </c>
      <c r="AE47" s="91">
        <v>3.9058243219218689E-5</v>
      </c>
      <c r="AF47" s="91">
        <v>7.2637142215710958E-5</v>
      </c>
      <c r="AG47" s="91">
        <v>7.8397028006914037E-5</v>
      </c>
      <c r="AH47" s="91">
        <v>6.8823832275388027E-5</v>
      </c>
      <c r="AI47" s="91">
        <v>1.277440617168248E-4</v>
      </c>
      <c r="AJ47" s="92">
        <v>0</v>
      </c>
      <c r="AK47" s="90">
        <v>8.0896840170091404E-4</v>
      </c>
      <c r="AL47" s="91">
        <v>2.9269234918253523E-3</v>
      </c>
      <c r="AM47" s="91">
        <v>4.0237076179015707E-3</v>
      </c>
      <c r="AN47" s="91">
        <v>1.6922903728700145E-3</v>
      </c>
      <c r="AO47" s="91">
        <v>1.4740895886395039E-3</v>
      </c>
      <c r="AP47" s="91">
        <v>4.4289971844003739E-3</v>
      </c>
      <c r="AQ47" s="91">
        <v>1.0760101244961862E-3</v>
      </c>
      <c r="AR47" s="91">
        <v>1.9131699612059186E-3</v>
      </c>
      <c r="AS47" s="91">
        <v>5.0279523367807392E-3</v>
      </c>
      <c r="AT47" s="91">
        <v>4.1032952715786171E-3</v>
      </c>
      <c r="AU47" s="91">
        <v>0.14270377888095717</v>
      </c>
      <c r="AV47" s="91">
        <v>1.1156781962321357E-2</v>
      </c>
      <c r="AW47" s="91">
        <v>4.9367383116181874E-3</v>
      </c>
      <c r="AX47" s="91">
        <v>9.7772062343806313E-3</v>
      </c>
      <c r="AY47" s="91">
        <v>5.5754226225621199E-3</v>
      </c>
      <c r="AZ47" s="91">
        <v>7.121846004401652E-3</v>
      </c>
      <c r="BA47" s="91">
        <v>1.1460870656325257E-3</v>
      </c>
      <c r="BB47" s="91">
        <v>9.6798298306704833E-2</v>
      </c>
      <c r="BC47" s="91">
        <v>2.8893105340332837E-3</v>
      </c>
      <c r="BD47" s="91">
        <v>3.8490021299622659E-4</v>
      </c>
      <c r="BE47" s="91">
        <v>6.0311381954898419E-4</v>
      </c>
      <c r="BF47" s="91">
        <v>2.7556975895305972E-3</v>
      </c>
      <c r="BG47" s="91">
        <v>1.2735926574681377E-3</v>
      </c>
      <c r="BH47" s="91">
        <v>3.8600523210312223E-4</v>
      </c>
      <c r="BI47" s="91">
        <v>6.4712329944989272E-4</v>
      </c>
      <c r="BJ47" s="91">
        <v>1.3717700050370801E-3</v>
      </c>
      <c r="BK47" s="91">
        <v>4.9734071626008009E-4</v>
      </c>
      <c r="BL47" s="91">
        <v>6.2388850995566766E-5</v>
      </c>
      <c r="BM47" s="91">
        <v>1.0209544040329114E-3</v>
      </c>
      <c r="BN47" s="91">
        <v>7.7823298659491147E-4</v>
      </c>
      <c r="BO47" s="91">
        <v>1.2982423146240352E-3</v>
      </c>
      <c r="BP47" s="91">
        <v>1.8218102157369568E-3</v>
      </c>
      <c r="BQ47" s="91">
        <v>1.8398313275965299E-3</v>
      </c>
      <c r="BR47" s="91">
        <v>1.3286507373531592E-3</v>
      </c>
      <c r="BS47" s="92">
        <v>6.9255460268054112E-5</v>
      </c>
    </row>
    <row r="48" spans="1:71" x14ac:dyDescent="0.35">
      <c r="A48" s="86">
        <v>12</v>
      </c>
      <c r="B48" s="90">
        <v>5.3908018131607321E-4</v>
      </c>
      <c r="C48" s="91">
        <v>3.1197542055245359E-3</v>
      </c>
      <c r="D48" s="91">
        <v>6.9220281008616454E-4</v>
      </c>
      <c r="E48" s="91">
        <v>5.5176528215567975E-4</v>
      </c>
      <c r="F48" s="91">
        <v>6.9681241048889092E-4</v>
      </c>
      <c r="G48" s="91">
        <v>1.4833152590363384E-3</v>
      </c>
      <c r="H48" s="91">
        <v>5.0608699547078099E-4</v>
      </c>
      <c r="I48" s="91">
        <v>1.1771282925584704E-3</v>
      </c>
      <c r="J48" s="91">
        <v>1.4350881032257352E-3</v>
      </c>
      <c r="K48" s="91">
        <v>2.349815740448302E-3</v>
      </c>
      <c r="L48" s="91">
        <v>2.3386489046871863E-3</v>
      </c>
      <c r="M48" s="91">
        <v>3.6340234192316898E-2</v>
      </c>
      <c r="N48" s="91">
        <v>1.4110284801039652E-2</v>
      </c>
      <c r="O48" s="91">
        <v>5.9509836434896764E-3</v>
      </c>
      <c r="P48" s="91">
        <v>9.2816273245111113E-3</v>
      </c>
      <c r="Q48" s="91">
        <v>1.1104684348791253E-2</v>
      </c>
      <c r="R48" s="91">
        <v>8.4031820057897189E-4</v>
      </c>
      <c r="S48" s="91">
        <v>4.228776054679145E-3</v>
      </c>
      <c r="T48" s="91">
        <v>1.057602161971925E-3</v>
      </c>
      <c r="U48" s="91">
        <v>4.574893603576098E-4</v>
      </c>
      <c r="V48" s="91">
        <v>3.1328739187319815E-4</v>
      </c>
      <c r="W48" s="91">
        <v>1.0977027065131252E-4</v>
      </c>
      <c r="X48" s="91">
        <v>5.0972536585197571E-4</v>
      </c>
      <c r="Y48" s="91">
        <v>1.7617020523446998E-4</v>
      </c>
      <c r="Z48" s="91">
        <v>2.2131930497529536E-4</v>
      </c>
      <c r="AA48" s="91">
        <v>3.4911051195753894E-4</v>
      </c>
      <c r="AB48" s="91">
        <v>1.8800723821134628E-4</v>
      </c>
      <c r="AC48" s="91">
        <v>3.0411272124148553E-5</v>
      </c>
      <c r="AD48" s="91">
        <v>1.7189911649001809E-4</v>
      </c>
      <c r="AE48" s="91">
        <v>1.9537783928665333E-4</v>
      </c>
      <c r="AF48" s="91">
        <v>3.4589858164176229E-4</v>
      </c>
      <c r="AG48" s="91">
        <v>1.4091268129297238E-4</v>
      </c>
      <c r="AH48" s="91">
        <v>1.3687903654276053E-4</v>
      </c>
      <c r="AI48" s="91">
        <v>3.7273741302071121E-4</v>
      </c>
      <c r="AJ48" s="92">
        <v>0</v>
      </c>
      <c r="AK48" s="90">
        <v>3.0430782638569344E-3</v>
      </c>
      <c r="AL48" s="91">
        <v>1.5201674861828426E-2</v>
      </c>
      <c r="AM48" s="91">
        <v>9.9214442656989157E-3</v>
      </c>
      <c r="AN48" s="91">
        <v>4.2402997826553029E-3</v>
      </c>
      <c r="AO48" s="91">
        <v>8.0399142304965199E-3</v>
      </c>
      <c r="AP48" s="91">
        <v>1.9031290030668179E-2</v>
      </c>
      <c r="AQ48" s="91">
        <v>1.0064855541752364E-2</v>
      </c>
      <c r="AR48" s="91">
        <v>4.3520662215201901E-3</v>
      </c>
      <c r="AS48" s="91">
        <v>1.1728381780997735E-2</v>
      </c>
      <c r="AT48" s="91">
        <v>2.088332385171528E-2</v>
      </c>
      <c r="AU48" s="91">
        <v>3.8637607887677401E-2</v>
      </c>
      <c r="AV48" s="91">
        <v>0.337993735482575</v>
      </c>
      <c r="AW48" s="91">
        <v>0.16366775027193159</v>
      </c>
      <c r="AX48" s="91">
        <v>6.6164963130299501E-2</v>
      </c>
      <c r="AY48" s="91">
        <v>8.4296470946635269E-2</v>
      </c>
      <c r="AZ48" s="91">
        <v>5.8362923693892843E-2</v>
      </c>
      <c r="BA48" s="91">
        <v>4.8260498179013029E-3</v>
      </c>
      <c r="BB48" s="91">
        <v>0.10922936338077617</v>
      </c>
      <c r="BC48" s="91">
        <v>1.4174939763337833E-2</v>
      </c>
      <c r="BD48" s="91">
        <v>1.9701057822337528E-3</v>
      </c>
      <c r="BE48" s="91">
        <v>2.1234832697016866E-3</v>
      </c>
      <c r="BF48" s="91">
        <v>4.8046264775778239E-3</v>
      </c>
      <c r="BG48" s="91">
        <v>6.5310868728566699E-3</v>
      </c>
      <c r="BH48" s="91">
        <v>5.1987595152461156E-3</v>
      </c>
      <c r="BI48" s="91">
        <v>4.3441772025766294E-3</v>
      </c>
      <c r="BJ48" s="91">
        <v>1.2338664728660147E-2</v>
      </c>
      <c r="BK48" s="91">
        <v>2.9575467432367462E-3</v>
      </c>
      <c r="BL48" s="91">
        <v>4.1881345007813825E-4</v>
      </c>
      <c r="BM48" s="91">
        <v>2.2639564741667767E-3</v>
      </c>
      <c r="BN48" s="91">
        <v>4.0123016529020547E-3</v>
      </c>
      <c r="BO48" s="91">
        <v>4.0899700243398644E-3</v>
      </c>
      <c r="BP48" s="91">
        <v>1.9318185325946304E-3</v>
      </c>
      <c r="BQ48" s="91">
        <v>2.2207688608546078E-3</v>
      </c>
      <c r="BR48" s="91">
        <v>4.2369756494951014E-3</v>
      </c>
      <c r="BS48" s="92">
        <v>3.914523658548716E-4</v>
      </c>
    </row>
    <row r="49" spans="1:71" x14ac:dyDescent="0.35">
      <c r="A49" s="86">
        <v>13</v>
      </c>
      <c r="B49" s="90">
        <v>1.8092561123486161E-3</v>
      </c>
      <c r="C49" s="91">
        <v>4.6113061410105677E-3</v>
      </c>
      <c r="D49" s="91">
        <v>7.0921897214659105E-4</v>
      </c>
      <c r="E49" s="91">
        <v>1.0476268044900905E-3</v>
      </c>
      <c r="F49" s="91">
        <v>5.851479413916923E-4</v>
      </c>
      <c r="G49" s="91">
        <v>1.1693832604036665E-3</v>
      </c>
      <c r="H49" s="91">
        <v>9.2922304371683903E-4</v>
      </c>
      <c r="I49" s="91">
        <v>1.2345760695925412E-3</v>
      </c>
      <c r="J49" s="91">
        <v>1.0203972588025206E-3</v>
      </c>
      <c r="K49" s="91">
        <v>1.7374105443931744E-3</v>
      </c>
      <c r="L49" s="91">
        <v>1.8230027299705777E-3</v>
      </c>
      <c r="M49" s="91">
        <v>2.4017211515502466E-3</v>
      </c>
      <c r="N49" s="91">
        <v>1.8627851048712115E-2</v>
      </c>
      <c r="O49" s="91">
        <v>2.4205793961889011E-3</v>
      </c>
      <c r="P49" s="91">
        <v>4.2366548801179996E-3</v>
      </c>
      <c r="Q49" s="91">
        <v>2.5513257207253671E-3</v>
      </c>
      <c r="R49" s="91">
        <v>1.3861523167278016E-3</v>
      </c>
      <c r="S49" s="91">
        <v>1.9095609388295408E-3</v>
      </c>
      <c r="T49" s="91">
        <v>1.1483338004862165E-3</v>
      </c>
      <c r="U49" s="91">
        <v>4.7594445352183435E-4</v>
      </c>
      <c r="V49" s="91">
        <v>4.6000149181125809E-4</v>
      </c>
      <c r="W49" s="91">
        <v>2.9792901964847452E-4</v>
      </c>
      <c r="X49" s="91">
        <v>5.1421699623632007E-4</v>
      </c>
      <c r="Y49" s="91">
        <v>3.3576628890222428E-4</v>
      </c>
      <c r="Z49" s="91">
        <v>4.2596724599248519E-4</v>
      </c>
      <c r="AA49" s="91">
        <v>4.7591290137399974E-4</v>
      </c>
      <c r="AB49" s="91">
        <v>4.1083660337690224E-4</v>
      </c>
      <c r="AC49" s="91">
        <v>6.7299910869123705E-5</v>
      </c>
      <c r="AD49" s="91">
        <v>1.6265045206318899E-4</v>
      </c>
      <c r="AE49" s="91">
        <v>3.2794720014219013E-4</v>
      </c>
      <c r="AF49" s="91">
        <v>2.544313434490617E-3</v>
      </c>
      <c r="AG49" s="91">
        <v>1.0699527673273242E-4</v>
      </c>
      <c r="AH49" s="91">
        <v>2.6355808705102036E-4</v>
      </c>
      <c r="AI49" s="91">
        <v>5.0917840068591608E-4</v>
      </c>
      <c r="AJ49" s="92">
        <v>0</v>
      </c>
      <c r="AK49" s="90">
        <v>4.5151368580842038E-3</v>
      </c>
      <c r="AL49" s="91">
        <v>1.2265511354015244E-2</v>
      </c>
      <c r="AM49" s="91">
        <v>2.8909715125596787E-3</v>
      </c>
      <c r="AN49" s="91">
        <v>9.412397863515649E-3</v>
      </c>
      <c r="AO49" s="91">
        <v>7.4932913797763631E-3</v>
      </c>
      <c r="AP49" s="91">
        <v>9.6771824078445562E-3</v>
      </c>
      <c r="AQ49" s="91">
        <v>6.8184691538916552E-3</v>
      </c>
      <c r="AR49" s="91">
        <v>6.8357487144248292E-3</v>
      </c>
      <c r="AS49" s="91">
        <v>8.2177028360111461E-3</v>
      </c>
      <c r="AT49" s="91">
        <v>1.2581401788905532E-2</v>
      </c>
      <c r="AU49" s="91">
        <v>2.4201124673328529E-2</v>
      </c>
      <c r="AV49" s="91">
        <v>2.7039025401502097E-2</v>
      </c>
      <c r="AW49" s="91">
        <v>0.17140640924889858</v>
      </c>
      <c r="AX49" s="91">
        <v>1.6389687644281521E-2</v>
      </c>
      <c r="AY49" s="91">
        <v>4.3455309755220738E-2</v>
      </c>
      <c r="AZ49" s="91">
        <v>1.5619835279513194E-2</v>
      </c>
      <c r="BA49" s="91">
        <v>6.2548919069923634E-3</v>
      </c>
      <c r="BB49" s="91">
        <v>1.8898263608071106E-2</v>
      </c>
      <c r="BC49" s="91">
        <v>2.8313681416712179E-2</v>
      </c>
      <c r="BD49" s="91">
        <v>1.7832280320846973E-3</v>
      </c>
      <c r="BE49" s="91">
        <v>1.5306385843496047E-3</v>
      </c>
      <c r="BF49" s="91">
        <v>1.7954090416791107E-3</v>
      </c>
      <c r="BG49" s="91">
        <v>5.4009536892039257E-3</v>
      </c>
      <c r="BH49" s="91">
        <v>1.1648248462638825E-2</v>
      </c>
      <c r="BI49" s="91">
        <v>9.1688472206043932E-3</v>
      </c>
      <c r="BJ49" s="91">
        <v>1.018838108033557E-2</v>
      </c>
      <c r="BK49" s="91">
        <v>2.0948143269429709E-3</v>
      </c>
      <c r="BL49" s="91">
        <v>7.1612970509840731E-4</v>
      </c>
      <c r="BM49" s="91">
        <v>1.1199725226529586E-3</v>
      </c>
      <c r="BN49" s="91">
        <v>2.6859047478187052E-3</v>
      </c>
      <c r="BO49" s="91">
        <v>3.5251485353941766E-3</v>
      </c>
      <c r="BP49" s="91">
        <v>2.7249334478367314E-3</v>
      </c>
      <c r="BQ49" s="91">
        <v>5.1997888580955923E-3</v>
      </c>
      <c r="BR49" s="91">
        <v>3.2573238273789461E-3</v>
      </c>
      <c r="BS49" s="92">
        <v>9.9103137393513358E-4</v>
      </c>
    </row>
    <row r="50" spans="1:71" x14ac:dyDescent="0.35">
      <c r="A50" s="86">
        <v>14</v>
      </c>
      <c r="B50" s="90">
        <v>5.3949133969805182E-4</v>
      </c>
      <c r="C50" s="91">
        <v>2.7699477478745375E-3</v>
      </c>
      <c r="D50" s="91">
        <v>6.014446784630554E-4</v>
      </c>
      <c r="E50" s="91">
        <v>8.0594155511747208E-4</v>
      </c>
      <c r="F50" s="91">
        <v>4.977637385881464E-4</v>
      </c>
      <c r="G50" s="91">
        <v>9.5304233797022047E-4</v>
      </c>
      <c r="H50" s="91">
        <v>1.0738766504007004E-3</v>
      </c>
      <c r="I50" s="91">
        <v>3.0103220299100672E-3</v>
      </c>
      <c r="J50" s="91">
        <v>1.8885001879619021E-3</v>
      </c>
      <c r="K50" s="91">
        <v>2.2413238288065468E-3</v>
      </c>
      <c r="L50" s="91">
        <v>1.7533711918642767E-3</v>
      </c>
      <c r="M50" s="91">
        <v>3.6258048464665295E-3</v>
      </c>
      <c r="N50" s="91">
        <v>2.0300274447785378E-2</v>
      </c>
      <c r="O50" s="91">
        <v>0.10519442894029289</v>
      </c>
      <c r="P50" s="91">
        <v>1.49034337992184E-2</v>
      </c>
      <c r="Q50" s="91">
        <v>4.2216568070083628E-3</v>
      </c>
      <c r="R50" s="91">
        <v>4.6637654833859522E-3</v>
      </c>
      <c r="S50" s="91">
        <v>6.6480336375676812E-3</v>
      </c>
      <c r="T50" s="91">
        <v>2.6829730882606245E-3</v>
      </c>
      <c r="U50" s="91">
        <v>2.414149289781801E-3</v>
      </c>
      <c r="V50" s="91">
        <v>2.0680746430407236E-3</v>
      </c>
      <c r="W50" s="91">
        <v>8.8004884708046385E-4</v>
      </c>
      <c r="X50" s="91">
        <v>1.9322767630838536E-3</v>
      </c>
      <c r="Y50" s="91">
        <v>5.7432437707057222E-4</v>
      </c>
      <c r="Z50" s="91">
        <v>1.2788010706476028E-3</v>
      </c>
      <c r="AA50" s="91">
        <v>1.6933040024318842E-3</v>
      </c>
      <c r="AB50" s="91">
        <v>1.8522268748249079E-2</v>
      </c>
      <c r="AC50" s="91">
        <v>7.4994868327279355E-4</v>
      </c>
      <c r="AD50" s="91">
        <v>4.0448844879143874E-4</v>
      </c>
      <c r="AE50" s="91">
        <v>3.224753814113255E-3</v>
      </c>
      <c r="AF50" s="91">
        <v>6.2004136924095708E-3</v>
      </c>
      <c r="AG50" s="91">
        <v>2.3924912984563704E-3</v>
      </c>
      <c r="AH50" s="91">
        <v>8.2322571137472406E-3</v>
      </c>
      <c r="AI50" s="91">
        <v>4.2914071746739738E-3</v>
      </c>
      <c r="AJ50" s="92">
        <v>0</v>
      </c>
      <c r="AK50" s="90">
        <v>1.6101064310513869E-3</v>
      </c>
      <c r="AL50" s="91">
        <v>7.6421220605520776E-3</v>
      </c>
      <c r="AM50" s="91">
        <v>3.8931527750961513E-3</v>
      </c>
      <c r="AN50" s="91">
        <v>6.7590175471554164E-3</v>
      </c>
      <c r="AO50" s="91">
        <v>4.8485511158157437E-3</v>
      </c>
      <c r="AP50" s="91">
        <v>7.949575450282291E-3</v>
      </c>
      <c r="AQ50" s="91">
        <v>1.184939169180004E-2</v>
      </c>
      <c r="AR50" s="91">
        <v>3.1203783336564922E-3</v>
      </c>
      <c r="AS50" s="91">
        <v>1.0925092725046203E-2</v>
      </c>
      <c r="AT50" s="91">
        <v>1.3523069663744919E-2</v>
      </c>
      <c r="AU50" s="91">
        <v>1.2831345908242555E-2</v>
      </c>
      <c r="AV50" s="91">
        <v>1.8490366139013423E-2</v>
      </c>
      <c r="AW50" s="91">
        <v>0.12030398140030371</v>
      </c>
      <c r="AX50" s="91">
        <v>0.41729246741558146</v>
      </c>
      <c r="AY50" s="91">
        <v>7.4186965199603855E-2</v>
      </c>
      <c r="AZ50" s="91">
        <v>4.808729414100868E-2</v>
      </c>
      <c r="BA50" s="91">
        <v>3.1161589615291831E-2</v>
      </c>
      <c r="BB50" s="91">
        <v>4.5466265929931068E-2</v>
      </c>
      <c r="BC50" s="91">
        <v>4.5984415035954081E-2</v>
      </c>
      <c r="BD50" s="91">
        <v>8.2779903362086484E-3</v>
      </c>
      <c r="BE50" s="91">
        <v>7.9421496751492879E-3</v>
      </c>
      <c r="BF50" s="91">
        <v>6.3501682582813709E-3</v>
      </c>
      <c r="BG50" s="91">
        <v>9.3719098674107972E-3</v>
      </c>
      <c r="BH50" s="91">
        <v>4.2207876076708921E-3</v>
      </c>
      <c r="BI50" s="91">
        <v>6.9778727195787624E-3</v>
      </c>
      <c r="BJ50" s="91">
        <v>1.3302747951773192E-2</v>
      </c>
      <c r="BK50" s="91">
        <v>3.9910419470218644E-2</v>
      </c>
      <c r="BL50" s="91">
        <v>4.4791143671776643E-3</v>
      </c>
      <c r="BM50" s="91">
        <v>2.5995962035857303E-3</v>
      </c>
      <c r="BN50" s="91">
        <v>2.7154296457287098E-2</v>
      </c>
      <c r="BO50" s="91">
        <v>2.1415754535816209E-2</v>
      </c>
      <c r="BP50" s="91">
        <v>1.6331940609306025E-2</v>
      </c>
      <c r="BQ50" s="91">
        <v>2.6919636534515286E-2</v>
      </c>
      <c r="BR50" s="91">
        <v>1.9501787636714119E-2</v>
      </c>
      <c r="BS50" s="92">
        <v>2.6647556613959835E-3</v>
      </c>
    </row>
    <row r="51" spans="1:71" x14ac:dyDescent="0.35">
      <c r="A51" s="86">
        <v>15</v>
      </c>
      <c r="B51" s="90">
        <v>4.8484617280916513E-4</v>
      </c>
      <c r="C51" s="91">
        <v>2.2799476862607948E-3</v>
      </c>
      <c r="D51" s="91">
        <v>1.7836379627812589E-4</v>
      </c>
      <c r="E51" s="91">
        <v>1.2337845579872713E-3</v>
      </c>
      <c r="F51" s="91">
        <v>3.4449730970507688E-4</v>
      </c>
      <c r="G51" s="91">
        <v>1.8716649279273444E-4</v>
      </c>
      <c r="H51" s="91">
        <v>1.8055037374731562E-4</v>
      </c>
      <c r="I51" s="91">
        <v>1.9079000683688003E-4</v>
      </c>
      <c r="J51" s="91">
        <v>5.7806341299123504E-4</v>
      </c>
      <c r="K51" s="91">
        <v>5.8075242514155935E-4</v>
      </c>
      <c r="L51" s="91">
        <v>2.9721091057178828E-4</v>
      </c>
      <c r="M51" s="91">
        <v>8.4628969728192812E-4</v>
      </c>
      <c r="N51" s="91">
        <v>1.9452786293334928E-3</v>
      </c>
      <c r="O51" s="91">
        <v>1.3662208361953092E-3</v>
      </c>
      <c r="P51" s="91">
        <v>3.5696631310202183E-2</v>
      </c>
      <c r="Q51" s="91">
        <v>9.738999300759728E-4</v>
      </c>
      <c r="R51" s="91">
        <v>1.2108674274851155E-4</v>
      </c>
      <c r="S51" s="91">
        <v>2.2474492641813511E-4</v>
      </c>
      <c r="T51" s="91">
        <v>6.5470366776384566E-3</v>
      </c>
      <c r="U51" s="91">
        <v>4.8484649842058349E-4</v>
      </c>
      <c r="V51" s="91">
        <v>1.6306367406069655E-4</v>
      </c>
      <c r="W51" s="91">
        <v>1.1495371481475163E-4</v>
      </c>
      <c r="X51" s="91">
        <v>3.765223535909711E-3</v>
      </c>
      <c r="Y51" s="91">
        <v>8.0795863761951355E-3</v>
      </c>
      <c r="Z51" s="91">
        <v>2.9312134883639571E-2</v>
      </c>
      <c r="AA51" s="91">
        <v>9.4090966429856947E-4</v>
      </c>
      <c r="AB51" s="91">
        <v>1.8271104933486172E-4</v>
      </c>
      <c r="AC51" s="91">
        <v>7.037739054128103E-5</v>
      </c>
      <c r="AD51" s="91">
        <v>2.7974436348797156E-5</v>
      </c>
      <c r="AE51" s="91">
        <v>2.6168282427036421E-4</v>
      </c>
      <c r="AF51" s="91">
        <v>7.4853967900273101E-3</v>
      </c>
      <c r="AG51" s="91">
        <v>4.1151883975768303E-5</v>
      </c>
      <c r="AH51" s="91">
        <v>3.2248374110610604E-4</v>
      </c>
      <c r="AI51" s="91">
        <v>3.9432919889959277E-4</v>
      </c>
      <c r="AJ51" s="92">
        <v>0</v>
      </c>
      <c r="AK51" s="90">
        <v>3.7317682142264655E-3</v>
      </c>
      <c r="AL51" s="91">
        <v>3.7449625947267246E-3</v>
      </c>
      <c r="AM51" s="91">
        <v>1.7060704133338531E-3</v>
      </c>
      <c r="AN51" s="91">
        <v>2.7658268370909797E-3</v>
      </c>
      <c r="AO51" s="91">
        <v>2.3797172473930175E-3</v>
      </c>
      <c r="AP51" s="91">
        <v>4.6826699919898353E-3</v>
      </c>
      <c r="AQ51" s="91">
        <v>5.4771449139133684E-3</v>
      </c>
      <c r="AR51" s="91">
        <v>1.4244308452831598E-3</v>
      </c>
      <c r="AS51" s="91">
        <v>2.3268089239852183E-3</v>
      </c>
      <c r="AT51" s="91">
        <v>5.2211502727918593E-3</v>
      </c>
      <c r="AU51" s="91">
        <v>7.57541390813326E-3</v>
      </c>
      <c r="AV51" s="91">
        <v>8.6478375090793553E-3</v>
      </c>
      <c r="AW51" s="91">
        <v>1.7245848143601247E-2</v>
      </c>
      <c r="AX51" s="91">
        <v>3.6874781377464689E-3</v>
      </c>
      <c r="AY51" s="91">
        <v>0.31564320265761053</v>
      </c>
      <c r="AZ51" s="91">
        <v>1.0137775952734953E-2</v>
      </c>
      <c r="BA51" s="91">
        <v>4.5004090224772661E-3</v>
      </c>
      <c r="BB51" s="91">
        <v>5.6479820996789771E-3</v>
      </c>
      <c r="BC51" s="91">
        <v>6.6043493114589583E-2</v>
      </c>
      <c r="BD51" s="91">
        <v>4.9024297598332118E-3</v>
      </c>
      <c r="BE51" s="91">
        <v>3.7000221831209679E-3</v>
      </c>
      <c r="BF51" s="91">
        <v>2.1464743022114275E-3</v>
      </c>
      <c r="BG51" s="91">
        <v>4.2286166897116985E-2</v>
      </c>
      <c r="BH51" s="91">
        <v>4.538673625949112E-2</v>
      </c>
      <c r="BI51" s="91">
        <v>4.9522839623830611E-2</v>
      </c>
      <c r="BJ51" s="91">
        <v>1.7046705094994872E-2</v>
      </c>
      <c r="BK51" s="91">
        <v>3.706190101435428E-3</v>
      </c>
      <c r="BL51" s="91">
        <v>9.3433452378130966E-4</v>
      </c>
      <c r="BM51" s="91">
        <v>9.0824073963915628E-4</v>
      </c>
      <c r="BN51" s="91">
        <v>4.9358727987358613E-3</v>
      </c>
      <c r="BO51" s="91">
        <v>1.6661766868128956E-2</v>
      </c>
      <c r="BP51" s="91">
        <v>3.8026338333998831E-3</v>
      </c>
      <c r="BQ51" s="91">
        <v>1.1472441507722404E-3</v>
      </c>
      <c r="BR51" s="91">
        <v>1.0100341782074564E-2</v>
      </c>
      <c r="BS51" s="92">
        <v>6.9264362934281533E-4</v>
      </c>
    </row>
    <row r="52" spans="1:71" x14ac:dyDescent="0.35">
      <c r="A52" s="86">
        <v>16</v>
      </c>
      <c r="B52" s="90">
        <v>5.5873479940738246E-5</v>
      </c>
      <c r="C52" s="91">
        <v>1.0500672627107081E-4</v>
      </c>
      <c r="D52" s="91">
        <v>6.8893225563710172E-5</v>
      </c>
      <c r="E52" s="91">
        <v>3.0479023574261639E-4</v>
      </c>
      <c r="F52" s="91">
        <v>2.5440332504153145E-4</v>
      </c>
      <c r="G52" s="91">
        <v>2.6537352534540065E-4</v>
      </c>
      <c r="H52" s="91">
        <v>1.1843015371900863E-4</v>
      </c>
      <c r="I52" s="91">
        <v>1.4076182521358563E-4</v>
      </c>
      <c r="J52" s="91">
        <v>2.0194845225535114E-4</v>
      </c>
      <c r="K52" s="91">
        <v>2.3668598256408875E-4</v>
      </c>
      <c r="L52" s="91">
        <v>1.4574983518450416E-4</v>
      </c>
      <c r="M52" s="91">
        <v>6.302984400454203E-4</v>
      </c>
      <c r="N52" s="91">
        <v>4.3382948509648061E-4</v>
      </c>
      <c r="O52" s="91">
        <v>6.8684780647157852E-4</v>
      </c>
      <c r="P52" s="91">
        <v>1.2577334767230914E-3</v>
      </c>
      <c r="Q52" s="91">
        <v>5.8461486730598143E-3</v>
      </c>
      <c r="R52" s="91">
        <v>1.0674762590067421E-4</v>
      </c>
      <c r="S52" s="91">
        <v>2.6639396941844154E-4</v>
      </c>
      <c r="T52" s="91">
        <v>1.9524050342117531E-4</v>
      </c>
      <c r="U52" s="91">
        <v>1.4662617468637692E-4</v>
      </c>
      <c r="V52" s="91">
        <v>2.4968549236545188E-4</v>
      </c>
      <c r="W52" s="91">
        <v>1.9360643728902715E-4</v>
      </c>
      <c r="X52" s="91">
        <v>1.1190799571041056E-4</v>
      </c>
      <c r="Y52" s="91">
        <v>9.834098805126858E-5</v>
      </c>
      <c r="Z52" s="91">
        <v>3.1636901419102498E-4</v>
      </c>
      <c r="AA52" s="91">
        <v>9.5920280359672343E-5</v>
      </c>
      <c r="AB52" s="91">
        <v>1.1124885792833707E-4</v>
      </c>
      <c r="AC52" s="91">
        <v>5.8593921710931347E-5</v>
      </c>
      <c r="AD52" s="91">
        <v>4.3193968997681741E-5</v>
      </c>
      <c r="AE52" s="91">
        <v>1.3777931988392795E-4</v>
      </c>
      <c r="AF52" s="91">
        <v>3.1361762917998988E-4</v>
      </c>
      <c r="AG52" s="91">
        <v>2.8669734226461171E-4</v>
      </c>
      <c r="AH52" s="91">
        <v>6.8724359884766019E-4</v>
      </c>
      <c r="AI52" s="91">
        <v>4.3503075662332659E-4</v>
      </c>
      <c r="AJ52" s="92">
        <v>0</v>
      </c>
      <c r="AK52" s="90">
        <v>5.7066283903680574E-4</v>
      </c>
      <c r="AL52" s="91">
        <v>6.6782746060802195E-4</v>
      </c>
      <c r="AM52" s="91">
        <v>8.1355180697162204E-4</v>
      </c>
      <c r="AN52" s="91">
        <v>5.0249369754907869E-3</v>
      </c>
      <c r="AO52" s="91">
        <v>3.1244048796054734E-3</v>
      </c>
      <c r="AP52" s="91">
        <v>3.2809129696543577E-3</v>
      </c>
      <c r="AQ52" s="91">
        <v>4.3413975867887108E-3</v>
      </c>
      <c r="AR52" s="91">
        <v>5.6365785245672789E-4</v>
      </c>
      <c r="AS52" s="91">
        <v>1.7078508933163511E-3</v>
      </c>
      <c r="AT52" s="91">
        <v>2.241433648253752E-3</v>
      </c>
      <c r="AU52" s="91">
        <v>3.2844505524048545E-3</v>
      </c>
      <c r="AV52" s="91">
        <v>4.6712729229593346E-3</v>
      </c>
      <c r="AW52" s="91">
        <v>3.6537625540391757E-3</v>
      </c>
      <c r="AX52" s="91">
        <v>1.8979817467565392E-3</v>
      </c>
      <c r="AY52" s="91">
        <v>5.1043833384884687E-3</v>
      </c>
      <c r="AZ52" s="91">
        <v>6.5520374071845577E-2</v>
      </c>
      <c r="BA52" s="91">
        <v>2.209963552987442E-3</v>
      </c>
      <c r="BB52" s="91">
        <v>4.3309355838464557E-3</v>
      </c>
      <c r="BC52" s="91">
        <v>1.047961447241622E-3</v>
      </c>
      <c r="BD52" s="91">
        <v>7.3597596698573285E-4</v>
      </c>
      <c r="BE52" s="91">
        <v>1.0512473747966485E-3</v>
      </c>
      <c r="BF52" s="91">
        <v>2.1698972488989302E-3</v>
      </c>
      <c r="BG52" s="91">
        <v>4.6536039150501564E-3</v>
      </c>
      <c r="BH52" s="91">
        <v>4.7044164507220815E-4</v>
      </c>
      <c r="BI52" s="91">
        <v>1.952056522711058E-3</v>
      </c>
      <c r="BJ52" s="91">
        <v>1.4980991641696511E-3</v>
      </c>
      <c r="BK52" s="91">
        <v>1.7253508887115168E-3</v>
      </c>
      <c r="BL52" s="91">
        <v>8.6999630280995219E-4</v>
      </c>
      <c r="BM52" s="91">
        <v>1.3810447156634455E-3</v>
      </c>
      <c r="BN52" s="91">
        <v>1.8101301815345733E-3</v>
      </c>
      <c r="BO52" s="91">
        <v>3.3442851781875405E-3</v>
      </c>
      <c r="BP52" s="91">
        <v>4.3871654915124897E-3</v>
      </c>
      <c r="BQ52" s="91">
        <v>3.1476674900071783E-3</v>
      </c>
      <c r="BR52" s="91">
        <v>4.0509968684489285E-3</v>
      </c>
      <c r="BS52" s="92">
        <v>4.5783510682189379E-3</v>
      </c>
    </row>
    <row r="53" spans="1:71" x14ac:dyDescent="0.35">
      <c r="A53" s="86">
        <v>17</v>
      </c>
      <c r="B53" s="90">
        <v>1.8698585367085937E-4</v>
      </c>
      <c r="C53" s="91">
        <v>9.0783208984456301E-4</v>
      </c>
      <c r="D53" s="91">
        <v>2.3964604618459612E-4</v>
      </c>
      <c r="E53" s="91">
        <v>3.1578793097700739E-4</v>
      </c>
      <c r="F53" s="91">
        <v>1.1139895208237394E-4</v>
      </c>
      <c r="G53" s="91">
        <v>2.8841848331006848E-4</v>
      </c>
      <c r="H53" s="91">
        <v>3.7653066537535998E-4</v>
      </c>
      <c r="I53" s="91">
        <v>1.7940630830556327E-3</v>
      </c>
      <c r="J53" s="91">
        <v>4.9330942446710224E-4</v>
      </c>
      <c r="K53" s="91">
        <v>2.9886464377978266E-4</v>
      </c>
      <c r="L53" s="91">
        <v>6.830287660158326E-4</v>
      </c>
      <c r="M53" s="91">
        <v>5.5305637456844897E-4</v>
      </c>
      <c r="N53" s="91">
        <v>2.0973322903606418E-4</v>
      </c>
      <c r="O53" s="91">
        <v>1.7259150521713106E-4</v>
      </c>
      <c r="P53" s="91">
        <v>1.759663123184652E-4</v>
      </c>
      <c r="Q53" s="91">
        <v>2.0494713660199805E-4</v>
      </c>
      <c r="R53" s="91">
        <v>3.1208662567128688E-3</v>
      </c>
      <c r="S53" s="91">
        <v>6.9771890766032462E-5</v>
      </c>
      <c r="T53" s="91">
        <v>1.5275199783213627E-4</v>
      </c>
      <c r="U53" s="91">
        <v>9.8654118839245229E-5</v>
      </c>
      <c r="V53" s="91">
        <v>2.5005878780596889E-4</v>
      </c>
      <c r="W53" s="91">
        <v>2.2294090022622354E-4</v>
      </c>
      <c r="X53" s="91">
        <v>2.0660667454071158E-4</v>
      </c>
      <c r="Y53" s="91">
        <v>3.6239497014942037E-5</v>
      </c>
      <c r="Z53" s="91">
        <v>5.4527108901234826E-5</v>
      </c>
      <c r="AA53" s="91">
        <v>2.3286476291732762E-4</v>
      </c>
      <c r="AB53" s="91">
        <v>1.0040440339839765E-4</v>
      </c>
      <c r="AC53" s="91">
        <v>6.9118393057392716E-5</v>
      </c>
      <c r="AD53" s="91">
        <v>7.1487173893116664E-5</v>
      </c>
      <c r="AE53" s="91">
        <v>9.0852858385957302E-5</v>
      </c>
      <c r="AF53" s="91">
        <v>1.8549108633614792E-4</v>
      </c>
      <c r="AG53" s="91">
        <v>2.3416363618574459E-4</v>
      </c>
      <c r="AH53" s="91">
        <v>1.7781127425682273E-4</v>
      </c>
      <c r="AI53" s="91">
        <v>2.0355568455957148E-4</v>
      </c>
      <c r="AJ53" s="92">
        <v>0</v>
      </c>
      <c r="AK53" s="90">
        <v>9.061713445298011E-3</v>
      </c>
      <c r="AL53" s="91">
        <v>2.657564776521467E-2</v>
      </c>
      <c r="AM53" s="91">
        <v>1.2473550362144384E-2</v>
      </c>
      <c r="AN53" s="91">
        <v>1.6825521462900502E-2</v>
      </c>
      <c r="AO53" s="91">
        <v>6.5276238451660853E-3</v>
      </c>
      <c r="AP53" s="91">
        <v>1.7439092960622991E-2</v>
      </c>
      <c r="AQ53" s="91">
        <v>2.2422081971987459E-2</v>
      </c>
      <c r="AR53" s="91">
        <v>2.8931825275498844E-2</v>
      </c>
      <c r="AS53" s="91">
        <v>2.7147645591188704E-2</v>
      </c>
      <c r="AT53" s="91">
        <v>2.0427044279988822E-2</v>
      </c>
      <c r="AU53" s="91">
        <v>4.3417052992163419E-2</v>
      </c>
      <c r="AV53" s="91">
        <v>3.1919748709319004E-2</v>
      </c>
      <c r="AW53" s="91">
        <v>1.2124008341837798E-2</v>
      </c>
      <c r="AX53" s="91">
        <v>6.9063007572367999E-3</v>
      </c>
      <c r="AY53" s="91">
        <v>7.9014184691187806E-3</v>
      </c>
      <c r="AZ53" s="91">
        <v>8.4689362671320524E-3</v>
      </c>
      <c r="BA53" s="91">
        <v>0.11381304754603498</v>
      </c>
      <c r="BB53" s="91">
        <v>8.4427537499682549E-3</v>
      </c>
      <c r="BC53" s="91">
        <v>1.0379885126949966E-2</v>
      </c>
      <c r="BD53" s="91">
        <v>5.8051180142739819E-3</v>
      </c>
      <c r="BE53" s="91">
        <v>1.0749987239947084E-2</v>
      </c>
      <c r="BF53" s="91">
        <v>2.592478744163948E-2</v>
      </c>
      <c r="BG53" s="91">
        <v>1.7895685566337614E-2</v>
      </c>
      <c r="BH53" s="91">
        <v>3.388256029551374E-3</v>
      </c>
      <c r="BI53" s="91">
        <v>8.3864465674757995E-3</v>
      </c>
      <c r="BJ53" s="91">
        <v>2.4393418644664443E-2</v>
      </c>
      <c r="BK53" s="91">
        <v>9.9226673150888921E-3</v>
      </c>
      <c r="BL53" s="91">
        <v>3.842454068353689E-3</v>
      </c>
      <c r="BM53" s="91">
        <v>8.7109907181411733E-3</v>
      </c>
      <c r="BN53" s="91">
        <v>5.8198230140201774E-3</v>
      </c>
      <c r="BO53" s="91">
        <v>1.4347687439084445E-2</v>
      </c>
      <c r="BP53" s="91">
        <v>2.4927731513269526E-2</v>
      </c>
      <c r="BQ53" s="91">
        <v>1.224849309825069E-2</v>
      </c>
      <c r="BR53" s="91">
        <v>1.5190994702712743E-2</v>
      </c>
      <c r="BS53" s="92">
        <v>3.6193262617984444E-4</v>
      </c>
    </row>
    <row r="54" spans="1:71" x14ac:dyDescent="0.35">
      <c r="A54" s="86">
        <v>18</v>
      </c>
      <c r="B54" s="90">
        <v>5.1744311930705662E-5</v>
      </c>
      <c r="C54" s="91">
        <v>1.9011815814167637E-4</v>
      </c>
      <c r="D54" s="91">
        <v>4.6425224950946884E-5</v>
      </c>
      <c r="E54" s="91">
        <v>5.9462402655515024E-5</v>
      </c>
      <c r="F54" s="91">
        <v>3.3807819259921151E-5</v>
      </c>
      <c r="G54" s="91">
        <v>8.6090958107464227E-5</v>
      </c>
      <c r="H54" s="91">
        <v>7.4542130683424862E-5</v>
      </c>
      <c r="I54" s="91">
        <v>3.8825071128866423E-5</v>
      </c>
      <c r="J54" s="91">
        <v>6.6300199995879367E-5</v>
      </c>
      <c r="K54" s="91">
        <v>4.5467706060122786E-5</v>
      </c>
      <c r="L54" s="91">
        <v>1.4273831906970477E-4</v>
      </c>
      <c r="M54" s="91">
        <v>9.0360787343669234E-5</v>
      </c>
      <c r="N54" s="91">
        <v>7.0423414639516081E-5</v>
      </c>
      <c r="O54" s="91">
        <v>5.018773476734732E-5</v>
      </c>
      <c r="P54" s="91">
        <v>5.0873163100830495E-5</v>
      </c>
      <c r="Q54" s="91">
        <v>6.8584918470625245E-5</v>
      </c>
      <c r="R54" s="91">
        <v>1.8269089086153924E-4</v>
      </c>
      <c r="S54" s="91">
        <v>9.512665942794556E-4</v>
      </c>
      <c r="T54" s="91">
        <v>7.039914641226598E-5</v>
      </c>
      <c r="U54" s="91">
        <v>5.5105423098743827E-5</v>
      </c>
      <c r="V54" s="91">
        <v>8.5840995324310348E-5</v>
      </c>
      <c r="W54" s="91">
        <v>1.0217606896952954E-4</v>
      </c>
      <c r="X54" s="91">
        <v>8.6534090605667875E-5</v>
      </c>
      <c r="Y54" s="91">
        <v>2.336930836595356E-5</v>
      </c>
      <c r="Z54" s="91">
        <v>2.6125401568507994E-5</v>
      </c>
      <c r="AA54" s="91">
        <v>2.3195276372282343E-4</v>
      </c>
      <c r="AB54" s="91">
        <v>1.3128085251568077E-4</v>
      </c>
      <c r="AC54" s="91">
        <v>6.5366567903044886E-5</v>
      </c>
      <c r="AD54" s="91">
        <v>5.8838808046503841E-4</v>
      </c>
      <c r="AE54" s="91">
        <v>9.5040538388089927E-5</v>
      </c>
      <c r="AF54" s="91">
        <v>3.2286548255460482E-4</v>
      </c>
      <c r="AG54" s="91">
        <v>1.2456755065042507E-4</v>
      </c>
      <c r="AH54" s="91">
        <v>1.3130306198127362E-4</v>
      </c>
      <c r="AI54" s="91">
        <v>1.6503902816068487E-4</v>
      </c>
      <c r="AJ54" s="92">
        <v>0</v>
      </c>
      <c r="AK54" s="90">
        <v>2.9618627565081465E-3</v>
      </c>
      <c r="AL54" s="91">
        <v>5.7146954915763279E-3</v>
      </c>
      <c r="AM54" s="91">
        <v>1.6849550729904344E-3</v>
      </c>
      <c r="AN54" s="91">
        <v>1.6802753534441153E-3</v>
      </c>
      <c r="AO54" s="91">
        <v>5.7331254470076407E-4</v>
      </c>
      <c r="AP54" s="91">
        <v>1.8670270256819445E-3</v>
      </c>
      <c r="AQ54" s="91">
        <v>2.3328350991698291E-3</v>
      </c>
      <c r="AR54" s="91">
        <v>4.0403619209984209E-3</v>
      </c>
      <c r="AS54" s="91">
        <v>2.4232513667901924E-3</v>
      </c>
      <c r="AT54" s="91">
        <v>1.8885320004363763E-3</v>
      </c>
      <c r="AU54" s="91">
        <v>4.5719743536884461E-3</v>
      </c>
      <c r="AV54" s="91">
        <v>2.5706913610969535E-3</v>
      </c>
      <c r="AW54" s="91">
        <v>1.3938873260148962E-3</v>
      </c>
      <c r="AX54" s="91">
        <v>1.0299678021527855E-3</v>
      </c>
      <c r="AY54" s="91">
        <v>1.1398584245441064E-3</v>
      </c>
      <c r="AZ54" s="91">
        <v>1.581772731612717E-3</v>
      </c>
      <c r="BA54" s="91">
        <v>1.4698464478994437E-2</v>
      </c>
      <c r="BB54" s="91">
        <v>1.7912444732040036E-2</v>
      </c>
      <c r="BC54" s="91">
        <v>3.422172292865803E-3</v>
      </c>
      <c r="BD54" s="91">
        <v>2.6175010345868776E-3</v>
      </c>
      <c r="BE54" s="91">
        <v>3.1109686618698432E-3</v>
      </c>
      <c r="BF54" s="91">
        <v>5.32551824215484E-3</v>
      </c>
      <c r="BG54" s="91">
        <v>1.0902840257670245E-2</v>
      </c>
      <c r="BH54" s="91">
        <v>1.3453720162434767E-3</v>
      </c>
      <c r="BI54" s="91">
        <v>3.4697341191002786E-3</v>
      </c>
      <c r="BJ54" s="91">
        <v>7.5073482533512016E-3</v>
      </c>
      <c r="BK54" s="91">
        <v>8.5253053761078033E-3</v>
      </c>
      <c r="BL54" s="91">
        <v>4.6526945354072678E-3</v>
      </c>
      <c r="BM54" s="91">
        <v>2.300629483007521E-2</v>
      </c>
      <c r="BN54" s="91">
        <v>3.3290179465475739E-3</v>
      </c>
      <c r="BO54" s="91">
        <v>1.7782380608692278E-2</v>
      </c>
      <c r="BP54" s="91">
        <v>1.3857786032535849E-2</v>
      </c>
      <c r="BQ54" s="91">
        <v>7.7095262087805861E-3</v>
      </c>
      <c r="BR54" s="91">
        <v>7.7308588622692744E-3</v>
      </c>
      <c r="BS54" s="92">
        <v>1.4474450889101656E-3</v>
      </c>
    </row>
    <row r="55" spans="1:71" x14ac:dyDescent="0.35">
      <c r="A55" s="86">
        <v>19</v>
      </c>
      <c r="B55" s="90">
        <v>1.4713513140658436E-5</v>
      </c>
      <c r="C55" s="91">
        <v>1.5621289504434225E-5</v>
      </c>
      <c r="D55" s="91">
        <v>1.8442470083538082E-5</v>
      </c>
      <c r="E55" s="91">
        <v>1.643523318002999E-5</v>
      </c>
      <c r="F55" s="91">
        <v>1.8773904419628553E-5</v>
      </c>
      <c r="G55" s="91">
        <v>1.3337718893565439E-5</v>
      </c>
      <c r="H55" s="91">
        <v>1.4227014787145698E-5</v>
      </c>
      <c r="I55" s="91">
        <v>1.1079749168948113E-5</v>
      </c>
      <c r="J55" s="91">
        <v>1.9250792223732935E-5</v>
      </c>
      <c r="K55" s="91">
        <v>1.3580950071009129E-5</v>
      </c>
      <c r="L55" s="91">
        <v>1.857833047134938E-5</v>
      </c>
      <c r="M55" s="91">
        <v>1.4606752558254199E-5</v>
      </c>
      <c r="N55" s="91">
        <v>2.3457384152450958E-5</v>
      </c>
      <c r="O55" s="91">
        <v>1.5135148013277605E-5</v>
      </c>
      <c r="P55" s="91">
        <v>2.2956009027328678E-5</v>
      </c>
      <c r="Q55" s="91">
        <v>2.0375315551000413E-5</v>
      </c>
      <c r="R55" s="91">
        <v>1.3199630170106164E-5</v>
      </c>
      <c r="S55" s="91">
        <v>2.0944497624387885E-5</v>
      </c>
      <c r="T55" s="91">
        <v>4.0982215895217971E-5</v>
      </c>
      <c r="U55" s="91">
        <v>1.3182520058693453E-5</v>
      </c>
      <c r="V55" s="91">
        <v>1.1149465584528324E-5</v>
      </c>
      <c r="W55" s="91">
        <v>1.9621604903965792E-5</v>
      </c>
      <c r="X55" s="91">
        <v>4.6973493288151902E-5</v>
      </c>
      <c r="Y55" s="91">
        <v>1.6369784874073058E-5</v>
      </c>
      <c r="Z55" s="91">
        <v>1.4136473063277168E-5</v>
      </c>
      <c r="AA55" s="91">
        <v>9.7199288125381639E-6</v>
      </c>
      <c r="AB55" s="91">
        <v>8.5207804240720528E-6</v>
      </c>
      <c r="AC55" s="91">
        <v>7.4859862525665182E-6</v>
      </c>
      <c r="AD55" s="91">
        <v>2.936132260456114E-6</v>
      </c>
      <c r="AE55" s="91">
        <v>1.2732726215391524E-5</v>
      </c>
      <c r="AF55" s="91">
        <v>1.0583527640331311E-5</v>
      </c>
      <c r="AG55" s="91">
        <v>6.1663303751638631E-6</v>
      </c>
      <c r="AH55" s="91">
        <v>1.0768585817229545E-5</v>
      </c>
      <c r="AI55" s="91">
        <v>1.3611536936391068E-5</v>
      </c>
      <c r="AJ55" s="92">
        <v>0</v>
      </c>
      <c r="AK55" s="90">
        <v>3.3778547034554198E-3</v>
      </c>
      <c r="AL55" s="91">
        <v>2.3336547342478393E-3</v>
      </c>
      <c r="AM55" s="91">
        <v>3.8205993995182692E-3</v>
      </c>
      <c r="AN55" s="91">
        <v>1.9280823688380415E-3</v>
      </c>
      <c r="AO55" s="91">
        <v>2.0461629691469712E-3</v>
      </c>
      <c r="AP55" s="91">
        <v>3.1500684441533103E-3</v>
      </c>
      <c r="AQ55" s="91">
        <v>2.7958676249188455E-3</v>
      </c>
      <c r="AR55" s="91">
        <v>2.2660852818692577E-3</v>
      </c>
      <c r="AS55" s="91">
        <v>2.8271640948745076E-3</v>
      </c>
      <c r="AT55" s="91">
        <v>3.513299284776283E-3</v>
      </c>
      <c r="AU55" s="91">
        <v>4.1162112226534233E-3</v>
      </c>
      <c r="AV55" s="91">
        <v>3.2962292754215266E-3</v>
      </c>
      <c r="AW55" s="91">
        <v>1.9137687885552928E-3</v>
      </c>
      <c r="AX55" s="91">
        <v>1.5752939392873354E-3</v>
      </c>
      <c r="AY55" s="91">
        <v>1.9864671511158113E-3</v>
      </c>
      <c r="AZ55" s="91">
        <v>2.9764880091579238E-3</v>
      </c>
      <c r="BA55" s="91">
        <v>7.3972156268422148E-3</v>
      </c>
      <c r="BB55" s="91">
        <v>4.8472374093631154E-3</v>
      </c>
      <c r="BC55" s="91">
        <v>4.7940338667459524E-3</v>
      </c>
      <c r="BD55" s="91">
        <v>2.5582433941034426E-3</v>
      </c>
      <c r="BE55" s="91">
        <v>2.3609184593936937E-3</v>
      </c>
      <c r="BF55" s="91">
        <v>2.9143379470049444E-3</v>
      </c>
      <c r="BG55" s="91">
        <v>1.0737297516549468E-2</v>
      </c>
      <c r="BH55" s="91">
        <v>1.1779355231433647E-3</v>
      </c>
      <c r="BI55" s="91">
        <v>4.8074158798841965E-3</v>
      </c>
      <c r="BJ55" s="91">
        <v>6.3155360244268946E-3</v>
      </c>
      <c r="BK55" s="91">
        <v>2.8668512314559262E-3</v>
      </c>
      <c r="BL55" s="91">
        <v>2.4513803127063404E-3</v>
      </c>
      <c r="BM55" s="91">
        <v>2.2299415101876803E-3</v>
      </c>
      <c r="BN55" s="91">
        <v>5.7930375319597766E-3</v>
      </c>
      <c r="BO55" s="91">
        <v>3.522782339314196E-3</v>
      </c>
      <c r="BP55" s="91">
        <v>2.4342324031088399E-3</v>
      </c>
      <c r="BQ55" s="91">
        <v>2.8008923144974395E-3</v>
      </c>
      <c r="BR55" s="91">
        <v>5.2007728921299378E-3</v>
      </c>
      <c r="BS55" s="92">
        <v>2.5776424965029639E-5</v>
      </c>
    </row>
    <row r="56" spans="1:71" x14ac:dyDescent="0.35">
      <c r="A56" s="86">
        <v>20</v>
      </c>
      <c r="B56" s="90">
        <v>6.8852155401658878E-4</v>
      </c>
      <c r="C56" s="91">
        <v>2.6292990155075352E-3</v>
      </c>
      <c r="D56" s="91">
        <v>1.2604786736776698E-3</v>
      </c>
      <c r="E56" s="91">
        <v>8.9789585889294961E-4</v>
      </c>
      <c r="F56" s="91">
        <v>1.1619476017317742E-3</v>
      </c>
      <c r="G56" s="91">
        <v>6.5161617359762731E-4</v>
      </c>
      <c r="H56" s="91">
        <v>4.9020154816865778E-3</v>
      </c>
      <c r="I56" s="91">
        <v>2.7550377697051803E-2</v>
      </c>
      <c r="J56" s="91">
        <v>1.5838575152577695E-3</v>
      </c>
      <c r="K56" s="91">
        <v>7.5277017165805587E-4</v>
      </c>
      <c r="L56" s="91">
        <v>1.1383110193566156E-3</v>
      </c>
      <c r="M56" s="91">
        <v>7.2962717491604785E-4</v>
      </c>
      <c r="N56" s="91">
        <v>6.0598954506492909E-4</v>
      </c>
      <c r="O56" s="91">
        <v>1.8536581317893049E-3</v>
      </c>
      <c r="P56" s="91">
        <v>5.3328627127324302E-4</v>
      </c>
      <c r="Q56" s="91">
        <v>7.7662062366352772E-4</v>
      </c>
      <c r="R56" s="91">
        <v>5.4411354997563749E-3</v>
      </c>
      <c r="S56" s="91">
        <v>4.7756276362557462E-4</v>
      </c>
      <c r="T56" s="91">
        <v>4.4170059500292839E-4</v>
      </c>
      <c r="U56" s="91">
        <v>6.6956265306449209E-4</v>
      </c>
      <c r="V56" s="91">
        <v>2.3509176217477047E-4</v>
      </c>
      <c r="W56" s="91">
        <v>6.4728482714798469E-4</v>
      </c>
      <c r="X56" s="91">
        <v>3.5605720152993663E-4</v>
      </c>
      <c r="Y56" s="91">
        <v>2.841315157396267E-4</v>
      </c>
      <c r="Z56" s="91">
        <v>1.142579821146968E-3</v>
      </c>
      <c r="AA56" s="91">
        <v>1.5207510530744584E-4</v>
      </c>
      <c r="AB56" s="91">
        <v>1.6701176499390528E-4</v>
      </c>
      <c r="AC56" s="91">
        <v>5.7708279354666682E-5</v>
      </c>
      <c r="AD56" s="91">
        <v>8.5410176912626283E-5</v>
      </c>
      <c r="AE56" s="91">
        <v>4.9521153549752963E-4</v>
      </c>
      <c r="AF56" s="91">
        <v>1.3603095470503327E-4</v>
      </c>
      <c r="AG56" s="91">
        <v>9.2474697948494283E-5</v>
      </c>
      <c r="AH56" s="91">
        <v>2.9832925780181728E-4</v>
      </c>
      <c r="AI56" s="91">
        <v>1.5719041700708243E-4</v>
      </c>
      <c r="AJ56" s="92">
        <v>0</v>
      </c>
      <c r="AK56" s="90">
        <v>3.091297033184005E-2</v>
      </c>
      <c r="AL56" s="91">
        <v>1.4515422795653319E-2</v>
      </c>
      <c r="AM56" s="91">
        <v>6.0973477634425004E-2</v>
      </c>
      <c r="AN56" s="91">
        <v>3.0602041827394646E-2</v>
      </c>
      <c r="AO56" s="91">
        <v>3.5526827709522688E-2</v>
      </c>
      <c r="AP56" s="91">
        <v>4.6678189771610756E-2</v>
      </c>
      <c r="AQ56" s="91">
        <v>4.2312119550559718E-2</v>
      </c>
      <c r="AR56" s="91">
        <v>5.3457575480149233E-2</v>
      </c>
      <c r="AS56" s="91">
        <v>3.7959333546359997E-2</v>
      </c>
      <c r="AT56" s="91">
        <v>3.8246045973453699E-2</v>
      </c>
      <c r="AU56" s="91">
        <v>3.3082490416471183E-2</v>
      </c>
      <c r="AV56" s="91">
        <v>3.4349565452497913E-2</v>
      </c>
      <c r="AW56" s="91">
        <v>3.3658794314633762E-2</v>
      </c>
      <c r="AX56" s="91">
        <v>2.8388014271403823E-2</v>
      </c>
      <c r="AY56" s="91">
        <v>3.7193863380482875E-2</v>
      </c>
      <c r="AZ56" s="91">
        <v>2.9588373397548339E-2</v>
      </c>
      <c r="BA56" s="91">
        <v>1.7213219473346014E-2</v>
      </c>
      <c r="BB56" s="91">
        <v>4.199585446206467E-2</v>
      </c>
      <c r="BC56" s="91">
        <v>3.0816595089164317E-2</v>
      </c>
      <c r="BD56" s="91">
        <v>1.2855739839283172E-2</v>
      </c>
      <c r="BE56" s="91">
        <v>1.1708842815181565E-2</v>
      </c>
      <c r="BF56" s="91">
        <v>4.6818089735592261E-2</v>
      </c>
      <c r="BG56" s="91">
        <v>2.1818198838161801E-2</v>
      </c>
      <c r="BH56" s="91">
        <v>1.7861742090486174E-2</v>
      </c>
      <c r="BI56" s="91">
        <v>2.2159852145150517E-2</v>
      </c>
      <c r="BJ56" s="91">
        <v>2.8227546397246006E-2</v>
      </c>
      <c r="BK56" s="91">
        <v>1.1845509697774217E-2</v>
      </c>
      <c r="BL56" s="91">
        <v>3.6986427352920059E-3</v>
      </c>
      <c r="BM56" s="91">
        <v>4.0024191257125846E-3</v>
      </c>
      <c r="BN56" s="91">
        <v>1.3851277430839921E-2</v>
      </c>
      <c r="BO56" s="91">
        <v>2.0235534199828813E-2</v>
      </c>
      <c r="BP56" s="91">
        <v>1.381989070158041E-2</v>
      </c>
      <c r="BQ56" s="91">
        <v>2.8834376079138958E-2</v>
      </c>
      <c r="BR56" s="91">
        <v>1.7233112948985659E-2</v>
      </c>
      <c r="BS56" s="92">
        <v>2.0426403017253456E-4</v>
      </c>
    </row>
    <row r="57" spans="1:71" x14ac:dyDescent="0.35">
      <c r="A57" s="86">
        <v>21</v>
      </c>
      <c r="B57" s="90">
        <v>1.5176745095644918E-4</v>
      </c>
      <c r="C57" s="91">
        <v>8.9562001510754813E-5</v>
      </c>
      <c r="D57" s="91">
        <v>2.4356866980133169E-4</v>
      </c>
      <c r="E57" s="91">
        <v>2.6213782871004483E-4</v>
      </c>
      <c r="F57" s="91">
        <v>3.5435768546042976E-4</v>
      </c>
      <c r="G57" s="91">
        <v>2.0182131997207548E-4</v>
      </c>
      <c r="H57" s="91">
        <v>1.9815711651976643E-4</v>
      </c>
      <c r="I57" s="91">
        <v>2.9386320465585932E-4</v>
      </c>
      <c r="J57" s="91">
        <v>2.3956642584390292E-4</v>
      </c>
      <c r="K57" s="91">
        <v>2.2166003646820461E-4</v>
      </c>
      <c r="L57" s="91">
        <v>1.8613083069277594E-4</v>
      </c>
      <c r="M57" s="91">
        <v>1.8099330801843165E-4</v>
      </c>
      <c r="N57" s="91">
        <v>2.0499154627650213E-4</v>
      </c>
      <c r="O57" s="91">
        <v>1.9874303561659765E-4</v>
      </c>
      <c r="P57" s="91">
        <v>2.0726111861618725E-4</v>
      </c>
      <c r="Q57" s="91">
        <v>2.2675999814837831E-4</v>
      </c>
      <c r="R57" s="91">
        <v>7.1832744581226888E-5</v>
      </c>
      <c r="S57" s="91">
        <v>1.2469013452276372E-4</v>
      </c>
      <c r="T57" s="91">
        <v>9.857594790480399E-5</v>
      </c>
      <c r="U57" s="91">
        <v>1.8150365466866413E-4</v>
      </c>
      <c r="V57" s="91">
        <v>7.980664596457705E-5</v>
      </c>
      <c r="W57" s="91">
        <v>1.6532299532680961E-4</v>
      </c>
      <c r="X57" s="91">
        <v>9.2694356995108446E-5</v>
      </c>
      <c r="Y57" s="91">
        <v>9.8093005106268704E-5</v>
      </c>
      <c r="Z57" s="91">
        <v>1.3367769601843875E-4</v>
      </c>
      <c r="AA57" s="91">
        <v>7.342443668491839E-5</v>
      </c>
      <c r="AB57" s="91">
        <v>4.7658596973435857E-5</v>
      </c>
      <c r="AC57" s="91">
        <v>3.4758351210880116E-5</v>
      </c>
      <c r="AD57" s="91">
        <v>1.7825911591191262E-5</v>
      </c>
      <c r="AE57" s="91">
        <v>7.0270133024354366E-5</v>
      </c>
      <c r="AF57" s="91">
        <v>6.3541815130985056E-5</v>
      </c>
      <c r="AG57" s="91">
        <v>3.6097138321841486E-5</v>
      </c>
      <c r="AH57" s="91">
        <v>8.1555731179902216E-5</v>
      </c>
      <c r="AI57" s="91">
        <v>7.1910385036671513E-5</v>
      </c>
      <c r="AJ57" s="92">
        <v>0</v>
      </c>
      <c r="AK57" s="90">
        <v>1.2796949840501014E-2</v>
      </c>
      <c r="AL57" s="91">
        <v>5.4874788197667064E-3</v>
      </c>
      <c r="AM57" s="91">
        <v>2.0505045126968834E-2</v>
      </c>
      <c r="AN57" s="91">
        <v>1.3171576114354941E-2</v>
      </c>
      <c r="AO57" s="91">
        <v>1.5360173748123372E-2</v>
      </c>
      <c r="AP57" s="91">
        <v>1.2351139024826126E-2</v>
      </c>
      <c r="AQ57" s="91">
        <v>1.2082559830109019E-2</v>
      </c>
      <c r="AR57" s="91">
        <v>1.5468533818131056E-2</v>
      </c>
      <c r="AS57" s="91">
        <v>1.1843755057086456E-2</v>
      </c>
      <c r="AT57" s="91">
        <v>1.1465123780997051E-2</v>
      </c>
      <c r="AU57" s="91">
        <v>1.1507751002761669E-2</v>
      </c>
      <c r="AV57" s="91">
        <v>1.0908816757357602E-2</v>
      </c>
      <c r="AW57" s="91">
        <v>8.6660055284080995E-3</v>
      </c>
      <c r="AX57" s="91">
        <v>7.9290287988578734E-3</v>
      </c>
      <c r="AY57" s="91">
        <v>1.1135976122300875E-2</v>
      </c>
      <c r="AZ57" s="91">
        <v>1.5776641898646918E-2</v>
      </c>
      <c r="BA57" s="91">
        <v>6.3286950545842777E-3</v>
      </c>
      <c r="BB57" s="91">
        <v>2.4209773160062221E-2</v>
      </c>
      <c r="BC57" s="91">
        <v>1.3040759197872799E-2</v>
      </c>
      <c r="BD57" s="91">
        <v>4.2338679445202239E-3</v>
      </c>
      <c r="BE57" s="91">
        <v>5.3518599334654634E-3</v>
      </c>
      <c r="BF57" s="91">
        <v>1.8808201187979733E-2</v>
      </c>
      <c r="BG57" s="91">
        <v>1.476877211680055E-2</v>
      </c>
      <c r="BH57" s="91">
        <v>6.19165952203135E-3</v>
      </c>
      <c r="BI57" s="91">
        <v>8.9292258034635429E-3</v>
      </c>
      <c r="BJ57" s="91">
        <v>1.2282373865365298E-2</v>
      </c>
      <c r="BK57" s="91">
        <v>7.5134148359821467E-3</v>
      </c>
      <c r="BL57" s="91">
        <v>4.9902078428179144E-3</v>
      </c>
      <c r="BM57" s="91">
        <v>3.2065743567712868E-3</v>
      </c>
      <c r="BN57" s="91">
        <v>9.1478512180620062E-3</v>
      </c>
      <c r="BO57" s="91">
        <v>7.5234817449728215E-3</v>
      </c>
      <c r="BP57" s="91">
        <v>5.9486658085350736E-3</v>
      </c>
      <c r="BQ57" s="91">
        <v>9.6658627658665723E-3</v>
      </c>
      <c r="BR57" s="91">
        <v>1.054521949538326E-2</v>
      </c>
      <c r="BS57" s="92">
        <v>3.2491211823674235E-4</v>
      </c>
    </row>
    <row r="58" spans="1:71" x14ac:dyDescent="0.35">
      <c r="A58" s="86">
        <v>22</v>
      </c>
      <c r="B58" s="90">
        <v>9.3725960069645679E-5</v>
      </c>
      <c r="C58" s="91">
        <v>7.5595645350908891E-4</v>
      </c>
      <c r="D58" s="91">
        <v>2.5369499015889113E-4</v>
      </c>
      <c r="E58" s="91">
        <v>3.1849781059191824E-4</v>
      </c>
      <c r="F58" s="91">
        <v>3.2527540000102653E-4</v>
      </c>
      <c r="G58" s="91">
        <v>2.3823137381516184E-4</v>
      </c>
      <c r="H58" s="91">
        <v>3.4983510287997277E-4</v>
      </c>
      <c r="I58" s="91">
        <v>1.329749692587313E-4</v>
      </c>
      <c r="J58" s="91">
        <v>2.3729126493009489E-4</v>
      </c>
      <c r="K58" s="91">
        <v>2.7047697228652637E-4</v>
      </c>
      <c r="L58" s="91">
        <v>2.9774505816870816E-4</v>
      </c>
      <c r="M58" s="91">
        <v>3.0469747787250148E-4</v>
      </c>
      <c r="N58" s="91">
        <v>3.7031308270515847E-4</v>
      </c>
      <c r="O58" s="91">
        <v>3.0144488334769826E-4</v>
      </c>
      <c r="P58" s="91">
        <v>2.3105997363098103E-4</v>
      </c>
      <c r="Q58" s="91">
        <v>3.1506955140719444E-4</v>
      </c>
      <c r="R58" s="91">
        <v>2.3413610146393618E-4</v>
      </c>
      <c r="S58" s="91">
        <v>4.1135965068455813E-4</v>
      </c>
      <c r="T58" s="91">
        <v>6.1197352859775295E-4</v>
      </c>
      <c r="U58" s="91">
        <v>8.062763864103656E-4</v>
      </c>
      <c r="V58" s="91">
        <v>3.1222973027350566E-3</v>
      </c>
      <c r="W58" s="91">
        <v>1.0547086148148756E-3</v>
      </c>
      <c r="X58" s="91">
        <v>7.703039723238838E-4</v>
      </c>
      <c r="Y58" s="91">
        <v>3.0928879916089914E-4</v>
      </c>
      <c r="Z58" s="91">
        <v>3.6544039019329316E-3</v>
      </c>
      <c r="AA58" s="91">
        <v>3.2376336611286884E-3</v>
      </c>
      <c r="AB58" s="91">
        <v>4.2778640329383261E-4</v>
      </c>
      <c r="AC58" s="91">
        <v>7.910077179809279E-4</v>
      </c>
      <c r="AD58" s="91">
        <v>1.3908365494747055E-4</v>
      </c>
      <c r="AE58" s="91">
        <v>6.7632202349408746E-4</v>
      </c>
      <c r="AF58" s="91">
        <v>1.4981035103741919E-3</v>
      </c>
      <c r="AG58" s="91">
        <v>9.7154604009939798E-4</v>
      </c>
      <c r="AH58" s="91">
        <v>1.1820117489023583E-3</v>
      </c>
      <c r="AI58" s="91">
        <v>1.0480734041441173E-3</v>
      </c>
      <c r="AJ58" s="92">
        <v>0</v>
      </c>
      <c r="AK58" s="90">
        <v>1.6609680547123782E-3</v>
      </c>
      <c r="AL58" s="91">
        <v>3.1146008921576389E-3</v>
      </c>
      <c r="AM58" s="91">
        <v>4.3382137914530208E-3</v>
      </c>
      <c r="AN58" s="91">
        <v>3.7038387406747495E-3</v>
      </c>
      <c r="AO58" s="91">
        <v>4.0266775770008605E-3</v>
      </c>
      <c r="AP58" s="91">
        <v>4.0370192084448319E-3</v>
      </c>
      <c r="AQ58" s="91">
        <v>5.4846100967712863E-3</v>
      </c>
      <c r="AR58" s="91">
        <v>9.0309959360323946E-4</v>
      </c>
      <c r="AS58" s="91">
        <v>4.1382554057673845E-3</v>
      </c>
      <c r="AT58" s="91">
        <v>4.7532453823121374E-3</v>
      </c>
      <c r="AU58" s="91">
        <v>6.0960916108617836E-3</v>
      </c>
      <c r="AV58" s="91">
        <v>4.3725175775772458E-3</v>
      </c>
      <c r="AW58" s="91">
        <v>5.0970411290695147E-3</v>
      </c>
      <c r="AX58" s="91">
        <v>3.4277151866578819E-3</v>
      </c>
      <c r="AY58" s="91">
        <v>2.7785925334656287E-3</v>
      </c>
      <c r="AZ58" s="91">
        <v>3.4051688522670569E-3</v>
      </c>
      <c r="BA58" s="91">
        <v>3.4636789977193893E-3</v>
      </c>
      <c r="BB58" s="91">
        <v>5.8341308272194265E-3</v>
      </c>
      <c r="BC58" s="91">
        <v>4.4696505369006745E-3</v>
      </c>
      <c r="BD58" s="91">
        <v>6.9963401247160294E-3</v>
      </c>
      <c r="BE58" s="91">
        <v>3.9316101937694366E-3</v>
      </c>
      <c r="BF58" s="91">
        <v>1.0344110594232866E-2</v>
      </c>
      <c r="BG58" s="91">
        <v>8.0651246426198236E-3</v>
      </c>
      <c r="BH58" s="91">
        <v>4.235950181988214E-3</v>
      </c>
      <c r="BI58" s="91">
        <v>1.5805536760756016E-2</v>
      </c>
      <c r="BJ58" s="91">
        <v>2.4674928001549936E-2</v>
      </c>
      <c r="BK58" s="91">
        <v>8.4248300283880223E-3</v>
      </c>
      <c r="BL58" s="91">
        <v>1.2231912497746441E-2</v>
      </c>
      <c r="BM58" s="91">
        <v>2.2236754599857002E-3</v>
      </c>
      <c r="BN58" s="91">
        <v>1.5418806629839348E-2</v>
      </c>
      <c r="BO58" s="91">
        <v>1.2029861628172461E-2</v>
      </c>
      <c r="BP58" s="91">
        <v>1.2607839204322884E-2</v>
      </c>
      <c r="BQ58" s="91">
        <v>8.7894156697735266E-3</v>
      </c>
      <c r="BR58" s="91">
        <v>1.2562061342240027E-2</v>
      </c>
      <c r="BS58" s="92">
        <v>1.0152243702237057E-4</v>
      </c>
    </row>
    <row r="59" spans="1:71" x14ac:dyDescent="0.35">
      <c r="A59" s="86">
        <v>23</v>
      </c>
      <c r="B59" s="90">
        <v>3.4833397677710667E-4</v>
      </c>
      <c r="C59" s="91">
        <v>3.9544539183663631E-3</v>
      </c>
      <c r="D59" s="91">
        <v>8.8317487790168605E-4</v>
      </c>
      <c r="E59" s="91">
        <v>6.8572939087515781E-4</v>
      </c>
      <c r="F59" s="91">
        <v>5.551010796080863E-4</v>
      </c>
      <c r="G59" s="91">
        <v>1.09380916631169E-3</v>
      </c>
      <c r="H59" s="91">
        <v>9.2693487126703825E-4</v>
      </c>
      <c r="I59" s="91">
        <v>3.0439824140147186E-2</v>
      </c>
      <c r="J59" s="91">
        <v>1.4273523367084912E-3</v>
      </c>
      <c r="K59" s="91">
        <v>8.1945459807010728E-4</v>
      </c>
      <c r="L59" s="91">
        <v>1.8844787104281484E-3</v>
      </c>
      <c r="M59" s="91">
        <v>8.556834213851338E-4</v>
      </c>
      <c r="N59" s="91">
        <v>5.802423400120963E-4</v>
      </c>
      <c r="O59" s="91">
        <v>7.3947910199513047E-4</v>
      </c>
      <c r="P59" s="91">
        <v>7.7212229573921825E-4</v>
      </c>
      <c r="Q59" s="91">
        <v>8.8688687244294594E-4</v>
      </c>
      <c r="R59" s="91">
        <v>5.6203636624928728E-3</v>
      </c>
      <c r="S59" s="91">
        <v>3.367130836021657E-4</v>
      </c>
      <c r="T59" s="91">
        <v>7.2724253507650612E-4</v>
      </c>
      <c r="U59" s="91">
        <v>1.8694733638611218E-3</v>
      </c>
      <c r="V59" s="91">
        <v>7.8155691907100722E-4</v>
      </c>
      <c r="W59" s="91">
        <v>2.4391454610362776E-4</v>
      </c>
      <c r="X59" s="91">
        <v>2.6539053311596529E-3</v>
      </c>
      <c r="Y59" s="91">
        <v>1.1724947795929584E-3</v>
      </c>
      <c r="Z59" s="91">
        <v>7.7254231175500677E-4</v>
      </c>
      <c r="AA59" s="91">
        <v>4.1356736723092979E-3</v>
      </c>
      <c r="AB59" s="91">
        <v>2.7866420458660425E-4</v>
      </c>
      <c r="AC59" s="91">
        <v>1.0866604057681123E-4</v>
      </c>
      <c r="AD59" s="91">
        <v>3.5059650143483582E-5</v>
      </c>
      <c r="AE59" s="91">
        <v>2.4725778502345577E-4</v>
      </c>
      <c r="AF59" s="91">
        <v>5.3198874944628612E-4</v>
      </c>
      <c r="AG59" s="91">
        <v>6.0174017399551962E-4</v>
      </c>
      <c r="AH59" s="91">
        <v>2.7614683993133906E-4</v>
      </c>
      <c r="AI59" s="91">
        <v>3.2896121694351291E-4</v>
      </c>
      <c r="AJ59" s="92">
        <v>0</v>
      </c>
      <c r="AK59" s="90">
        <v>1.2871916769623555E-2</v>
      </c>
      <c r="AL59" s="91">
        <v>1.4624685532554998E-2</v>
      </c>
      <c r="AM59" s="91">
        <v>2.241673826084347E-2</v>
      </c>
      <c r="AN59" s="91">
        <v>1.6901082166424251E-2</v>
      </c>
      <c r="AO59" s="91">
        <v>1.4407124543122046E-2</v>
      </c>
      <c r="AP59" s="91">
        <v>1.9634157575965455E-2</v>
      </c>
      <c r="AQ59" s="91">
        <v>1.6332714561149285E-2</v>
      </c>
      <c r="AR59" s="91">
        <v>4.2360328325771072E-2</v>
      </c>
      <c r="AS59" s="91">
        <v>1.7456386373875334E-2</v>
      </c>
      <c r="AT59" s="91">
        <v>1.5234888982819215E-2</v>
      </c>
      <c r="AU59" s="91">
        <v>3.0354049215028336E-2</v>
      </c>
      <c r="AV59" s="91">
        <v>1.6448089267434702E-2</v>
      </c>
      <c r="AW59" s="91">
        <v>1.1679189013753319E-2</v>
      </c>
      <c r="AX59" s="91">
        <v>6.7401264765189267E-3</v>
      </c>
      <c r="AY59" s="91">
        <v>1.0022160100877564E-2</v>
      </c>
      <c r="AZ59" s="91">
        <v>1.7066456769544696E-2</v>
      </c>
      <c r="BA59" s="91">
        <v>2.014332418309395E-2</v>
      </c>
      <c r="BB59" s="91">
        <v>2.3071463154272432E-2</v>
      </c>
      <c r="BC59" s="91">
        <v>1.0887040782732598E-2</v>
      </c>
      <c r="BD59" s="91">
        <v>1.3630534618954297E-2</v>
      </c>
      <c r="BE59" s="91">
        <v>9.9072233941398871E-3</v>
      </c>
      <c r="BF59" s="91">
        <v>9.3000232265940761E-3</v>
      </c>
      <c r="BG59" s="91">
        <v>4.0738404372072878E-2</v>
      </c>
      <c r="BH59" s="91">
        <v>5.4346503088480592E-3</v>
      </c>
      <c r="BI59" s="91">
        <v>8.1328335491493917E-3</v>
      </c>
      <c r="BJ59" s="91">
        <v>3.3071996614309651E-2</v>
      </c>
      <c r="BK59" s="91">
        <v>9.3139065709475985E-3</v>
      </c>
      <c r="BL59" s="91">
        <v>5.8859970353514002E-3</v>
      </c>
      <c r="BM59" s="91">
        <v>1.8840782414990612E-3</v>
      </c>
      <c r="BN59" s="91">
        <v>6.0838980852811397E-3</v>
      </c>
      <c r="BO59" s="91">
        <v>1.0314196689606005E-2</v>
      </c>
      <c r="BP59" s="91">
        <v>8.4399705156953352E-3</v>
      </c>
      <c r="BQ59" s="91">
        <v>6.8164586014802016E-3</v>
      </c>
      <c r="BR59" s="91">
        <v>9.677543348216848E-3</v>
      </c>
      <c r="BS59" s="92">
        <v>7.566812179313399E-4</v>
      </c>
    </row>
    <row r="60" spans="1:71" x14ac:dyDescent="0.35">
      <c r="A60" s="86">
        <v>24</v>
      </c>
      <c r="B60" s="90">
        <v>8.8827468085094714E-5</v>
      </c>
      <c r="C60" s="91">
        <v>1.116020489670623E-3</v>
      </c>
      <c r="D60" s="91">
        <v>8.8704816951600942E-5</v>
      </c>
      <c r="E60" s="91">
        <v>1.3073129814125212E-4</v>
      </c>
      <c r="F60" s="91">
        <v>6.9721318232667112E-5</v>
      </c>
      <c r="G60" s="91">
        <v>2.486579993992913E-4</v>
      </c>
      <c r="H60" s="91">
        <v>1.9085216336351074E-4</v>
      </c>
      <c r="I60" s="91">
        <v>8.1806614575852439E-4</v>
      </c>
      <c r="J60" s="91">
        <v>3.4489552137917205E-4</v>
      </c>
      <c r="K60" s="91">
        <v>9.46219649974963E-5</v>
      </c>
      <c r="L60" s="91">
        <v>1.5976731925790099E-4</v>
      </c>
      <c r="M60" s="91">
        <v>4.6768908897757859E-4</v>
      </c>
      <c r="N60" s="91">
        <v>2.157654259684474E-4</v>
      </c>
      <c r="O60" s="91">
        <v>1.2238212623290887E-4</v>
      </c>
      <c r="P60" s="91">
        <v>3.9625096909449124E-4</v>
      </c>
      <c r="Q60" s="91">
        <v>1.2092611390389279E-4</v>
      </c>
      <c r="R60" s="91">
        <v>2.29489812302872E-4</v>
      </c>
      <c r="S60" s="91">
        <v>3.4742043751196419E-5</v>
      </c>
      <c r="T60" s="91">
        <v>1.86809384246188E-4</v>
      </c>
      <c r="U60" s="91">
        <v>5.9955204888941188E-4</v>
      </c>
      <c r="V60" s="91">
        <v>5.3858516498879228E-5</v>
      </c>
      <c r="W60" s="91">
        <v>2.7658896317094962E-5</v>
      </c>
      <c r="X60" s="91">
        <v>1.5726906726343872E-4</v>
      </c>
      <c r="Y60" s="91">
        <v>8.9423323886528797E-3</v>
      </c>
      <c r="Z60" s="91">
        <v>2.0875445174315313E-4</v>
      </c>
      <c r="AA60" s="91">
        <v>1.574473935388278E-3</v>
      </c>
      <c r="AB60" s="91">
        <v>5.5850811285664532E-5</v>
      </c>
      <c r="AC60" s="91">
        <v>1.8389254353527545E-5</v>
      </c>
      <c r="AD60" s="91">
        <v>2.6149144229681504E-6</v>
      </c>
      <c r="AE60" s="91">
        <v>2.0999299774509788E-5</v>
      </c>
      <c r="AF60" s="91">
        <v>6.2485718974277692E-5</v>
      </c>
      <c r="AG60" s="91">
        <v>2.3267678322385297E-5</v>
      </c>
      <c r="AH60" s="91">
        <v>1.5192525766840007E-5</v>
      </c>
      <c r="AI60" s="91">
        <v>3.0090138827986428E-5</v>
      </c>
      <c r="AJ60" s="92">
        <v>0</v>
      </c>
      <c r="AK60" s="90">
        <v>1.9995147318310406E-3</v>
      </c>
      <c r="AL60" s="91">
        <v>5.1129258056913859E-3</v>
      </c>
      <c r="AM60" s="91">
        <v>4.840118612756775E-3</v>
      </c>
      <c r="AN60" s="91">
        <v>3.7523741988190959E-3</v>
      </c>
      <c r="AO60" s="91">
        <v>3.4346926445055332E-3</v>
      </c>
      <c r="AP60" s="91">
        <v>6.5621075007121291E-3</v>
      </c>
      <c r="AQ60" s="91">
        <v>3.3939613593583721E-3</v>
      </c>
      <c r="AR60" s="91">
        <v>2.840737923673349E-3</v>
      </c>
      <c r="AS60" s="91">
        <v>3.0056936514788629E-3</v>
      </c>
      <c r="AT60" s="91">
        <v>3.4442459534567526E-3</v>
      </c>
      <c r="AU60" s="91">
        <v>8.6873011980542012E-3</v>
      </c>
      <c r="AV60" s="91">
        <v>5.8624768831509544E-3</v>
      </c>
      <c r="AW60" s="91">
        <v>3.3058975669989577E-3</v>
      </c>
      <c r="AX60" s="91">
        <v>1.6203430720953859E-3</v>
      </c>
      <c r="AY60" s="91">
        <v>2.2144057559580058E-3</v>
      </c>
      <c r="AZ60" s="91">
        <v>2.6025235358690473E-3</v>
      </c>
      <c r="BA60" s="91">
        <v>2.6239170139467937E-3</v>
      </c>
      <c r="BB60" s="91">
        <v>2.8663715609365272E-3</v>
      </c>
      <c r="BC60" s="91">
        <v>1.2156550210214786E-3</v>
      </c>
      <c r="BD60" s="91">
        <v>5.7054060734733954E-3</v>
      </c>
      <c r="BE60" s="91">
        <v>2.530994151951647E-3</v>
      </c>
      <c r="BF60" s="91">
        <v>1.4476208691652425E-3</v>
      </c>
      <c r="BG60" s="91">
        <v>2.533519800014023E-3</v>
      </c>
      <c r="BH60" s="91">
        <v>0.18145969208549237</v>
      </c>
      <c r="BI60" s="91">
        <v>2.364202222897252E-3</v>
      </c>
      <c r="BJ60" s="91">
        <v>1.773809815889648E-3</v>
      </c>
      <c r="BK60" s="91">
        <v>6.884469101086473E-4</v>
      </c>
      <c r="BL60" s="91">
        <v>3.6882399161201315E-4</v>
      </c>
      <c r="BM60" s="91">
        <v>1.3682717278878927E-3</v>
      </c>
      <c r="BN60" s="91">
        <v>1.157027353686694E-3</v>
      </c>
      <c r="BO60" s="91">
        <v>8.9352017620925549E-4</v>
      </c>
      <c r="BP60" s="91">
        <v>7.5306694959123793E-4</v>
      </c>
      <c r="BQ60" s="91">
        <v>5.093605821678565E-4</v>
      </c>
      <c r="BR60" s="91">
        <v>9.9685399851488906E-4</v>
      </c>
      <c r="BS60" s="92">
        <v>1.1247560452950516E-5</v>
      </c>
    </row>
    <row r="61" spans="1:71" x14ac:dyDescent="0.35">
      <c r="A61" s="86">
        <v>25</v>
      </c>
      <c r="B61" s="90">
        <v>3.9378302985930021E-5</v>
      </c>
      <c r="C61" s="91">
        <v>5.4163353223408907E-4</v>
      </c>
      <c r="D61" s="91">
        <v>1.6180487915840481E-4</v>
      </c>
      <c r="E61" s="91">
        <v>2.8372942707766108E-4</v>
      </c>
      <c r="F61" s="91">
        <v>8.4286359078871581E-4</v>
      </c>
      <c r="G61" s="91">
        <v>1.3621403754800163E-4</v>
      </c>
      <c r="H61" s="91">
        <v>2.5350288290859906E-4</v>
      </c>
      <c r="I61" s="91">
        <v>3.6655871952478411E-4</v>
      </c>
      <c r="J61" s="91">
        <v>3.1610136690542521E-4</v>
      </c>
      <c r="K61" s="91">
        <v>2.5279191075982372E-4</v>
      </c>
      <c r="L61" s="91">
        <v>2.4886919277880939E-4</v>
      </c>
      <c r="M61" s="91">
        <v>1.7735469570797339E-4</v>
      </c>
      <c r="N61" s="91">
        <v>2.7590979345736791E-4</v>
      </c>
      <c r="O61" s="91">
        <v>3.0941246480752234E-4</v>
      </c>
      <c r="P61" s="91">
        <v>2.1424519485333394E-4</v>
      </c>
      <c r="Q61" s="91">
        <v>2.1183098340210474E-4</v>
      </c>
      <c r="R61" s="91">
        <v>8.5503658412311296E-5</v>
      </c>
      <c r="S61" s="91">
        <v>1.4630726983226534E-4</v>
      </c>
      <c r="T61" s="91">
        <v>3.8881243888194716E-4</v>
      </c>
      <c r="U61" s="91">
        <v>5.4453117338456973E-4</v>
      </c>
      <c r="V61" s="91">
        <v>2.9194153986571934E-4</v>
      </c>
      <c r="W61" s="91">
        <v>1.6833123287728833E-4</v>
      </c>
      <c r="X61" s="91">
        <v>1.8639214407330888E-4</v>
      </c>
      <c r="Y61" s="91">
        <v>4.3488306095764654E-4</v>
      </c>
      <c r="Z61" s="91">
        <v>6.2860180509447441E-3</v>
      </c>
      <c r="AA61" s="91">
        <v>4.4000384263306212E-3</v>
      </c>
      <c r="AB61" s="91">
        <v>5.3532976314735106E-4</v>
      </c>
      <c r="AC61" s="91">
        <v>5.9903797089093857E-4</v>
      </c>
      <c r="AD61" s="91">
        <v>6.1544134021666465E-5</v>
      </c>
      <c r="AE61" s="91">
        <v>6.0502640950727069E-4</v>
      </c>
      <c r="AF61" s="91">
        <v>4.7006794035681635E-4</v>
      </c>
      <c r="AG61" s="91">
        <v>1.1109608897294325E-4</v>
      </c>
      <c r="AH61" s="91">
        <v>1.3465559391774345E-4</v>
      </c>
      <c r="AI61" s="91">
        <v>4.8508840864172864E-4</v>
      </c>
      <c r="AJ61" s="92">
        <v>0</v>
      </c>
      <c r="AK61" s="90">
        <v>7.563819412113133E-4</v>
      </c>
      <c r="AL61" s="91">
        <v>1.0591951587027798E-3</v>
      </c>
      <c r="AM61" s="91">
        <v>1.2621969565067615E-3</v>
      </c>
      <c r="AN61" s="91">
        <v>1.1448476927250887E-3</v>
      </c>
      <c r="AO61" s="91">
        <v>1.3934661761514963E-3</v>
      </c>
      <c r="AP61" s="91">
        <v>1.4261998136135736E-3</v>
      </c>
      <c r="AQ61" s="91">
        <v>1.6865562243236142E-3</v>
      </c>
      <c r="AR61" s="91">
        <v>4.3064446706446696E-4</v>
      </c>
      <c r="AS61" s="91">
        <v>1.1594872185518726E-3</v>
      </c>
      <c r="AT61" s="91">
        <v>1.1682867468384641E-3</v>
      </c>
      <c r="AU61" s="91">
        <v>1.1835576242223284E-3</v>
      </c>
      <c r="AV61" s="91">
        <v>7.7467213836606699E-4</v>
      </c>
      <c r="AW61" s="91">
        <v>1.3566118118236452E-3</v>
      </c>
      <c r="AX61" s="91">
        <v>1.0487317889092001E-3</v>
      </c>
      <c r="AY61" s="91">
        <v>8.7123927124341694E-4</v>
      </c>
      <c r="AZ61" s="91">
        <v>1.0659336603510915E-3</v>
      </c>
      <c r="BA61" s="91">
        <v>6.9573357422782352E-4</v>
      </c>
      <c r="BB61" s="91">
        <v>1.0215944407266731E-3</v>
      </c>
      <c r="BC61" s="91">
        <v>1.8081955972359155E-3</v>
      </c>
      <c r="BD61" s="91">
        <v>2.4702373715261104E-3</v>
      </c>
      <c r="BE61" s="91">
        <v>1.3360623866604446E-3</v>
      </c>
      <c r="BF61" s="91">
        <v>1.3630258876823952E-3</v>
      </c>
      <c r="BG61" s="91">
        <v>2.3262121775836433E-3</v>
      </c>
      <c r="BH61" s="91">
        <v>3.8237645287763941E-3</v>
      </c>
      <c r="BI61" s="91">
        <v>2.7901932062786568E-2</v>
      </c>
      <c r="BJ61" s="91">
        <v>3.3642215309459171E-3</v>
      </c>
      <c r="BK61" s="91">
        <v>3.2428417220586722E-3</v>
      </c>
      <c r="BL61" s="91">
        <v>2.3753944434451923E-3</v>
      </c>
      <c r="BM61" s="91">
        <v>3.4922248157587173E-4</v>
      </c>
      <c r="BN61" s="91">
        <v>3.3669340329088807E-3</v>
      </c>
      <c r="BO61" s="91">
        <v>3.0954385036777929E-3</v>
      </c>
      <c r="BP61" s="91">
        <v>4.3167490539399696E-3</v>
      </c>
      <c r="BQ61" s="91">
        <v>1.1758808690737024E-3</v>
      </c>
      <c r="BR61" s="91">
        <v>4.1983107185000011E-3</v>
      </c>
      <c r="BS61" s="92">
        <v>1.7675798111443626E-5</v>
      </c>
    </row>
    <row r="62" spans="1:71" x14ac:dyDescent="0.35">
      <c r="A62" s="86">
        <v>26</v>
      </c>
      <c r="B62" s="90">
        <v>1.6279336877685787E-4</v>
      </c>
      <c r="C62" s="91">
        <v>4.0316902829221486E-4</v>
      </c>
      <c r="D62" s="91">
        <v>4.6226824152272857E-4</v>
      </c>
      <c r="E62" s="91">
        <v>2.3976240607274355E-4</v>
      </c>
      <c r="F62" s="91">
        <v>2.6071525058795616E-4</v>
      </c>
      <c r="G62" s="91">
        <v>3.2130902464653897E-4</v>
      </c>
      <c r="H62" s="91">
        <v>3.5188481801537083E-4</v>
      </c>
      <c r="I62" s="91">
        <v>9.9194487023173935E-4</v>
      </c>
      <c r="J62" s="91">
        <v>4.5588790878975036E-4</v>
      </c>
      <c r="K62" s="91">
        <v>3.0314488514838003E-4</v>
      </c>
      <c r="L62" s="91">
        <v>4.3893960850188907E-4</v>
      </c>
      <c r="M62" s="91">
        <v>2.4736983302602213E-4</v>
      </c>
      <c r="N62" s="91">
        <v>2.9610291562444689E-4</v>
      </c>
      <c r="O62" s="91">
        <v>3.5811370851871117E-4</v>
      </c>
      <c r="P62" s="91">
        <v>2.8799684513490634E-4</v>
      </c>
      <c r="Q62" s="91">
        <v>2.2851594680036946E-4</v>
      </c>
      <c r="R62" s="91">
        <v>1.7630330998263708E-4</v>
      </c>
      <c r="S62" s="91">
        <v>1.3690359776542742E-4</v>
      </c>
      <c r="T62" s="91">
        <v>6.4972621239694334E-4</v>
      </c>
      <c r="U62" s="91">
        <v>2.0478581699738996E-3</v>
      </c>
      <c r="V62" s="91">
        <v>5.0130537448333666E-4</v>
      </c>
      <c r="W62" s="91">
        <v>2.1328026649708004E-4</v>
      </c>
      <c r="X62" s="91">
        <v>3.2599764606146067E-3</v>
      </c>
      <c r="Y62" s="91">
        <v>4.9459699509175475E-2</v>
      </c>
      <c r="Z62" s="91">
        <v>1.4513132094315123E-2</v>
      </c>
      <c r="AA62" s="91">
        <v>6.0810664049112569E-3</v>
      </c>
      <c r="AB62" s="91">
        <v>2.8882685208647267E-4</v>
      </c>
      <c r="AC62" s="91">
        <v>8.114067713402306E-5</v>
      </c>
      <c r="AD62" s="91">
        <v>3.8895223840659271E-5</v>
      </c>
      <c r="AE62" s="91">
        <v>2.6454779705327973E-4</v>
      </c>
      <c r="AF62" s="91">
        <v>1.6946734796241642E-4</v>
      </c>
      <c r="AG62" s="91">
        <v>9.027256290858386E-5</v>
      </c>
      <c r="AH62" s="91">
        <v>5.8623090246998985E-5</v>
      </c>
      <c r="AI62" s="91">
        <v>2.1105189910724004E-4</v>
      </c>
      <c r="AJ62" s="92">
        <v>0</v>
      </c>
      <c r="AK62" s="90">
        <v>3.9319095712524055E-3</v>
      </c>
      <c r="AL62" s="91">
        <v>3.8644086589645008E-3</v>
      </c>
      <c r="AM62" s="91">
        <v>4.9632123880269082E-3</v>
      </c>
      <c r="AN62" s="91">
        <v>2.8739298383134962E-3</v>
      </c>
      <c r="AO62" s="91">
        <v>2.5847043640280136E-3</v>
      </c>
      <c r="AP62" s="91">
        <v>5.0726031958714564E-3</v>
      </c>
      <c r="AQ62" s="91">
        <v>7.4236834002359125E-3</v>
      </c>
      <c r="AR62" s="91">
        <v>4.8621144800453696E-3</v>
      </c>
      <c r="AS62" s="91">
        <v>3.1981544306112952E-3</v>
      </c>
      <c r="AT62" s="91">
        <v>4.0233935274435742E-3</v>
      </c>
      <c r="AU62" s="91">
        <v>5.5804381756775793E-3</v>
      </c>
      <c r="AV62" s="91">
        <v>3.7485337172604625E-3</v>
      </c>
      <c r="AW62" s="91">
        <v>2.1834794551476465E-3</v>
      </c>
      <c r="AX62" s="91">
        <v>1.9076421314068225E-3</v>
      </c>
      <c r="AY62" s="91">
        <v>2.326420825239007E-3</v>
      </c>
      <c r="AZ62" s="91">
        <v>2.6450708784163438E-3</v>
      </c>
      <c r="BA62" s="91">
        <v>3.3033215824920361E-3</v>
      </c>
      <c r="BB62" s="91">
        <v>1.6390131746196534E-2</v>
      </c>
      <c r="BC62" s="91">
        <v>1.0653086196654168E-2</v>
      </c>
      <c r="BD62" s="91">
        <v>8.8887020519384814E-3</v>
      </c>
      <c r="BE62" s="91">
        <v>1.2466790539398098E-2</v>
      </c>
      <c r="BF62" s="91">
        <v>7.9161085227595993E-3</v>
      </c>
      <c r="BG62" s="91">
        <v>1.9042147210360492E-2</v>
      </c>
      <c r="BH62" s="91">
        <v>4.5467685954993078E-2</v>
      </c>
      <c r="BI62" s="91">
        <v>6.9719870466824457E-2</v>
      </c>
      <c r="BJ62" s="91">
        <v>3.7278720754458629E-2</v>
      </c>
      <c r="BK62" s="91">
        <v>2.7968197754683747E-3</v>
      </c>
      <c r="BL62" s="91">
        <v>3.5348244646496675E-3</v>
      </c>
      <c r="BM62" s="91">
        <v>9.5942377719585991E-4</v>
      </c>
      <c r="BN62" s="91">
        <v>4.9813145422220829E-3</v>
      </c>
      <c r="BO62" s="91">
        <v>5.4702196426799172E-3</v>
      </c>
      <c r="BP62" s="91">
        <v>3.1784662412454446E-3</v>
      </c>
      <c r="BQ62" s="91">
        <v>4.5375593949554434E-3</v>
      </c>
      <c r="BR62" s="91">
        <v>6.6107058088335268E-3</v>
      </c>
      <c r="BS62" s="92">
        <v>2.0485924937228165E-5</v>
      </c>
    </row>
    <row r="63" spans="1:71" x14ac:dyDescent="0.35">
      <c r="A63" s="86">
        <v>27</v>
      </c>
      <c r="B63" s="90">
        <v>1.9274833767697646E-4</v>
      </c>
      <c r="C63" s="91">
        <v>4.7780041985154932E-4</v>
      </c>
      <c r="D63" s="91">
        <v>4.4454053646784963E-4</v>
      </c>
      <c r="E63" s="91">
        <v>3.845359642252484E-4</v>
      </c>
      <c r="F63" s="91">
        <v>3.2710267618361476E-4</v>
      </c>
      <c r="G63" s="91">
        <v>3.1177512792288623E-4</v>
      </c>
      <c r="H63" s="91">
        <v>1.1015648365793268E-3</v>
      </c>
      <c r="I63" s="91">
        <v>3.7322441516204105E-4</v>
      </c>
      <c r="J63" s="91">
        <v>9.272654792726084E-4</v>
      </c>
      <c r="K63" s="91">
        <v>3.8299792475278741E-4</v>
      </c>
      <c r="L63" s="91">
        <v>4.3443772194470072E-4</v>
      </c>
      <c r="M63" s="91">
        <v>3.2887175088403865E-4</v>
      </c>
      <c r="N63" s="91">
        <v>4.938894816596429E-4</v>
      </c>
      <c r="O63" s="91">
        <v>7.0505959131312126E-4</v>
      </c>
      <c r="P63" s="91">
        <v>3.2778788116554571E-4</v>
      </c>
      <c r="Q63" s="91">
        <v>3.8981575237267507E-4</v>
      </c>
      <c r="R63" s="91">
        <v>4.0095229174154877E-4</v>
      </c>
      <c r="S63" s="91">
        <v>3.8057340022120328E-4</v>
      </c>
      <c r="T63" s="91">
        <v>1.053361776863549E-3</v>
      </c>
      <c r="U63" s="91">
        <v>1.4948564208203609E-3</v>
      </c>
      <c r="V63" s="91">
        <v>1.4855829805736872E-3</v>
      </c>
      <c r="W63" s="91">
        <v>6.7751868472184162E-4</v>
      </c>
      <c r="X63" s="91">
        <v>1.2517773591528673E-3</v>
      </c>
      <c r="Y63" s="91">
        <v>1.1987568610755764E-2</v>
      </c>
      <c r="Z63" s="91">
        <v>2.9780541797434132E-3</v>
      </c>
      <c r="AA63" s="91">
        <v>1.9424771426404092E-3</v>
      </c>
      <c r="AB63" s="91">
        <v>5.9749318595397104E-3</v>
      </c>
      <c r="AC63" s="91">
        <v>1.7014640165549067E-3</v>
      </c>
      <c r="AD63" s="91">
        <v>2.9315859859736017E-4</v>
      </c>
      <c r="AE63" s="91">
        <v>1.3560378649392889E-3</v>
      </c>
      <c r="AF63" s="91">
        <v>1.3669286520874126E-3</v>
      </c>
      <c r="AG63" s="91">
        <v>4.0586457830844717E-4</v>
      </c>
      <c r="AH63" s="91">
        <v>6.218585841265905E-4</v>
      </c>
      <c r="AI63" s="91">
        <v>1.4431421496399807E-3</v>
      </c>
      <c r="AJ63" s="92">
        <v>0</v>
      </c>
      <c r="AK63" s="90">
        <v>4.8277318862885964E-3</v>
      </c>
      <c r="AL63" s="91">
        <v>3.9296001320749041E-3</v>
      </c>
      <c r="AM63" s="91">
        <v>5.6587714984188096E-3</v>
      </c>
      <c r="AN63" s="91">
        <v>6.6112174440914615E-3</v>
      </c>
      <c r="AO63" s="91">
        <v>5.9700222108512039E-3</v>
      </c>
      <c r="AP63" s="91">
        <v>6.9103101133165291E-3</v>
      </c>
      <c r="AQ63" s="91">
        <v>1.0678011326874653E-2</v>
      </c>
      <c r="AR63" s="91">
        <v>4.6640638759176262E-3</v>
      </c>
      <c r="AS63" s="91">
        <v>7.4955739904182077E-3</v>
      </c>
      <c r="AT63" s="91">
        <v>5.2477614722066255E-3</v>
      </c>
      <c r="AU63" s="91">
        <v>6.5691695558474745E-3</v>
      </c>
      <c r="AV63" s="91">
        <v>8.2432714737740078E-3</v>
      </c>
      <c r="AW63" s="91">
        <v>5.2115391491680176E-3</v>
      </c>
      <c r="AX63" s="91">
        <v>7.6321755815400572E-3</v>
      </c>
      <c r="AY63" s="91">
        <v>4.782739137848816E-3</v>
      </c>
      <c r="AZ63" s="91">
        <v>2.0205028688247331E-2</v>
      </c>
      <c r="BA63" s="91">
        <v>6.7519638521356439E-3</v>
      </c>
      <c r="BB63" s="91">
        <v>1.4308121188280492E-2</v>
      </c>
      <c r="BC63" s="91">
        <v>1.5091415278015677E-2</v>
      </c>
      <c r="BD63" s="91">
        <v>1.6062153648177101E-2</v>
      </c>
      <c r="BE63" s="91">
        <v>1.9685379180298071E-2</v>
      </c>
      <c r="BF63" s="91">
        <v>1.6328457023565154E-2</v>
      </c>
      <c r="BG63" s="91">
        <v>2.3549325672324654E-2</v>
      </c>
      <c r="BH63" s="91">
        <v>2.0756677687892341E-2</v>
      </c>
      <c r="BI63" s="91">
        <v>2.7804116178642303E-2</v>
      </c>
      <c r="BJ63" s="91">
        <v>2.7189705078146074E-2</v>
      </c>
      <c r="BK63" s="91">
        <v>0.10605867791268152</v>
      </c>
      <c r="BL63" s="91">
        <v>2.5844716325489715E-2</v>
      </c>
      <c r="BM63" s="91">
        <v>4.0486057403761435E-3</v>
      </c>
      <c r="BN63" s="91">
        <v>2.5219006839653751E-2</v>
      </c>
      <c r="BO63" s="91">
        <v>2.2233847564585067E-2</v>
      </c>
      <c r="BP63" s="91">
        <v>1.4786252646716272E-2</v>
      </c>
      <c r="BQ63" s="91">
        <v>1.5422222869988622E-2</v>
      </c>
      <c r="BR63" s="91">
        <v>2.1063106292652282E-2</v>
      </c>
      <c r="BS63" s="92">
        <v>2.0175518168785264E-3</v>
      </c>
    </row>
    <row r="64" spans="1:71" x14ac:dyDescent="0.35">
      <c r="A64" s="86">
        <v>28</v>
      </c>
      <c r="B64" s="90">
        <v>6.9151475332185732E-4</v>
      </c>
      <c r="C64" s="91">
        <v>2.5350230920002993E-3</v>
      </c>
      <c r="D64" s="91">
        <v>7.0837142913648824E-4</v>
      </c>
      <c r="E64" s="91">
        <v>7.3566883239226642E-4</v>
      </c>
      <c r="F64" s="91">
        <v>6.4281231530533966E-4</v>
      </c>
      <c r="G64" s="91">
        <v>6.9883028880643244E-4</v>
      </c>
      <c r="H64" s="91">
        <v>7.8342613520376392E-4</v>
      </c>
      <c r="I64" s="91">
        <v>6.1766003904637726E-4</v>
      </c>
      <c r="J64" s="91">
        <v>6.1867954665191017E-4</v>
      </c>
      <c r="K64" s="91">
        <v>5.6667316687377886E-4</v>
      </c>
      <c r="L64" s="91">
        <v>7.7493982473026757E-4</v>
      </c>
      <c r="M64" s="91">
        <v>5.8488139524113408E-4</v>
      </c>
      <c r="N64" s="91">
        <v>5.3008673834229456E-4</v>
      </c>
      <c r="O64" s="91">
        <v>4.2366965687600725E-4</v>
      </c>
      <c r="P64" s="91">
        <v>4.2239708489749065E-4</v>
      </c>
      <c r="Q64" s="91">
        <v>7.5004829909858001E-4</v>
      </c>
      <c r="R64" s="91">
        <v>7.2163400160474636E-4</v>
      </c>
      <c r="S64" s="91">
        <v>8.8638952379022995E-4</v>
      </c>
      <c r="T64" s="91">
        <v>1.2288050522444324E-3</v>
      </c>
      <c r="U64" s="91">
        <v>1.1877749958440248E-3</v>
      </c>
      <c r="V64" s="91">
        <v>1.2946096211222285E-3</v>
      </c>
      <c r="W64" s="91">
        <v>8.9726349854156277E-4</v>
      </c>
      <c r="X64" s="91">
        <v>1.4377122868595728E-3</v>
      </c>
      <c r="Y64" s="91">
        <v>9.6294926043137433E-4</v>
      </c>
      <c r="Z64" s="91">
        <v>2.3484107059622795E-3</v>
      </c>
      <c r="AA64" s="91">
        <v>9.9730408747991119E-4</v>
      </c>
      <c r="AB64" s="91">
        <v>7.7888419050804194E-4</v>
      </c>
      <c r="AC64" s="91">
        <v>1.0140214229450892E-2</v>
      </c>
      <c r="AD64" s="91">
        <v>3.4300212174942567E-3</v>
      </c>
      <c r="AE64" s="91">
        <v>1.1019614493075142E-3</v>
      </c>
      <c r="AF64" s="91">
        <v>1.1020368869938536E-3</v>
      </c>
      <c r="AG64" s="91">
        <v>3.1127483610195802E-4</v>
      </c>
      <c r="AH64" s="91">
        <v>4.3688846868022529E-4</v>
      </c>
      <c r="AI64" s="91">
        <v>1.0408626147242006E-3</v>
      </c>
      <c r="AJ64" s="92">
        <v>0</v>
      </c>
      <c r="AK64" s="90">
        <v>1.8076837707513223E-2</v>
      </c>
      <c r="AL64" s="91">
        <v>1.8728442065624327E-2</v>
      </c>
      <c r="AM64" s="91">
        <v>1.6444510443487728E-2</v>
      </c>
      <c r="AN64" s="91">
        <v>2.1138510117703537E-2</v>
      </c>
      <c r="AO64" s="91">
        <v>1.5991239880407352E-2</v>
      </c>
      <c r="AP64" s="91">
        <v>1.601233638121112E-2</v>
      </c>
      <c r="AQ64" s="91">
        <v>2.4054361658743893E-2</v>
      </c>
      <c r="AR64" s="91">
        <v>1.3108458242927104E-2</v>
      </c>
      <c r="AS64" s="91">
        <v>1.886621731669488E-2</v>
      </c>
      <c r="AT64" s="91">
        <v>1.5911934823872913E-2</v>
      </c>
      <c r="AU64" s="91">
        <v>2.5805674174094188E-2</v>
      </c>
      <c r="AV64" s="91">
        <v>1.7976028830256719E-2</v>
      </c>
      <c r="AW64" s="91">
        <v>1.488717859428362E-2</v>
      </c>
      <c r="AX64" s="91">
        <v>1.272718085569957E-2</v>
      </c>
      <c r="AY64" s="91">
        <v>1.48010578440167E-2</v>
      </c>
      <c r="AZ64" s="91">
        <v>3.4032266375542047E-2</v>
      </c>
      <c r="BA64" s="91">
        <v>2.5920526994458584E-2</v>
      </c>
      <c r="BB64" s="91">
        <v>2.0797907072543146E-2</v>
      </c>
      <c r="BC64" s="91">
        <v>1.6977398119783028E-2</v>
      </c>
      <c r="BD64" s="91">
        <v>2.7485724208816849E-2</v>
      </c>
      <c r="BE64" s="91">
        <v>3.3558736075609226E-2</v>
      </c>
      <c r="BF64" s="91">
        <v>2.9602989447916558E-2</v>
      </c>
      <c r="BG64" s="91">
        <v>5.3638262105814682E-2</v>
      </c>
      <c r="BH64" s="91">
        <v>2.4634321132547411E-2</v>
      </c>
      <c r="BI64" s="91">
        <v>3.6156393841314229E-2</v>
      </c>
      <c r="BJ64" s="91">
        <v>4.282785297046706E-2</v>
      </c>
      <c r="BK64" s="91">
        <v>1.8501503785009105E-2</v>
      </c>
      <c r="BL64" s="91">
        <v>0.1985918996585592</v>
      </c>
      <c r="BM64" s="91">
        <v>8.9296701062318268E-2</v>
      </c>
      <c r="BN64" s="91">
        <v>4.5231006087210694E-2</v>
      </c>
      <c r="BO64" s="91">
        <v>2.3536387840571216E-2</v>
      </c>
      <c r="BP64" s="91">
        <v>2.1081477070938284E-2</v>
      </c>
      <c r="BQ64" s="91">
        <v>3.1414429040109146E-2</v>
      </c>
      <c r="BR64" s="91">
        <v>5.1203173295217869E-2</v>
      </c>
      <c r="BS64" s="92">
        <v>2.7816154046488045E-2</v>
      </c>
    </row>
    <row r="65" spans="1:144" x14ac:dyDescent="0.35">
      <c r="A65" s="86">
        <v>29</v>
      </c>
      <c r="B65" s="90">
        <v>8.4260370401472416E-5</v>
      </c>
      <c r="C65" s="91">
        <v>2.9346354766776909E-4</v>
      </c>
      <c r="D65" s="91">
        <v>1.6844360341483047E-4</v>
      </c>
      <c r="E65" s="91">
        <v>1.8806691838559804E-4</v>
      </c>
      <c r="F65" s="91">
        <v>1.4701080753020163E-4</v>
      </c>
      <c r="G65" s="91">
        <v>1.788428128092124E-4</v>
      </c>
      <c r="H65" s="91">
        <v>2.6152680510709003E-4</v>
      </c>
      <c r="I65" s="91">
        <v>1.1194943221052417E-4</v>
      </c>
      <c r="J65" s="91">
        <v>1.5484565795573926E-4</v>
      </c>
      <c r="K65" s="91">
        <v>1.7163082151723405E-4</v>
      </c>
      <c r="L65" s="91">
        <v>1.7197223088417772E-4</v>
      </c>
      <c r="M65" s="91">
        <v>1.8597421717170566E-4</v>
      </c>
      <c r="N65" s="91">
        <v>2.3832504679919023E-4</v>
      </c>
      <c r="O65" s="91">
        <v>1.8901977363908564E-4</v>
      </c>
      <c r="P65" s="91">
        <v>2.8265260805852935E-4</v>
      </c>
      <c r="Q65" s="91">
        <v>2.4666052782556093E-4</v>
      </c>
      <c r="R65" s="91">
        <v>1.7921927700155027E-4</v>
      </c>
      <c r="S65" s="91">
        <v>4.947864036052434E-4</v>
      </c>
      <c r="T65" s="91">
        <v>6.112277968491574E-4</v>
      </c>
      <c r="U65" s="91">
        <v>5.0359685717764433E-4</v>
      </c>
      <c r="V65" s="91">
        <v>1.2121553829068992E-3</v>
      </c>
      <c r="W65" s="91">
        <v>6.0817876554827052E-4</v>
      </c>
      <c r="X65" s="91">
        <v>2.0186554303066226E-4</v>
      </c>
      <c r="Y65" s="91">
        <v>9.1493802071099099E-5</v>
      </c>
      <c r="Z65" s="91">
        <v>1.5737218668626467E-4</v>
      </c>
      <c r="AA65" s="91">
        <v>2.975660361901819E-4</v>
      </c>
      <c r="AB65" s="91">
        <v>2.7491825851210487E-4</v>
      </c>
      <c r="AC65" s="91">
        <v>9.8458397188679611E-4</v>
      </c>
      <c r="AD65" s="91">
        <v>6.2802478669303323E-4</v>
      </c>
      <c r="AE65" s="91">
        <v>3.3552901351791177E-4</v>
      </c>
      <c r="AF65" s="91">
        <v>3.5286980850398198E-4</v>
      </c>
      <c r="AG65" s="91">
        <v>2.2872058536845241E-4</v>
      </c>
      <c r="AH65" s="91">
        <v>2.5320590676153554E-4</v>
      </c>
      <c r="AI65" s="91">
        <v>3.0773061093928379E-4</v>
      </c>
      <c r="AJ65" s="92">
        <v>0</v>
      </c>
      <c r="AK65" s="90">
        <v>2.6878141672867554E-3</v>
      </c>
      <c r="AL65" s="91">
        <v>5.0983490699251397E-3</v>
      </c>
      <c r="AM65" s="91">
        <v>3.2922417293597137E-3</v>
      </c>
      <c r="AN65" s="91">
        <v>3.5389024870849778E-3</v>
      </c>
      <c r="AO65" s="91">
        <v>5.0796266034814084E-3</v>
      </c>
      <c r="AP65" s="91">
        <v>4.4034881511591612E-3</v>
      </c>
      <c r="AQ65" s="91">
        <v>7.5775972113540013E-3</v>
      </c>
      <c r="AR65" s="91">
        <v>1.1019273856024694E-3</v>
      </c>
      <c r="AS65" s="91">
        <v>2.356761418370908E-3</v>
      </c>
      <c r="AT65" s="91">
        <v>4.1506371891385039E-3</v>
      </c>
      <c r="AU65" s="91">
        <v>3.1647688230366858E-3</v>
      </c>
      <c r="AV65" s="91">
        <v>2.8803001709868654E-3</v>
      </c>
      <c r="AW65" s="91">
        <v>2.5171818621993205E-3</v>
      </c>
      <c r="AX65" s="91">
        <v>2.2593078445862012E-3</v>
      </c>
      <c r="AY65" s="91">
        <v>2.2364380749705891E-3</v>
      </c>
      <c r="AZ65" s="91">
        <v>4.1632197404532561E-3</v>
      </c>
      <c r="BA65" s="91">
        <v>3.3432967348384092E-3</v>
      </c>
      <c r="BB65" s="91">
        <v>6.1729118369755406E-3</v>
      </c>
      <c r="BC65" s="91">
        <v>1.4664927154855137E-2</v>
      </c>
      <c r="BD65" s="91">
        <v>1.4207729709736813E-2</v>
      </c>
      <c r="BE65" s="91">
        <v>3.0783118092357096E-2</v>
      </c>
      <c r="BF65" s="91">
        <v>2.515725075874755E-2</v>
      </c>
      <c r="BG65" s="91">
        <v>7.9938550608495869E-3</v>
      </c>
      <c r="BH65" s="91">
        <v>1.4844390599508787E-2</v>
      </c>
      <c r="BI65" s="91">
        <v>9.3618811256155985E-3</v>
      </c>
      <c r="BJ65" s="91">
        <v>2.4384984479095536E-2</v>
      </c>
      <c r="BK65" s="91">
        <v>1.1921368392013486E-2</v>
      </c>
      <c r="BL65" s="91">
        <v>2.1251022299261828E-2</v>
      </c>
      <c r="BM65" s="91">
        <v>3.4541422119432327E-2</v>
      </c>
      <c r="BN65" s="91">
        <v>2.2520206749756612E-2</v>
      </c>
      <c r="BO65" s="91">
        <v>1.2914166553668869E-2</v>
      </c>
      <c r="BP65" s="91">
        <v>2.1980136242846112E-2</v>
      </c>
      <c r="BQ65" s="91">
        <v>4.2882802132021572E-2</v>
      </c>
      <c r="BR65" s="91">
        <v>2.8002182303176321E-2</v>
      </c>
      <c r="BS65" s="92">
        <v>2.7350163425119068E-6</v>
      </c>
    </row>
    <row r="66" spans="1:144" x14ac:dyDescent="0.35">
      <c r="A66" s="86">
        <v>30</v>
      </c>
      <c r="B66" s="90">
        <v>1.0881082562966408E-3</v>
      </c>
      <c r="C66" s="91">
        <v>3.8752413316590537E-3</v>
      </c>
      <c r="D66" s="91">
        <v>4.0091760375289111E-3</v>
      </c>
      <c r="E66" s="91">
        <v>2.5179588236474361E-3</v>
      </c>
      <c r="F66" s="91">
        <v>2.4088347600129661E-3</v>
      </c>
      <c r="G66" s="91">
        <v>1.9019664013210356E-3</v>
      </c>
      <c r="H66" s="91">
        <v>7.6785213646267921E-3</v>
      </c>
      <c r="I66" s="91">
        <v>2.4159047909189067E-3</v>
      </c>
      <c r="J66" s="91">
        <v>1.1010661829947241E-2</v>
      </c>
      <c r="K66" s="91">
        <v>2.8909748416739238E-3</v>
      </c>
      <c r="L66" s="91">
        <v>2.9427220896387804E-3</v>
      </c>
      <c r="M66" s="91">
        <v>2.3943551208494671E-3</v>
      </c>
      <c r="N66" s="91">
        <v>3.5520268205797168E-3</v>
      </c>
      <c r="O66" s="91">
        <v>6.8867080674365373E-3</v>
      </c>
      <c r="P66" s="91">
        <v>2.7966650336898823E-3</v>
      </c>
      <c r="Q66" s="91">
        <v>2.6274437129381505E-3</v>
      </c>
      <c r="R66" s="91">
        <v>2.7540379410368535E-3</v>
      </c>
      <c r="S66" s="91">
        <v>3.5592615395933819E-3</v>
      </c>
      <c r="T66" s="91">
        <v>4.8520650393192423E-3</v>
      </c>
      <c r="U66" s="91">
        <v>6.151672092539015E-3</v>
      </c>
      <c r="V66" s="91">
        <v>5.0386291405263919E-3</v>
      </c>
      <c r="W66" s="91">
        <v>2.7485268197465318E-3</v>
      </c>
      <c r="X66" s="91">
        <v>3.635063489684196E-3</v>
      </c>
      <c r="Y66" s="91">
        <v>3.7200043274045955E-3</v>
      </c>
      <c r="Z66" s="91">
        <v>6.6450091366326092E-3</v>
      </c>
      <c r="AA66" s="91">
        <v>4.5950842191996664E-3</v>
      </c>
      <c r="AB66" s="91">
        <v>4.3786409064764551E-3</v>
      </c>
      <c r="AC66" s="91">
        <v>5.725968622628831E-3</v>
      </c>
      <c r="AD66" s="91">
        <v>2.0350327818709859E-3</v>
      </c>
      <c r="AE66" s="91">
        <v>1.0855538039160888E-2</v>
      </c>
      <c r="AF66" s="91">
        <v>4.8036975598572014E-3</v>
      </c>
      <c r="AG66" s="91">
        <v>2.3246364604087035E-3</v>
      </c>
      <c r="AH66" s="91">
        <v>2.8142336409917928E-3</v>
      </c>
      <c r="AI66" s="91">
        <v>5.5636751969285383E-3</v>
      </c>
      <c r="AJ66" s="92">
        <v>0</v>
      </c>
      <c r="AK66" s="90">
        <v>8.7439241776277876E-3</v>
      </c>
      <c r="AL66" s="91">
        <v>1.884073945156561E-2</v>
      </c>
      <c r="AM66" s="91">
        <v>2.9775827764116528E-2</v>
      </c>
      <c r="AN66" s="91">
        <v>1.2783200828844446E-2</v>
      </c>
      <c r="AO66" s="91">
        <v>1.0061476917562713E-2</v>
      </c>
      <c r="AP66" s="91">
        <v>2.055448137771437E-2</v>
      </c>
      <c r="AQ66" s="91">
        <v>5.0226146469470642E-2</v>
      </c>
      <c r="AR66" s="91">
        <v>7.3902727056073684E-3</v>
      </c>
      <c r="AS66" s="91">
        <v>4.5431467311237914E-2</v>
      </c>
      <c r="AT66" s="91">
        <v>2.3196011494655989E-2</v>
      </c>
      <c r="AU66" s="91">
        <v>2.1043639716045243E-2</v>
      </c>
      <c r="AV66" s="91">
        <v>1.9831140120220164E-2</v>
      </c>
      <c r="AW66" s="91">
        <v>2.261364122782877E-2</v>
      </c>
      <c r="AX66" s="91">
        <v>2.9012102791873235E-2</v>
      </c>
      <c r="AY66" s="91">
        <v>3.0785897633722869E-2</v>
      </c>
      <c r="AZ66" s="91">
        <v>1.6397149859333777E-2</v>
      </c>
      <c r="BA66" s="91">
        <v>2.4439656653512085E-2</v>
      </c>
      <c r="BB66" s="91">
        <v>4.8268620091669281E-2</v>
      </c>
      <c r="BC66" s="91">
        <v>3.2448544119725413E-2</v>
      </c>
      <c r="BD66" s="91">
        <v>4.1846829065806647E-2</v>
      </c>
      <c r="BE66" s="91">
        <v>4.9511833717468333E-2</v>
      </c>
      <c r="BF66" s="91">
        <v>4.9484248214019519E-2</v>
      </c>
      <c r="BG66" s="91">
        <v>3.6431212017730467E-2</v>
      </c>
      <c r="BH66" s="91">
        <v>1.6306761561891373E-2</v>
      </c>
      <c r="BI66" s="91">
        <v>6.3109038267532336E-2</v>
      </c>
      <c r="BJ66" s="91">
        <v>5.3938723667554506E-2</v>
      </c>
      <c r="BK66" s="91">
        <v>5.0680592637408324E-2</v>
      </c>
      <c r="BL66" s="91">
        <v>9.6961200012798773E-2</v>
      </c>
      <c r="BM66" s="91">
        <v>2.6633574691733084E-2</v>
      </c>
      <c r="BN66" s="91">
        <v>0.13766614048542955</v>
      </c>
      <c r="BO66" s="91">
        <v>9.418116432964177E-2</v>
      </c>
      <c r="BP66" s="91">
        <v>3.8693073345942346E-2</v>
      </c>
      <c r="BQ66" s="91">
        <v>7.796860615393171E-2</v>
      </c>
      <c r="BR66" s="91">
        <v>7.8748624846572218E-2</v>
      </c>
      <c r="BS66" s="92">
        <v>5.7356580252046164E-3</v>
      </c>
    </row>
    <row r="67" spans="1:144" x14ac:dyDescent="0.35">
      <c r="A67" s="86">
        <v>31</v>
      </c>
      <c r="B67" s="90">
        <v>4.0113104944180767E-5</v>
      </c>
      <c r="C67" s="91">
        <v>1.0699831628944702E-4</v>
      </c>
      <c r="D67" s="91">
        <v>6.0888662241238461E-5</v>
      </c>
      <c r="E67" s="91">
        <v>4.1075793079436293E-5</v>
      </c>
      <c r="F67" s="91">
        <v>3.324489038303764E-5</v>
      </c>
      <c r="G67" s="91">
        <v>9.7279137581491706E-5</v>
      </c>
      <c r="H67" s="91">
        <v>1.1937738463403931E-4</v>
      </c>
      <c r="I67" s="91">
        <v>5.4112140068969532E-5</v>
      </c>
      <c r="J67" s="91">
        <v>1.0980611380685405E-4</v>
      </c>
      <c r="K67" s="91">
        <v>5.2848363061690263E-5</v>
      </c>
      <c r="L67" s="91">
        <v>7.1344706778092066E-5</v>
      </c>
      <c r="M67" s="91">
        <v>4.7129410902268911E-5</v>
      </c>
      <c r="N67" s="91">
        <v>4.1158773329259951E-5</v>
      </c>
      <c r="O67" s="91">
        <v>8.6434985038726469E-5</v>
      </c>
      <c r="P67" s="91">
        <v>4.5308819248413561E-5</v>
      </c>
      <c r="Q67" s="91">
        <v>5.1882252674429166E-5</v>
      </c>
      <c r="R67" s="91">
        <v>1.7095823031797481E-4</v>
      </c>
      <c r="S67" s="91">
        <v>3.457074567547005E-5</v>
      </c>
      <c r="T67" s="91">
        <v>5.1256220667974757E-5</v>
      </c>
      <c r="U67" s="91">
        <v>9.8222695885175082E-5</v>
      </c>
      <c r="V67" s="91">
        <v>6.0980539162443996E-5</v>
      </c>
      <c r="W67" s="91">
        <v>5.0831651324129377E-5</v>
      </c>
      <c r="X67" s="91">
        <v>1.3838496829757984E-4</v>
      </c>
      <c r="Y67" s="91">
        <v>1.3914391562819088E-3</v>
      </c>
      <c r="Z67" s="91">
        <v>3.2237989680553193E-4</v>
      </c>
      <c r="AA67" s="91">
        <v>1.9806257559501958E-4</v>
      </c>
      <c r="AB67" s="91">
        <v>5.0296439136358713E-5</v>
      </c>
      <c r="AC67" s="91">
        <v>4.3879907622715427E-5</v>
      </c>
      <c r="AD67" s="91">
        <v>2.8139380486128545E-5</v>
      </c>
      <c r="AE67" s="91">
        <v>8.6582655471874768E-5</v>
      </c>
      <c r="AF67" s="91">
        <v>1.3519690418277601E-4</v>
      </c>
      <c r="AG67" s="91">
        <v>7.9876771188593269E-5</v>
      </c>
      <c r="AH67" s="91">
        <v>5.7554859261798146E-5</v>
      </c>
      <c r="AI67" s="91">
        <v>3.1508493557535821E-4</v>
      </c>
      <c r="AJ67" s="92">
        <v>0</v>
      </c>
      <c r="AK67" s="90">
        <v>1.3695649223972035E-3</v>
      </c>
      <c r="AL67" s="91">
        <v>1.7134563724984903E-3</v>
      </c>
      <c r="AM67" s="91">
        <v>1.9812971472839918E-3</v>
      </c>
      <c r="AN67" s="91">
        <v>4.8819323225857462E-4</v>
      </c>
      <c r="AO67" s="91">
        <v>3.8080845964405047E-4</v>
      </c>
      <c r="AP67" s="91">
        <v>2.8146430763086494E-3</v>
      </c>
      <c r="AQ67" s="91">
        <v>4.3095980862522358E-3</v>
      </c>
      <c r="AR67" s="91">
        <v>9.2648416647649826E-4</v>
      </c>
      <c r="AS67" s="91">
        <v>2.5105163699944404E-3</v>
      </c>
      <c r="AT67" s="91">
        <v>1.932081323325118E-3</v>
      </c>
      <c r="AU67" s="91">
        <v>2.441307121640477E-3</v>
      </c>
      <c r="AV67" s="91">
        <v>3.5530085754047181E-3</v>
      </c>
      <c r="AW67" s="91">
        <v>1.0187856880956652E-3</v>
      </c>
      <c r="AX67" s="91">
        <v>6.0538730653626597E-4</v>
      </c>
      <c r="AY67" s="91">
        <v>7.9738099649668724E-4</v>
      </c>
      <c r="AZ67" s="91">
        <v>1.778451726832269E-3</v>
      </c>
      <c r="BA67" s="91">
        <v>1.589894549976363E-3</v>
      </c>
      <c r="BB67" s="91">
        <v>1.1005420288186575E-3</v>
      </c>
      <c r="BC67" s="91">
        <v>3.1233407057261382E-3</v>
      </c>
      <c r="BD67" s="91">
        <v>1.1835779932467918E-3</v>
      </c>
      <c r="BE67" s="91">
        <v>3.0157305174458647E-3</v>
      </c>
      <c r="BF67" s="91">
        <v>4.6255379877847089E-3</v>
      </c>
      <c r="BG67" s="91">
        <v>2.6460424205820743E-3</v>
      </c>
      <c r="BH67" s="91">
        <v>5.593224144062125E-3</v>
      </c>
      <c r="BI67" s="91">
        <v>1.3632602250747784E-2</v>
      </c>
      <c r="BJ67" s="91">
        <v>4.0580126796429901E-3</v>
      </c>
      <c r="BK67" s="91">
        <v>2.7007386121942339E-3</v>
      </c>
      <c r="BL67" s="91">
        <v>1.6907682935055602E-3</v>
      </c>
      <c r="BM67" s="91">
        <v>2.0818898763180966E-3</v>
      </c>
      <c r="BN67" s="91">
        <v>2.4021304270834937E-3</v>
      </c>
      <c r="BO67" s="91">
        <v>7.4060294819773284E-3</v>
      </c>
      <c r="BP67" s="91">
        <v>4.055439543610575E-3</v>
      </c>
      <c r="BQ67" s="91">
        <v>5.4295910006826043E-3</v>
      </c>
      <c r="BR67" s="91">
        <v>9.9421648239725029E-3</v>
      </c>
      <c r="BS67" s="92">
        <v>2.1993861939798103E-6</v>
      </c>
    </row>
    <row r="68" spans="1:144" x14ac:dyDescent="0.35">
      <c r="A68" s="86">
        <v>32</v>
      </c>
      <c r="B68" s="90">
        <v>2.0951259455690245E-6</v>
      </c>
      <c r="C68" s="91">
        <v>8.7986048333589014E-6</v>
      </c>
      <c r="D68" s="91">
        <v>5.1510715075710101E-6</v>
      </c>
      <c r="E68" s="91">
        <v>4.4245922489416827E-6</v>
      </c>
      <c r="F68" s="91">
        <v>3.7645182934751769E-6</v>
      </c>
      <c r="G68" s="91">
        <v>4.1214578367339678E-6</v>
      </c>
      <c r="H68" s="91">
        <v>9.1532690128678496E-6</v>
      </c>
      <c r="I68" s="91">
        <v>3.4592906000414223E-6</v>
      </c>
      <c r="J68" s="91">
        <v>1.5075528019497855E-5</v>
      </c>
      <c r="K68" s="91">
        <v>7.3560978935320219E-6</v>
      </c>
      <c r="L68" s="91">
        <v>6.2538748142228009E-6</v>
      </c>
      <c r="M68" s="91">
        <v>5.2809095504413718E-6</v>
      </c>
      <c r="N68" s="91">
        <v>8.6220904366425207E-6</v>
      </c>
      <c r="O68" s="91">
        <v>1.3185707689875195E-5</v>
      </c>
      <c r="P68" s="91">
        <v>8.4497716650508465E-6</v>
      </c>
      <c r="Q68" s="91">
        <v>6.6372672968526419E-6</v>
      </c>
      <c r="R68" s="91">
        <v>5.85419991716605E-6</v>
      </c>
      <c r="S68" s="91">
        <v>5.9741039263116261E-6</v>
      </c>
      <c r="T68" s="91">
        <v>1.0517500010503472E-5</v>
      </c>
      <c r="U68" s="91">
        <v>1.2768099448291863E-5</v>
      </c>
      <c r="V68" s="91">
        <v>1.4783417813393616E-5</v>
      </c>
      <c r="W68" s="91">
        <v>1.2480106722045605E-5</v>
      </c>
      <c r="X68" s="91">
        <v>1.2602725949274314E-5</v>
      </c>
      <c r="Y68" s="91">
        <v>2.7497185487400007E-5</v>
      </c>
      <c r="Z68" s="91">
        <v>3.8841836963816927E-5</v>
      </c>
      <c r="AA68" s="91">
        <v>2.7653003897338484E-5</v>
      </c>
      <c r="AB68" s="91">
        <v>1.9512335045079909E-5</v>
      </c>
      <c r="AC68" s="91">
        <v>2.9728754620782817E-5</v>
      </c>
      <c r="AD68" s="91">
        <v>4.9184068121493098E-6</v>
      </c>
      <c r="AE68" s="91">
        <v>3.5091300939402975E-5</v>
      </c>
      <c r="AF68" s="91">
        <v>8.899428754176924E-5</v>
      </c>
      <c r="AG68" s="91">
        <v>1.8108468958375534E-4</v>
      </c>
      <c r="AH68" s="91">
        <v>4.0529212993780115E-5</v>
      </c>
      <c r="AI68" s="91">
        <v>2.8643188762843149E-5</v>
      </c>
      <c r="AJ68" s="92">
        <v>0</v>
      </c>
      <c r="AK68" s="90">
        <v>5.3496310101639724E-4</v>
      </c>
      <c r="AL68" s="91">
        <v>3.5905048788489348E-4</v>
      </c>
      <c r="AM68" s="91">
        <v>1.9455070879972409E-4</v>
      </c>
      <c r="AN68" s="91">
        <v>1.6587042213934988E-4</v>
      </c>
      <c r="AO68" s="91">
        <v>1.7106375187241236E-4</v>
      </c>
      <c r="AP68" s="91">
        <v>1.6133210876488025E-4</v>
      </c>
      <c r="AQ68" s="91">
        <v>3.1659385952603823E-4</v>
      </c>
      <c r="AR68" s="91">
        <v>1.6839732875111846E-4</v>
      </c>
      <c r="AS68" s="91">
        <v>3.121422059711117E-4</v>
      </c>
      <c r="AT68" s="91">
        <v>1.7502375965900959E-4</v>
      </c>
      <c r="AU68" s="91">
        <v>2.8613197287709043E-4</v>
      </c>
      <c r="AV68" s="91">
        <v>2.2434751446178715E-4</v>
      </c>
      <c r="AW68" s="91">
        <v>4.0596400708138981E-4</v>
      </c>
      <c r="AX68" s="91">
        <v>2.1792146227657066E-4</v>
      </c>
      <c r="AY68" s="91">
        <v>1.8657037355859882E-4</v>
      </c>
      <c r="AZ68" s="91">
        <v>1.4586126217252298E-4</v>
      </c>
      <c r="BA68" s="91">
        <v>3.1786606359757782E-4</v>
      </c>
      <c r="BB68" s="91">
        <v>3.1859728816343859E-4</v>
      </c>
      <c r="BC68" s="91">
        <v>2.3595903838370092E-4</v>
      </c>
      <c r="BD68" s="91">
        <v>4.348818141156458E-4</v>
      </c>
      <c r="BE68" s="91">
        <v>1.101101724130193E-3</v>
      </c>
      <c r="BF68" s="91">
        <v>3.3936614656367593E-4</v>
      </c>
      <c r="BG68" s="91">
        <v>5.9171298903869891E-4</v>
      </c>
      <c r="BH68" s="91">
        <v>1.79694095393949E-4</v>
      </c>
      <c r="BI68" s="91">
        <v>1.3371485511359366E-3</v>
      </c>
      <c r="BJ68" s="91">
        <v>4.5943354646411097E-4</v>
      </c>
      <c r="BK68" s="91">
        <v>7.5638197538685894E-4</v>
      </c>
      <c r="BL68" s="91">
        <v>8.1847045079855632E-4</v>
      </c>
      <c r="BM68" s="91">
        <v>1.2247976445939609E-4</v>
      </c>
      <c r="BN68" s="91">
        <v>8.6968199958827649E-4</v>
      </c>
      <c r="BO68" s="91">
        <v>3.7129883666604832E-3</v>
      </c>
      <c r="BP68" s="91">
        <v>4.6615427949346002E-3</v>
      </c>
      <c r="BQ68" s="91">
        <v>6.369706626818425E-4</v>
      </c>
      <c r="BR68" s="91">
        <v>1.2751363579033754E-3</v>
      </c>
      <c r="BS68" s="92">
        <v>6.7950170909809591E-7</v>
      </c>
    </row>
    <row r="69" spans="1:144" x14ac:dyDescent="0.35">
      <c r="A69" s="86">
        <v>33</v>
      </c>
      <c r="B69" s="90">
        <v>4.92977408711316E-5</v>
      </c>
      <c r="C69" s="91">
        <v>6.7711333218810738E-6</v>
      </c>
      <c r="D69" s="91">
        <v>6.0420365649869501E-6</v>
      </c>
      <c r="E69" s="91">
        <v>4.5322254954880479E-6</v>
      </c>
      <c r="F69" s="91">
        <v>3.2168968424074189E-6</v>
      </c>
      <c r="G69" s="91">
        <v>3.5022523865535146E-6</v>
      </c>
      <c r="H69" s="91">
        <v>5.1946730580083754E-6</v>
      </c>
      <c r="I69" s="91">
        <v>6.9389717843238056E-6</v>
      </c>
      <c r="J69" s="91">
        <v>7.8281159644112899E-6</v>
      </c>
      <c r="K69" s="91">
        <v>5.3690452827582363E-6</v>
      </c>
      <c r="L69" s="91">
        <v>3.681744374268748E-6</v>
      </c>
      <c r="M69" s="91">
        <v>3.5230101485248881E-6</v>
      </c>
      <c r="N69" s="91">
        <v>4.4549968816054343E-6</v>
      </c>
      <c r="O69" s="91">
        <v>5.7220071605285733E-6</v>
      </c>
      <c r="P69" s="91">
        <v>4.4880766192368586E-6</v>
      </c>
      <c r="Q69" s="91">
        <v>4.5296104117747984E-6</v>
      </c>
      <c r="R69" s="91">
        <v>3.7469498466698957E-6</v>
      </c>
      <c r="S69" s="91">
        <v>3.8054521955932807E-6</v>
      </c>
      <c r="T69" s="91">
        <v>6.2318782311059773E-6</v>
      </c>
      <c r="U69" s="91">
        <v>8.2298188073819031E-6</v>
      </c>
      <c r="V69" s="91">
        <v>9.1258208806526925E-6</v>
      </c>
      <c r="W69" s="91">
        <v>8.2624584189737794E-6</v>
      </c>
      <c r="X69" s="91">
        <v>1.0189107922703367E-5</v>
      </c>
      <c r="Y69" s="91">
        <v>4.7737853587586688E-5</v>
      </c>
      <c r="Z69" s="91">
        <v>2.3887986182538311E-5</v>
      </c>
      <c r="AA69" s="91">
        <v>1.7416381950937181E-5</v>
      </c>
      <c r="AB69" s="91">
        <v>5.6416035740171761E-6</v>
      </c>
      <c r="AC69" s="91">
        <v>1.4638042204583765E-5</v>
      </c>
      <c r="AD69" s="91">
        <v>1.9136453399711788E-6</v>
      </c>
      <c r="AE69" s="91">
        <v>8.0259963309219538E-6</v>
      </c>
      <c r="AF69" s="91">
        <v>2.8792333079027478E-5</v>
      </c>
      <c r="AG69" s="91">
        <v>6.7360056863903806E-6</v>
      </c>
      <c r="AH69" s="91">
        <v>3.763715578768875E-4</v>
      </c>
      <c r="AI69" s="91">
        <v>1.6878357810333439E-5</v>
      </c>
      <c r="AJ69" s="92">
        <v>0</v>
      </c>
      <c r="AK69" s="90">
        <v>5.1062712978852242E-4</v>
      </c>
      <c r="AL69" s="91">
        <v>4.7956362732619009E-4</v>
      </c>
      <c r="AM69" s="91">
        <v>3.7376967564891809E-4</v>
      </c>
      <c r="AN69" s="91">
        <v>3.5172320308959188E-4</v>
      </c>
      <c r="AO69" s="91">
        <v>1.0941094681847963E-3</v>
      </c>
      <c r="AP69" s="91">
        <v>6.5834080862085635E-4</v>
      </c>
      <c r="AQ69" s="91">
        <v>5.3793693522772787E-4</v>
      </c>
      <c r="AR69" s="91">
        <v>1.2724065781810322E-4</v>
      </c>
      <c r="AS69" s="91">
        <v>4.3148099427513915E-4</v>
      </c>
      <c r="AT69" s="91">
        <v>2.99220284339756E-4</v>
      </c>
      <c r="AU69" s="91">
        <v>1.0667487570931694E-3</v>
      </c>
      <c r="AV69" s="91">
        <v>6.5897718953056587E-4</v>
      </c>
      <c r="AW69" s="91">
        <v>1.3190671431867051E-3</v>
      </c>
      <c r="AX69" s="91">
        <v>4.4281439422215127E-4</v>
      </c>
      <c r="AY69" s="91">
        <v>5.8797955847407219E-4</v>
      </c>
      <c r="AZ69" s="91">
        <v>4.2365093818063601E-4</v>
      </c>
      <c r="BA69" s="91">
        <v>3.890175687564384E-4</v>
      </c>
      <c r="BB69" s="91">
        <v>3.802484959064727E-4</v>
      </c>
      <c r="BC69" s="91">
        <v>3.7625639136871624E-4</v>
      </c>
      <c r="BD69" s="91">
        <v>3.5370518662755E-4</v>
      </c>
      <c r="BE69" s="91">
        <v>2.9595665347056954E-4</v>
      </c>
      <c r="BF69" s="91">
        <v>8.0020314796129869E-4</v>
      </c>
      <c r="BG69" s="91">
        <v>6.1634820710293697E-4</v>
      </c>
      <c r="BH69" s="91">
        <v>2.9026581342958248E-4</v>
      </c>
      <c r="BI69" s="91">
        <v>4.0384193255136154E-4</v>
      </c>
      <c r="BJ69" s="91">
        <v>4.0077023052846952E-4</v>
      </c>
      <c r="BK69" s="91">
        <v>3.7112634477876527E-4</v>
      </c>
      <c r="BL69" s="91">
        <v>3.2294257429571103E-4</v>
      </c>
      <c r="BM69" s="91">
        <v>6.4452618101413665E-5</v>
      </c>
      <c r="BN69" s="91">
        <v>4.9745065027369912E-4</v>
      </c>
      <c r="BO69" s="91">
        <v>6.9183955925200564E-3</v>
      </c>
      <c r="BP69" s="91">
        <v>1.9303159402784978E-3</v>
      </c>
      <c r="BQ69" s="91">
        <v>1.5013692240951074E-2</v>
      </c>
      <c r="BR69" s="91">
        <v>1.2214900592963276E-3</v>
      </c>
      <c r="BS69" s="92">
        <v>2.2205974049626223E-7</v>
      </c>
    </row>
    <row r="70" spans="1:144" x14ac:dyDescent="0.35">
      <c r="A70" s="86">
        <v>34</v>
      </c>
      <c r="B70" s="90">
        <v>1.4894133073700905E-4</v>
      </c>
      <c r="C70" s="91">
        <v>6.8929811253181045E-4</v>
      </c>
      <c r="D70" s="91">
        <v>5.1556909094381141E-4</v>
      </c>
      <c r="E70" s="91">
        <v>3.8051304800862048E-4</v>
      </c>
      <c r="F70" s="91">
        <v>3.7282268933137408E-4</v>
      </c>
      <c r="G70" s="91">
        <v>4.4021340443157857E-4</v>
      </c>
      <c r="H70" s="91">
        <v>1.8998419126320526E-3</v>
      </c>
      <c r="I70" s="91">
        <v>2.7871575943662293E-4</v>
      </c>
      <c r="J70" s="91">
        <v>1.282759098382874E-3</v>
      </c>
      <c r="K70" s="91">
        <v>3.9475312828207308E-4</v>
      </c>
      <c r="L70" s="91">
        <v>4.8275614702437535E-4</v>
      </c>
      <c r="M70" s="91">
        <v>5.2327823840064424E-4</v>
      </c>
      <c r="N70" s="91">
        <v>6.3475532724789011E-4</v>
      </c>
      <c r="O70" s="91">
        <v>9.751159653402959E-4</v>
      </c>
      <c r="P70" s="91">
        <v>4.5235794861587646E-4</v>
      </c>
      <c r="Q70" s="91">
        <v>5.37609269856096E-4</v>
      </c>
      <c r="R70" s="91">
        <v>6.3440276368931714E-4</v>
      </c>
      <c r="S70" s="91">
        <v>3.3700424389475629E-4</v>
      </c>
      <c r="T70" s="91">
        <v>5.2538079725533249E-4</v>
      </c>
      <c r="U70" s="91">
        <v>1.3966735094027116E-3</v>
      </c>
      <c r="V70" s="91">
        <v>6.5685089817798625E-4</v>
      </c>
      <c r="W70" s="91">
        <v>6.3343903252893448E-4</v>
      </c>
      <c r="X70" s="91">
        <v>5.3802829892229595E-4</v>
      </c>
      <c r="Y70" s="91">
        <v>9.4251681244212227E-4</v>
      </c>
      <c r="Z70" s="91">
        <v>1.813024844149058E-3</v>
      </c>
      <c r="AA70" s="91">
        <v>8.8328853734895665E-4</v>
      </c>
      <c r="AB70" s="91">
        <v>1.0111863223682632E-3</v>
      </c>
      <c r="AC70" s="91">
        <v>6.4213330310881488E-4</v>
      </c>
      <c r="AD70" s="91">
        <v>2.3960520992549601E-4</v>
      </c>
      <c r="AE70" s="91">
        <v>1.3161641152016703E-3</v>
      </c>
      <c r="AF70" s="91">
        <v>9.9258960441430994E-4</v>
      </c>
      <c r="AG70" s="91">
        <v>4.9098286806947584E-4</v>
      </c>
      <c r="AH70" s="91">
        <v>5.6435375452958949E-4</v>
      </c>
      <c r="AI70" s="91">
        <v>5.8698247970673158E-3</v>
      </c>
      <c r="AJ70" s="92">
        <v>0</v>
      </c>
      <c r="AK70" s="90">
        <v>3.0101360238637253E-3</v>
      </c>
      <c r="AL70" s="91">
        <v>5.2797618793453179E-3</v>
      </c>
      <c r="AM70" s="91">
        <v>4.7063004647602711E-3</v>
      </c>
      <c r="AN70" s="91">
        <v>3.7990378787801779E-3</v>
      </c>
      <c r="AO70" s="91">
        <v>5.305710407002776E-3</v>
      </c>
      <c r="AP70" s="91">
        <v>4.3944848260730118E-3</v>
      </c>
      <c r="AQ70" s="91">
        <v>7.5760033811675797E-3</v>
      </c>
      <c r="AR70" s="91">
        <v>1.2616220973395184E-3</v>
      </c>
      <c r="AS70" s="91">
        <v>5.2764373571498749E-3</v>
      </c>
      <c r="AT70" s="91">
        <v>4.4620938168840087E-3</v>
      </c>
      <c r="AU70" s="91">
        <v>5.5975213755487443E-3</v>
      </c>
      <c r="AV70" s="91">
        <v>4.7803133721375599E-3</v>
      </c>
      <c r="AW70" s="91">
        <v>3.9205264739538212E-3</v>
      </c>
      <c r="AX70" s="91">
        <v>2.4816817868925883E-3</v>
      </c>
      <c r="AY70" s="91">
        <v>4.0155082475913885E-3</v>
      </c>
      <c r="AZ70" s="91">
        <v>3.2780881358565814E-3</v>
      </c>
      <c r="BA70" s="91">
        <v>4.976602988275629E-3</v>
      </c>
      <c r="BB70" s="91">
        <v>6.207401400791443E-3</v>
      </c>
      <c r="BC70" s="91">
        <v>6.1906670843482206E-3</v>
      </c>
      <c r="BD70" s="91">
        <v>7.5077573990259289E-3</v>
      </c>
      <c r="BE70" s="91">
        <v>7.2311145471153776E-3</v>
      </c>
      <c r="BF70" s="91">
        <v>1.5060434088799432E-2</v>
      </c>
      <c r="BG70" s="91">
        <v>1.6979344697154806E-2</v>
      </c>
      <c r="BH70" s="91">
        <v>5.2879960952737859E-3</v>
      </c>
      <c r="BI70" s="91">
        <v>8.4831221072587601E-3</v>
      </c>
      <c r="BJ70" s="91">
        <v>2.0010438203921184E-2</v>
      </c>
      <c r="BK70" s="91">
        <v>1.8605268812422446E-2</v>
      </c>
      <c r="BL70" s="91">
        <v>1.1798417556409405E-2</v>
      </c>
      <c r="BM70" s="91">
        <v>7.370064958251773E-3</v>
      </c>
      <c r="BN70" s="91">
        <v>2.9962658982764269E-2</v>
      </c>
      <c r="BO70" s="91">
        <v>1.6911777336838893E-2</v>
      </c>
      <c r="BP70" s="91">
        <v>1.5178225145456262E-2</v>
      </c>
      <c r="BQ70" s="91">
        <v>1.4589715758570092E-2</v>
      </c>
      <c r="BR70" s="91">
        <v>5.880683288653353E-2</v>
      </c>
      <c r="BS70" s="92">
        <v>3.453904349687109E-3</v>
      </c>
    </row>
    <row r="71" spans="1:144" x14ac:dyDescent="0.35">
      <c r="A71" s="86">
        <v>35</v>
      </c>
      <c r="B71" s="93">
        <v>3.4103454936351786E-7</v>
      </c>
      <c r="C71" s="94">
        <v>7.2853382823762576E-7</v>
      </c>
      <c r="D71" s="94">
        <v>1.3136445732039082E-6</v>
      </c>
      <c r="E71" s="94">
        <v>4.223607783141714E-7</v>
      </c>
      <c r="F71" s="94">
        <v>3.8238088436633962E-7</v>
      </c>
      <c r="G71" s="94">
        <v>7.3251200735002516E-7</v>
      </c>
      <c r="H71" s="94">
        <v>8.428531088923714E-7</v>
      </c>
      <c r="I71" s="94">
        <v>4.1186793531818662E-7</v>
      </c>
      <c r="J71" s="94">
        <v>5.4429982009650745E-7</v>
      </c>
      <c r="K71" s="94">
        <v>3.192094520187084E-7</v>
      </c>
      <c r="L71" s="94">
        <v>6.1182265767090021E-7</v>
      </c>
      <c r="M71" s="94">
        <v>8.0500014596257715E-7</v>
      </c>
      <c r="N71" s="94">
        <v>8.8388589989548261E-7</v>
      </c>
      <c r="O71" s="94">
        <v>3.9218290772669394E-7</v>
      </c>
      <c r="P71" s="94">
        <v>4.1076977400914265E-7</v>
      </c>
      <c r="Q71" s="94">
        <v>6.0531229337206925E-7</v>
      </c>
      <c r="R71" s="94">
        <v>9.7300673593630092E-7</v>
      </c>
      <c r="S71" s="94">
        <v>3.4749230221048005E-7</v>
      </c>
      <c r="T71" s="94">
        <v>4.2929435774676709E-7</v>
      </c>
      <c r="U71" s="94">
        <v>2.619353712326984E-6</v>
      </c>
      <c r="V71" s="94">
        <v>4.7523443497559682E-7</v>
      </c>
      <c r="W71" s="94">
        <v>3.5705188727993052E-7</v>
      </c>
      <c r="X71" s="94">
        <v>1.7825867270923185E-6</v>
      </c>
      <c r="Y71" s="94">
        <v>1.1223943694355193E-5</v>
      </c>
      <c r="Z71" s="94">
        <v>6.4838756969367234E-6</v>
      </c>
      <c r="AA71" s="94">
        <v>3.1077101277851859E-6</v>
      </c>
      <c r="AB71" s="94">
        <v>3.0413030155549685E-7</v>
      </c>
      <c r="AC71" s="94">
        <v>2.4254063893517285E-7</v>
      </c>
      <c r="AD71" s="94">
        <v>1.4770513032917146E-7</v>
      </c>
      <c r="AE71" s="94">
        <v>3.3915449982062974E-7</v>
      </c>
      <c r="AF71" s="94">
        <v>2.8355110100526367E-7</v>
      </c>
      <c r="AG71" s="94">
        <v>7.3276595311311556E-8</v>
      </c>
      <c r="AH71" s="94">
        <v>2.3598931606997161E-7</v>
      </c>
      <c r="AI71" s="94">
        <v>3.677882459968722E-7</v>
      </c>
      <c r="AJ71" s="95">
        <v>0</v>
      </c>
      <c r="AK71" s="93">
        <v>1.8042156979429839E-5</v>
      </c>
      <c r="AL71" s="94">
        <v>2.5342638360633091E-5</v>
      </c>
      <c r="AM71" s="94">
        <v>3.2704708154326693E-5</v>
      </c>
      <c r="AN71" s="94">
        <v>1.1571715253833705E-4</v>
      </c>
      <c r="AO71" s="94">
        <v>3.9037615115846014E-5</v>
      </c>
      <c r="AP71" s="94">
        <v>3.9818736666823012E-5</v>
      </c>
      <c r="AQ71" s="94">
        <v>3.7579300245928448E-5</v>
      </c>
      <c r="AR71" s="94">
        <v>1.7218679324979919E-5</v>
      </c>
      <c r="AS71" s="94">
        <v>2.2876873179526476E-5</v>
      </c>
      <c r="AT71" s="94">
        <v>2.4985804514892617E-5</v>
      </c>
      <c r="AU71" s="94">
        <v>2.5118255447271384E-5</v>
      </c>
      <c r="AV71" s="94">
        <v>1.6701486919604858E-5</v>
      </c>
      <c r="AW71" s="94">
        <v>4.6044604305612375E-5</v>
      </c>
      <c r="AX71" s="94">
        <v>1.4398452836801848E-5</v>
      </c>
      <c r="AY71" s="94">
        <v>8.3592688086425628E-5</v>
      </c>
      <c r="AZ71" s="94">
        <v>2.1128058051728746E-5</v>
      </c>
      <c r="BA71" s="94">
        <v>1.0771451680562165E-5</v>
      </c>
      <c r="BB71" s="94">
        <v>6.0332250191420727E-5</v>
      </c>
      <c r="BC71" s="94">
        <v>4.3151618990900719E-5</v>
      </c>
      <c r="BD71" s="94">
        <v>1.0914543220560117E-5</v>
      </c>
      <c r="BE71" s="94">
        <v>4.6267945127709036E-5</v>
      </c>
      <c r="BF71" s="94">
        <v>6.9197472343620863E-5</v>
      </c>
      <c r="BG71" s="94">
        <v>1.7951543639218318E-4</v>
      </c>
      <c r="BH71" s="94">
        <v>3.5997382558212442E-6</v>
      </c>
      <c r="BI71" s="94">
        <v>1.8011157198336153E-5</v>
      </c>
      <c r="BJ71" s="94">
        <v>1.9765950429030563E-5</v>
      </c>
      <c r="BK71" s="94">
        <v>4.0989616815880568E-5</v>
      </c>
      <c r="BL71" s="94">
        <v>7.7257155618668717E-5</v>
      </c>
      <c r="BM71" s="94">
        <v>8.9467581622929387E-5</v>
      </c>
      <c r="BN71" s="94">
        <v>8.9588459272130536E-5</v>
      </c>
      <c r="BO71" s="94">
        <v>8.1060190814608715E-5</v>
      </c>
      <c r="BP71" s="94">
        <v>6.429906362653491E-5</v>
      </c>
      <c r="BQ71" s="94">
        <v>7.7478285145306678E-5</v>
      </c>
      <c r="BR71" s="94">
        <v>1.3269326080208281E-4</v>
      </c>
      <c r="BS71" s="95">
        <v>2.4799035539139547E-4</v>
      </c>
    </row>
    <row r="74" spans="1:144" x14ac:dyDescent="0.35">
      <c r="BW74" t="s">
        <v>72</v>
      </c>
      <c r="BY74" t="s">
        <v>73</v>
      </c>
    </row>
    <row r="75" spans="1:144" x14ac:dyDescent="0.35">
      <c r="BW75">
        <v>0.6</v>
      </c>
      <c r="BY75">
        <v>0.4</v>
      </c>
    </row>
    <row r="78" spans="1:144" x14ac:dyDescent="0.35">
      <c r="BW78">
        <v>1</v>
      </c>
      <c r="BX78">
        <v>2</v>
      </c>
      <c r="BY78">
        <v>3</v>
      </c>
      <c r="BZ78">
        <v>4</v>
      </c>
      <c r="CA78">
        <v>5</v>
      </c>
      <c r="CB78">
        <v>6</v>
      </c>
      <c r="CC78">
        <v>7</v>
      </c>
      <c r="CD78">
        <v>8</v>
      </c>
      <c r="CE78">
        <v>9</v>
      </c>
      <c r="CF78">
        <v>10</v>
      </c>
      <c r="CG78">
        <v>11</v>
      </c>
      <c r="CH78">
        <v>12</v>
      </c>
      <c r="CI78">
        <v>13</v>
      </c>
      <c r="CJ78">
        <v>14</v>
      </c>
      <c r="CK78">
        <v>15</v>
      </c>
      <c r="CL78">
        <v>16</v>
      </c>
      <c r="CM78">
        <v>17</v>
      </c>
      <c r="CN78">
        <v>18</v>
      </c>
      <c r="CO78">
        <v>19</v>
      </c>
      <c r="CP78">
        <v>20</v>
      </c>
      <c r="CQ78">
        <v>21</v>
      </c>
      <c r="CR78">
        <v>22</v>
      </c>
      <c r="CS78">
        <v>23</v>
      </c>
      <c r="CT78">
        <v>24</v>
      </c>
      <c r="CU78">
        <v>25</v>
      </c>
      <c r="CV78">
        <v>26</v>
      </c>
      <c r="CW78">
        <v>27</v>
      </c>
      <c r="CX78">
        <v>28</v>
      </c>
      <c r="CY78">
        <v>29</v>
      </c>
      <c r="CZ78">
        <v>30</v>
      </c>
      <c r="DA78">
        <v>31</v>
      </c>
      <c r="DB78">
        <v>32</v>
      </c>
      <c r="DC78">
        <v>33</v>
      </c>
      <c r="DD78">
        <v>34</v>
      </c>
      <c r="DE78">
        <v>35</v>
      </c>
      <c r="DF78">
        <v>1</v>
      </c>
      <c r="DG78">
        <v>2</v>
      </c>
      <c r="DH78">
        <v>3</v>
      </c>
      <c r="DI78">
        <v>4</v>
      </c>
      <c r="DJ78">
        <v>5</v>
      </c>
      <c r="DK78">
        <v>6</v>
      </c>
      <c r="DL78">
        <v>7</v>
      </c>
      <c r="DM78">
        <v>8</v>
      </c>
      <c r="DN78">
        <v>9</v>
      </c>
      <c r="DO78">
        <v>10</v>
      </c>
      <c r="DP78">
        <v>11</v>
      </c>
      <c r="DQ78">
        <v>12</v>
      </c>
      <c r="DR78">
        <v>13</v>
      </c>
      <c r="DS78">
        <v>14</v>
      </c>
      <c r="DT78">
        <v>15</v>
      </c>
      <c r="DU78">
        <v>16</v>
      </c>
      <c r="DV78">
        <v>17</v>
      </c>
      <c r="DW78">
        <v>18</v>
      </c>
      <c r="DX78">
        <v>19</v>
      </c>
      <c r="DY78">
        <v>20</v>
      </c>
      <c r="DZ78">
        <v>21</v>
      </c>
      <c r="EA78">
        <v>22</v>
      </c>
      <c r="EB78">
        <v>23</v>
      </c>
      <c r="EC78">
        <v>24</v>
      </c>
      <c r="ED78">
        <v>25</v>
      </c>
      <c r="EE78">
        <v>26</v>
      </c>
      <c r="EF78">
        <v>27</v>
      </c>
      <c r="EG78">
        <v>28</v>
      </c>
      <c r="EH78">
        <v>29</v>
      </c>
      <c r="EI78">
        <v>30</v>
      </c>
      <c r="EJ78">
        <v>31</v>
      </c>
      <c r="EK78">
        <v>32</v>
      </c>
      <c r="EL78">
        <v>33</v>
      </c>
      <c r="EM78">
        <v>34</v>
      </c>
      <c r="EN78">
        <v>35</v>
      </c>
    </row>
    <row r="79" spans="1:144" x14ac:dyDescent="0.35">
      <c r="B79" s="87">
        <v>1</v>
      </c>
      <c r="C79" s="87">
        <v>0</v>
      </c>
      <c r="D79" s="87">
        <v>0</v>
      </c>
      <c r="E79" s="87">
        <v>0</v>
      </c>
      <c r="F79" s="87">
        <v>0</v>
      </c>
      <c r="G79" s="87">
        <v>0</v>
      </c>
      <c r="H79" s="87">
        <v>0</v>
      </c>
      <c r="I79" s="87">
        <v>0</v>
      </c>
      <c r="J79" s="87">
        <v>0</v>
      </c>
      <c r="K79" s="87">
        <v>0</v>
      </c>
      <c r="L79" s="87">
        <v>0</v>
      </c>
      <c r="M79" s="87">
        <v>0</v>
      </c>
      <c r="N79" s="87">
        <v>0</v>
      </c>
      <c r="O79" s="87">
        <v>0</v>
      </c>
      <c r="P79" s="87">
        <v>0</v>
      </c>
      <c r="Q79" s="87">
        <v>0</v>
      </c>
      <c r="R79" s="87">
        <v>0</v>
      </c>
      <c r="S79" s="87">
        <v>0</v>
      </c>
      <c r="T79" s="87">
        <v>0</v>
      </c>
      <c r="U79" s="87">
        <v>0</v>
      </c>
      <c r="V79" s="87">
        <v>0</v>
      </c>
      <c r="W79" s="87">
        <v>0</v>
      </c>
      <c r="X79" s="87">
        <v>0</v>
      </c>
      <c r="Y79" s="87">
        <v>0</v>
      </c>
      <c r="Z79" s="87">
        <v>0</v>
      </c>
      <c r="AA79" s="87">
        <v>0</v>
      </c>
      <c r="AB79" s="87">
        <v>0</v>
      </c>
      <c r="AC79" s="87">
        <v>0</v>
      </c>
      <c r="AD79" s="87">
        <v>0</v>
      </c>
      <c r="AE79" s="87">
        <v>0</v>
      </c>
      <c r="AF79" s="87">
        <v>0</v>
      </c>
      <c r="AG79" s="87">
        <v>0</v>
      </c>
      <c r="AH79" s="87">
        <v>0</v>
      </c>
      <c r="AI79" s="87">
        <v>0</v>
      </c>
      <c r="AJ79" s="87">
        <v>0</v>
      </c>
      <c r="AK79" s="87">
        <v>0</v>
      </c>
      <c r="AL79" s="87">
        <v>0</v>
      </c>
      <c r="AM79" s="87">
        <v>0</v>
      </c>
      <c r="AN79" s="87">
        <v>0</v>
      </c>
      <c r="AO79" s="87">
        <v>0</v>
      </c>
      <c r="AP79" s="87">
        <v>0</v>
      </c>
      <c r="AQ79" s="87">
        <v>0</v>
      </c>
      <c r="AR79" s="87">
        <v>0</v>
      </c>
      <c r="AS79" s="87">
        <v>0</v>
      </c>
      <c r="AT79" s="87">
        <v>0</v>
      </c>
      <c r="AU79" s="87">
        <v>0</v>
      </c>
      <c r="AV79" s="87">
        <v>0</v>
      </c>
      <c r="AW79" s="87">
        <v>0</v>
      </c>
      <c r="AX79" s="87">
        <v>0</v>
      </c>
      <c r="AY79" s="87">
        <v>0</v>
      </c>
      <c r="AZ79" s="87">
        <v>0</v>
      </c>
      <c r="BA79" s="87">
        <v>0</v>
      </c>
      <c r="BB79" s="87">
        <v>0</v>
      </c>
      <c r="BC79" s="87">
        <v>0</v>
      </c>
      <c r="BD79" s="87">
        <v>0</v>
      </c>
      <c r="BE79" s="87">
        <v>0</v>
      </c>
      <c r="BF79" s="87">
        <v>0</v>
      </c>
      <c r="BG79" s="87">
        <v>0</v>
      </c>
      <c r="BH79" s="87">
        <v>0</v>
      </c>
      <c r="BI79" s="87">
        <v>0</v>
      </c>
      <c r="BJ79" s="87">
        <v>0</v>
      </c>
      <c r="BK79" s="87">
        <v>0</v>
      </c>
      <c r="BL79" s="87">
        <v>0</v>
      </c>
      <c r="BM79" s="87">
        <v>0</v>
      </c>
      <c r="BN79" s="87">
        <v>0</v>
      </c>
      <c r="BO79" s="87">
        <v>0</v>
      </c>
      <c r="BP79" s="87">
        <v>0</v>
      </c>
      <c r="BQ79" s="87">
        <v>0</v>
      </c>
      <c r="BR79" s="87">
        <v>0</v>
      </c>
      <c r="BS79" s="87">
        <v>0</v>
      </c>
      <c r="BW79" s="98">
        <f>$BV$152</f>
        <v>581681.21476834721</v>
      </c>
      <c r="BX79" s="98">
        <f>$BV$153</f>
        <v>87099.291552669994</v>
      </c>
      <c r="BY79" s="98">
        <f>$BV$154</f>
        <v>927735.15882759332</v>
      </c>
      <c r="BZ79" s="98">
        <f>$BV$155</f>
        <v>190449.44133851535</v>
      </c>
      <c r="CA79" s="98">
        <f>$BV$156</f>
        <v>37528.490070950131</v>
      </c>
      <c r="CB79" s="98">
        <f>$BV$157</f>
        <v>128877.94032720951</v>
      </c>
      <c r="CC79" s="98">
        <f>$BV$158</f>
        <v>444421.57813277509</v>
      </c>
      <c r="CD79" s="98">
        <f>$BV$159</f>
        <v>320647.64310481364</v>
      </c>
      <c r="CE79" s="98">
        <f>$BV$160</f>
        <v>697118.99107854837</v>
      </c>
      <c r="CF79" s="98">
        <f>$BV$161</f>
        <v>298231.18256974604</v>
      </c>
      <c r="CG79" s="98">
        <f>$BV$162</f>
        <v>209425.10579178427</v>
      </c>
      <c r="CH79" s="98">
        <f>$BV$163</f>
        <v>750230.18135204667</v>
      </c>
      <c r="CI79" s="98">
        <f>$BV$164</f>
        <v>597510.76355887635</v>
      </c>
      <c r="CJ79" s="98">
        <f>$BV$165</f>
        <v>933771.35475761525</v>
      </c>
      <c r="CK79" s="98">
        <f>$BV$166</f>
        <v>839512.9034003244</v>
      </c>
      <c r="CL79" s="98">
        <f>$BV$167</f>
        <v>196563.35780035853</v>
      </c>
      <c r="CM79" s="98">
        <f>$BV$168</f>
        <v>609453.60964046698</v>
      </c>
      <c r="CN79" s="98">
        <f>$BV$169</f>
        <v>1372153.8700550387</v>
      </c>
      <c r="CO79" s="98">
        <f>$BV$170</f>
        <v>359517.34660496766</v>
      </c>
      <c r="CP79" s="98">
        <f>$BV$171</f>
        <v>1163012.6175932402</v>
      </c>
      <c r="CQ79" s="98">
        <f>$BV$172</f>
        <v>855851.0230126885</v>
      </c>
      <c r="CR79" s="98">
        <f>$BV$173</f>
        <v>542193.31818710116</v>
      </c>
      <c r="CS79" s="98">
        <f>$BV$174</f>
        <v>505643.56893875916</v>
      </c>
      <c r="CT79" s="98">
        <f>$BV$175</f>
        <v>113085.86836740698</v>
      </c>
      <c r="CU79" s="98">
        <f>$BV$176</f>
        <v>116418.39297348677</v>
      </c>
      <c r="CV79" s="98">
        <f>$BV$177</f>
        <v>437094.49514745199</v>
      </c>
      <c r="CW79" s="98">
        <f>$BV$178</f>
        <v>701998.78664731048</v>
      </c>
      <c r="CX79" s="98">
        <f>$BV$179</f>
        <v>1337558.8658765566</v>
      </c>
      <c r="CY79" s="98">
        <f>$BV$180</f>
        <v>1398968.2371035242</v>
      </c>
      <c r="CZ79" s="98">
        <f>$BV$181</f>
        <v>2237590.9501741133</v>
      </c>
      <c r="DA79" s="98">
        <f>$BV$182</f>
        <v>991696.16514802643</v>
      </c>
      <c r="DB79" s="98">
        <f>$BV$183</f>
        <v>585599.94499031885</v>
      </c>
      <c r="DC79" s="98">
        <f>$BV$184</f>
        <v>1182649.5557553929</v>
      </c>
      <c r="DD79" s="98">
        <f>$BV$185</f>
        <v>719456.17911093473</v>
      </c>
      <c r="DE79" s="98">
        <f>$BV$186</f>
        <v>40136.833341967736</v>
      </c>
      <c r="DF79" s="98">
        <f>$BV$187</f>
        <v>2143850.0848060232</v>
      </c>
      <c r="DG79" s="98">
        <f>$BV$188</f>
        <v>1488573.3149620739</v>
      </c>
      <c r="DH79" s="98">
        <f>$BV$189</f>
        <v>2705914.0397654902</v>
      </c>
      <c r="DI79" s="98">
        <f>$BV$190</f>
        <v>1204719.4620206284</v>
      </c>
      <c r="DJ79" s="98">
        <f>$BV$191</f>
        <v>179877.08537158789</v>
      </c>
      <c r="DK79" s="98">
        <f>$BV$192</f>
        <v>403836.36366744933</v>
      </c>
      <c r="DL79" s="98">
        <f>$BV$193</f>
        <v>1098854.964830528</v>
      </c>
      <c r="DM79" s="98">
        <f>$BV$194</f>
        <v>874221.74057716969</v>
      </c>
      <c r="DN79" s="98">
        <f>$BV$195</f>
        <v>1792248.9233534073</v>
      </c>
      <c r="DO79" s="98">
        <f>$BV$196</f>
        <v>851714.56531545753</v>
      </c>
      <c r="DP79" s="98">
        <f>$BV$197</f>
        <v>679265.98879816965</v>
      </c>
      <c r="DQ79" s="98">
        <f>$BV$198</f>
        <v>2616083.5275055827</v>
      </c>
      <c r="DR79" s="98">
        <f>$BV$199</f>
        <v>1595578.4201020757</v>
      </c>
      <c r="DS79" s="98">
        <f>$BV$200</f>
        <v>5138540.4672487043</v>
      </c>
      <c r="DT79" s="98">
        <f>$BV$201</f>
        <v>2373909.4814222469</v>
      </c>
      <c r="DU79" s="98">
        <f>$BV$202</f>
        <v>477386.67963106243</v>
      </c>
      <c r="DV79" s="98">
        <f>$BV$203</f>
        <v>1368500.8393600225</v>
      </c>
      <c r="DW79" s="98">
        <f>$BV$204</f>
        <v>3831894.4972183965</v>
      </c>
      <c r="DX79" s="98">
        <f>$BV$205</f>
        <v>488357.54152622382</v>
      </c>
      <c r="DY79" s="98">
        <f>$BV$206</f>
        <v>3191820.1425217558</v>
      </c>
      <c r="DZ79" s="98">
        <f>$BV$207</f>
        <v>2374331.3568970845</v>
      </c>
      <c r="EA79" s="98">
        <f>$BV$208</f>
        <v>1489678.9365753187</v>
      </c>
      <c r="EB79" s="98">
        <f>$BV$209</f>
        <v>1455075.1795113906</v>
      </c>
      <c r="EC79" s="98">
        <f>$BV$210</f>
        <v>287779.96745069593</v>
      </c>
      <c r="ED79" s="98">
        <f>$BV$211</f>
        <v>263792.690015917</v>
      </c>
      <c r="EE79" s="98">
        <f>$BV$212</f>
        <v>566482.62748693035</v>
      </c>
      <c r="EF79" s="98">
        <f>$BV$213</f>
        <v>1776929.7901584194</v>
      </c>
      <c r="EG79" s="98">
        <f>$BV$214</f>
        <v>4001113.7609085971</v>
      </c>
      <c r="EH79" s="98">
        <f>$BV$215</f>
        <v>3413611.8127121944</v>
      </c>
      <c r="EI79" s="98">
        <f>$BV$216</f>
        <v>4345480.4695336726</v>
      </c>
      <c r="EJ79" s="98">
        <f>$BV$217</f>
        <v>3706102.0665206383</v>
      </c>
      <c r="EK79" s="98">
        <f>$BV$218</f>
        <v>953677.40337172814</v>
      </c>
      <c r="EL79" s="98">
        <f>$BV$219</f>
        <v>2219341.6846416504</v>
      </c>
      <c r="EM79" s="98">
        <f>$BV$220</f>
        <v>1759513.7208964487</v>
      </c>
      <c r="EN79" s="98">
        <f>$BV$221</f>
        <v>22939.605958752789</v>
      </c>
    </row>
    <row r="80" spans="1:144" x14ac:dyDescent="0.35">
      <c r="B80" s="87">
        <v>0</v>
      </c>
      <c r="C80" s="87">
        <v>1</v>
      </c>
      <c r="D80" s="87">
        <v>0</v>
      </c>
      <c r="E80" s="87">
        <v>0</v>
      </c>
      <c r="F80" s="87">
        <v>0</v>
      </c>
      <c r="G80" s="87">
        <v>0</v>
      </c>
      <c r="H80" s="87">
        <v>0</v>
      </c>
      <c r="I80" s="87">
        <v>0</v>
      </c>
      <c r="J80" s="87">
        <v>0</v>
      </c>
      <c r="K80" s="87">
        <v>0</v>
      </c>
      <c r="L80" s="87">
        <v>0</v>
      </c>
      <c r="M80" s="87">
        <v>0</v>
      </c>
      <c r="N80" s="87">
        <v>0</v>
      </c>
      <c r="O80" s="87">
        <v>0</v>
      </c>
      <c r="P80" s="87">
        <v>0</v>
      </c>
      <c r="Q80" s="87">
        <v>0</v>
      </c>
      <c r="R80" s="87">
        <v>0</v>
      </c>
      <c r="S80" s="87">
        <v>0</v>
      </c>
      <c r="T80" s="87">
        <v>0</v>
      </c>
      <c r="U80" s="87">
        <v>0</v>
      </c>
      <c r="V80" s="87">
        <v>0</v>
      </c>
      <c r="W80" s="87">
        <v>0</v>
      </c>
      <c r="X80" s="87">
        <v>0</v>
      </c>
      <c r="Y80" s="87">
        <v>0</v>
      </c>
      <c r="Z80" s="87">
        <v>0</v>
      </c>
      <c r="AA80" s="87">
        <v>0</v>
      </c>
      <c r="AB80" s="87">
        <v>0</v>
      </c>
      <c r="AC80" s="87">
        <v>0</v>
      </c>
      <c r="AD80" s="87">
        <v>0</v>
      </c>
      <c r="AE80" s="87">
        <v>0</v>
      </c>
      <c r="AF80" s="87">
        <v>0</v>
      </c>
      <c r="AG80" s="87">
        <v>0</v>
      </c>
      <c r="AH80" s="87">
        <v>0</v>
      </c>
      <c r="AI80" s="87">
        <v>0</v>
      </c>
      <c r="AJ80" s="87">
        <v>0</v>
      </c>
      <c r="AK80" s="87">
        <v>0</v>
      </c>
      <c r="AL80" s="87">
        <v>0</v>
      </c>
      <c r="AM80" s="87">
        <v>0</v>
      </c>
      <c r="AN80" s="87">
        <v>0</v>
      </c>
      <c r="AO80" s="87">
        <v>0</v>
      </c>
      <c r="AP80" s="87">
        <v>0</v>
      </c>
      <c r="AQ80" s="87">
        <v>0</v>
      </c>
      <c r="AR80" s="87">
        <v>0</v>
      </c>
      <c r="AS80" s="87">
        <v>0</v>
      </c>
      <c r="AT80" s="87">
        <v>0</v>
      </c>
      <c r="AU80" s="87">
        <v>0</v>
      </c>
      <c r="AV80" s="87">
        <v>0</v>
      </c>
      <c r="AW80" s="87">
        <v>0</v>
      </c>
      <c r="AX80" s="87">
        <v>0</v>
      </c>
      <c r="AY80" s="87">
        <v>0</v>
      </c>
      <c r="AZ80" s="87">
        <v>0</v>
      </c>
      <c r="BA80" s="87">
        <v>0</v>
      </c>
      <c r="BB80" s="87">
        <v>0</v>
      </c>
      <c r="BC80" s="87">
        <v>0</v>
      </c>
      <c r="BD80" s="87">
        <v>0</v>
      </c>
      <c r="BE80" s="87">
        <v>0</v>
      </c>
      <c r="BF80" s="87">
        <v>0</v>
      </c>
      <c r="BG80" s="87">
        <v>0</v>
      </c>
      <c r="BH80" s="87">
        <v>0</v>
      </c>
      <c r="BI80" s="87">
        <v>0</v>
      </c>
      <c r="BJ80" s="87">
        <v>0</v>
      </c>
      <c r="BK80" s="87">
        <v>0</v>
      </c>
      <c r="BL80" s="87">
        <v>0</v>
      </c>
      <c r="BM80" s="87">
        <v>0</v>
      </c>
      <c r="BN80" s="87">
        <v>0</v>
      </c>
      <c r="BO80" s="87">
        <v>0</v>
      </c>
      <c r="BP80" s="87">
        <v>0</v>
      </c>
      <c r="BQ80" s="87">
        <v>0</v>
      </c>
      <c r="BR80" s="87">
        <v>0</v>
      </c>
      <c r="BS80" s="87">
        <v>0</v>
      </c>
      <c r="BW80">
        <f>BW79*(1-$BW$75)</f>
        <v>232672.48590733891</v>
      </c>
      <c r="BX80">
        <f t="shared" ref="BX80:DE80" si="0">BX79*(1-$BW$75)</f>
        <v>34839.716621068001</v>
      </c>
      <c r="BY80">
        <f t="shared" si="0"/>
        <v>371094.06353103736</v>
      </c>
      <c r="BZ80">
        <f t="shared" si="0"/>
        <v>76179.776535406141</v>
      </c>
      <c r="CA80">
        <f t="shared" si="0"/>
        <v>15011.396028380053</v>
      </c>
      <c r="CB80">
        <f t="shared" si="0"/>
        <v>51551.176130883803</v>
      </c>
      <c r="CC80">
        <f t="shared" si="0"/>
        <v>177768.63125311004</v>
      </c>
      <c r="CD80">
        <f t="shared" si="0"/>
        <v>128259.05724192546</v>
      </c>
      <c r="CE80">
        <f t="shared" si="0"/>
        <v>278847.59643141937</v>
      </c>
      <c r="CF80">
        <f t="shared" si="0"/>
        <v>119292.47302789842</v>
      </c>
      <c r="CG80">
        <f t="shared" si="0"/>
        <v>83770.04231671372</v>
      </c>
      <c r="CH80">
        <f t="shared" si="0"/>
        <v>300092.07254081866</v>
      </c>
      <c r="CI80">
        <f t="shared" si="0"/>
        <v>239004.30542355054</v>
      </c>
      <c r="CJ80">
        <f t="shared" si="0"/>
        <v>373508.54190304613</v>
      </c>
      <c r="CK80">
        <f t="shared" si="0"/>
        <v>335805.16136012977</v>
      </c>
      <c r="CL80">
        <f t="shared" si="0"/>
        <v>78625.343120143414</v>
      </c>
      <c r="CM80">
        <f t="shared" si="0"/>
        <v>243781.44385618682</v>
      </c>
      <c r="CN80">
        <f t="shared" si="0"/>
        <v>548861.54802201549</v>
      </c>
      <c r="CO80">
        <f t="shared" si="0"/>
        <v>143806.93864198707</v>
      </c>
      <c r="CP80">
        <f t="shared" si="0"/>
        <v>465205.04703729611</v>
      </c>
      <c r="CQ80">
        <f t="shared" si="0"/>
        <v>342340.40920507541</v>
      </c>
      <c r="CR80">
        <f t="shared" si="0"/>
        <v>216877.32727484047</v>
      </c>
      <c r="CS80">
        <f t="shared" si="0"/>
        <v>202257.42757550368</v>
      </c>
      <c r="CT80">
        <f t="shared" si="0"/>
        <v>45234.347346962793</v>
      </c>
      <c r="CU80">
        <f t="shared" si="0"/>
        <v>46567.357189394708</v>
      </c>
      <c r="CV80">
        <f t="shared" si="0"/>
        <v>174837.79805898081</v>
      </c>
      <c r="CW80">
        <f t="shared" si="0"/>
        <v>280799.51465892419</v>
      </c>
      <c r="CX80">
        <f t="shared" si="0"/>
        <v>535023.54635062267</v>
      </c>
      <c r="CY80">
        <f t="shared" si="0"/>
        <v>559587.29484140966</v>
      </c>
      <c r="CZ80">
        <f t="shared" si="0"/>
        <v>895036.38006964535</v>
      </c>
      <c r="DA80">
        <f t="shared" si="0"/>
        <v>396678.46605921059</v>
      </c>
      <c r="DB80">
        <f t="shared" si="0"/>
        <v>234239.97799612756</v>
      </c>
      <c r="DC80">
        <f t="shared" si="0"/>
        <v>473059.82230215718</v>
      </c>
      <c r="DD80">
        <f t="shared" si="0"/>
        <v>287782.4716443739</v>
      </c>
      <c r="DE80">
        <f t="shared" si="0"/>
        <v>16054.733336787096</v>
      </c>
      <c r="DF80">
        <f>DF79*(1-$BY$75)</f>
        <v>1286310.0508836138</v>
      </c>
      <c r="DG80">
        <f t="shared" ref="DG80:EN80" si="1">DG79*(1-$BY$75)</f>
        <v>893143.98897724436</v>
      </c>
      <c r="DH80">
        <f t="shared" si="1"/>
        <v>1623548.423859294</v>
      </c>
      <c r="DI80">
        <f t="shared" si="1"/>
        <v>722831.67721237696</v>
      </c>
      <c r="DJ80">
        <f t="shared" si="1"/>
        <v>107926.25122295273</v>
      </c>
      <c r="DK80">
        <f t="shared" si="1"/>
        <v>242301.8182004696</v>
      </c>
      <c r="DL80">
        <f t="shared" si="1"/>
        <v>659312.97889831674</v>
      </c>
      <c r="DM80">
        <f t="shared" si="1"/>
        <v>524533.04434630182</v>
      </c>
      <c r="DN80">
        <f t="shared" si="1"/>
        <v>1075349.3540120444</v>
      </c>
      <c r="DO80">
        <f t="shared" si="1"/>
        <v>511028.73918927449</v>
      </c>
      <c r="DP80">
        <f t="shared" si="1"/>
        <v>407559.59327890177</v>
      </c>
      <c r="DQ80">
        <f t="shared" si="1"/>
        <v>1569650.1165033495</v>
      </c>
      <c r="DR80">
        <f t="shared" si="1"/>
        <v>957347.05206124531</v>
      </c>
      <c r="DS80">
        <f t="shared" si="1"/>
        <v>3083124.2803492225</v>
      </c>
      <c r="DT80">
        <f t="shared" si="1"/>
        <v>1424345.6888533481</v>
      </c>
      <c r="DU80">
        <f t="shared" si="1"/>
        <v>286432.00777863746</v>
      </c>
      <c r="DV80">
        <f t="shared" si="1"/>
        <v>821100.50361601345</v>
      </c>
      <c r="DW80">
        <f t="shared" si="1"/>
        <v>2299136.698331038</v>
      </c>
      <c r="DX80">
        <f t="shared" si="1"/>
        <v>293014.52491573431</v>
      </c>
      <c r="DY80">
        <f t="shared" si="1"/>
        <v>1915092.0855130535</v>
      </c>
      <c r="DZ80">
        <f t="shared" si="1"/>
        <v>1424598.8141382507</v>
      </c>
      <c r="EA80">
        <f t="shared" si="1"/>
        <v>893807.36194519117</v>
      </c>
      <c r="EB80">
        <f t="shared" si="1"/>
        <v>873045.10770683433</v>
      </c>
      <c r="EC80">
        <f t="shared" si="1"/>
        <v>172667.98047041756</v>
      </c>
      <c r="ED80">
        <f t="shared" si="1"/>
        <v>158275.61400955019</v>
      </c>
      <c r="EE80">
        <f t="shared" si="1"/>
        <v>339889.57649215817</v>
      </c>
      <c r="EF80">
        <f t="shared" si="1"/>
        <v>1066157.8740950515</v>
      </c>
      <c r="EG80">
        <f t="shared" si="1"/>
        <v>2400668.2565451581</v>
      </c>
      <c r="EH80">
        <f t="shared" si="1"/>
        <v>2048167.0876273166</v>
      </c>
      <c r="EI80">
        <f t="shared" si="1"/>
        <v>2607288.2817202033</v>
      </c>
      <c r="EJ80">
        <f t="shared" si="1"/>
        <v>2223661.2399123828</v>
      </c>
      <c r="EK80">
        <f t="shared" si="1"/>
        <v>572206.44202303689</v>
      </c>
      <c r="EL80">
        <f t="shared" si="1"/>
        <v>1331605.0107849902</v>
      </c>
      <c r="EM80">
        <f t="shared" si="1"/>
        <v>1055708.2325378691</v>
      </c>
      <c r="EN80">
        <f t="shared" si="1"/>
        <v>13763.763575251673</v>
      </c>
    </row>
    <row r="81" spans="2:144" x14ac:dyDescent="0.35">
      <c r="B81" s="87">
        <v>0</v>
      </c>
      <c r="C81" s="87">
        <v>0</v>
      </c>
      <c r="D81" s="87">
        <v>1</v>
      </c>
      <c r="E81" s="87">
        <v>0</v>
      </c>
      <c r="F81" s="87">
        <v>0</v>
      </c>
      <c r="G81" s="87">
        <v>0</v>
      </c>
      <c r="H81" s="87">
        <v>0</v>
      </c>
      <c r="I81" s="87">
        <v>0</v>
      </c>
      <c r="J81" s="87">
        <v>0</v>
      </c>
      <c r="K81" s="87">
        <v>0</v>
      </c>
      <c r="L81" s="87">
        <v>0</v>
      </c>
      <c r="M81" s="87">
        <v>0</v>
      </c>
      <c r="N81" s="87">
        <v>0</v>
      </c>
      <c r="O81" s="87">
        <v>0</v>
      </c>
      <c r="P81" s="87">
        <v>0</v>
      </c>
      <c r="Q81" s="87">
        <v>0</v>
      </c>
      <c r="R81" s="87">
        <v>0</v>
      </c>
      <c r="S81" s="87">
        <v>0</v>
      </c>
      <c r="T81" s="87">
        <v>0</v>
      </c>
      <c r="U81" s="87">
        <v>0</v>
      </c>
      <c r="V81" s="87">
        <v>0</v>
      </c>
      <c r="W81" s="87">
        <v>0</v>
      </c>
      <c r="X81" s="87">
        <v>0</v>
      </c>
      <c r="Y81" s="87">
        <v>0</v>
      </c>
      <c r="Z81" s="87">
        <v>0</v>
      </c>
      <c r="AA81" s="87">
        <v>0</v>
      </c>
      <c r="AB81" s="87">
        <v>0</v>
      </c>
      <c r="AC81" s="87">
        <v>0</v>
      </c>
      <c r="AD81" s="87">
        <v>0</v>
      </c>
      <c r="AE81" s="87">
        <v>0</v>
      </c>
      <c r="AF81" s="87">
        <v>0</v>
      </c>
      <c r="AG81" s="87">
        <v>0</v>
      </c>
      <c r="AH81" s="87">
        <v>0</v>
      </c>
      <c r="AI81" s="87">
        <v>0</v>
      </c>
      <c r="AJ81" s="87">
        <v>0</v>
      </c>
      <c r="AK81" s="87">
        <v>0</v>
      </c>
      <c r="AL81" s="87">
        <v>0</v>
      </c>
      <c r="AM81" s="87">
        <v>0</v>
      </c>
      <c r="AN81" s="87">
        <v>0</v>
      </c>
      <c r="AO81" s="87">
        <v>0</v>
      </c>
      <c r="AP81" s="87">
        <v>0</v>
      </c>
      <c r="AQ81" s="87">
        <v>0</v>
      </c>
      <c r="AR81" s="87">
        <v>0</v>
      </c>
      <c r="AS81" s="87">
        <v>0</v>
      </c>
      <c r="AT81" s="87">
        <v>0</v>
      </c>
      <c r="AU81" s="87">
        <v>0</v>
      </c>
      <c r="AV81" s="87">
        <v>0</v>
      </c>
      <c r="AW81" s="87">
        <v>0</v>
      </c>
      <c r="AX81" s="87">
        <v>0</v>
      </c>
      <c r="AY81" s="87">
        <v>0</v>
      </c>
      <c r="AZ81" s="87">
        <v>0</v>
      </c>
      <c r="BA81" s="87">
        <v>0</v>
      </c>
      <c r="BB81" s="87">
        <v>0</v>
      </c>
      <c r="BC81" s="87">
        <v>0</v>
      </c>
      <c r="BD81" s="87">
        <v>0</v>
      </c>
      <c r="BE81" s="87">
        <v>0</v>
      </c>
      <c r="BF81" s="87">
        <v>0</v>
      </c>
      <c r="BG81" s="87">
        <v>0</v>
      </c>
      <c r="BH81" s="87">
        <v>0</v>
      </c>
      <c r="BI81" s="87">
        <v>0</v>
      </c>
      <c r="BJ81" s="87">
        <v>0</v>
      </c>
      <c r="BK81" s="87">
        <v>0</v>
      </c>
      <c r="BL81" s="87">
        <v>0</v>
      </c>
      <c r="BM81" s="87">
        <v>0</v>
      </c>
      <c r="BN81" s="87">
        <v>0</v>
      </c>
      <c r="BO81" s="87">
        <v>0</v>
      </c>
      <c r="BP81" s="87">
        <v>0</v>
      </c>
      <c r="BQ81" s="87">
        <v>0</v>
      </c>
      <c r="BR81" s="87">
        <v>0</v>
      </c>
      <c r="BS81" s="87">
        <v>0</v>
      </c>
      <c r="BW81">
        <f>BW80</f>
        <v>232672.48590733891</v>
      </c>
      <c r="BX81">
        <f t="shared" ref="BX81:EI81" si="2">BX80</f>
        <v>34839.716621068001</v>
      </c>
      <c r="BY81">
        <f t="shared" si="2"/>
        <v>371094.06353103736</v>
      </c>
      <c r="BZ81">
        <f t="shared" si="2"/>
        <v>76179.776535406141</v>
      </c>
      <c r="CA81">
        <f t="shared" si="2"/>
        <v>15011.396028380053</v>
      </c>
      <c r="CB81">
        <f t="shared" si="2"/>
        <v>51551.176130883803</v>
      </c>
      <c r="CC81">
        <f t="shared" si="2"/>
        <v>177768.63125311004</v>
      </c>
      <c r="CD81">
        <f t="shared" si="2"/>
        <v>128259.05724192546</v>
      </c>
      <c r="CE81">
        <f t="shared" si="2"/>
        <v>278847.59643141937</v>
      </c>
      <c r="CF81">
        <f t="shared" si="2"/>
        <v>119292.47302789842</v>
      </c>
      <c r="CG81">
        <f t="shared" si="2"/>
        <v>83770.04231671372</v>
      </c>
      <c r="CH81">
        <f t="shared" si="2"/>
        <v>300092.07254081866</v>
      </c>
      <c r="CI81">
        <f t="shared" si="2"/>
        <v>239004.30542355054</v>
      </c>
      <c r="CJ81">
        <f t="shared" si="2"/>
        <v>373508.54190304613</v>
      </c>
      <c r="CK81">
        <f t="shared" si="2"/>
        <v>335805.16136012977</v>
      </c>
      <c r="CL81">
        <f t="shared" si="2"/>
        <v>78625.343120143414</v>
      </c>
      <c r="CM81">
        <f t="shared" si="2"/>
        <v>243781.44385618682</v>
      </c>
      <c r="CN81">
        <f t="shared" si="2"/>
        <v>548861.54802201549</v>
      </c>
      <c r="CO81">
        <f t="shared" si="2"/>
        <v>143806.93864198707</v>
      </c>
      <c r="CP81">
        <f t="shared" si="2"/>
        <v>465205.04703729611</v>
      </c>
      <c r="CQ81">
        <f t="shared" si="2"/>
        <v>342340.40920507541</v>
      </c>
      <c r="CR81">
        <f t="shared" si="2"/>
        <v>216877.32727484047</v>
      </c>
      <c r="CS81">
        <f t="shared" si="2"/>
        <v>202257.42757550368</v>
      </c>
      <c r="CT81">
        <f t="shared" si="2"/>
        <v>45234.347346962793</v>
      </c>
      <c r="CU81">
        <f t="shared" si="2"/>
        <v>46567.357189394708</v>
      </c>
      <c r="CV81">
        <f t="shared" si="2"/>
        <v>174837.79805898081</v>
      </c>
      <c r="CW81">
        <f t="shared" si="2"/>
        <v>280799.51465892419</v>
      </c>
      <c r="CX81">
        <f t="shared" si="2"/>
        <v>535023.54635062267</v>
      </c>
      <c r="CY81">
        <f t="shared" si="2"/>
        <v>559587.29484140966</v>
      </c>
      <c r="CZ81">
        <f t="shared" si="2"/>
        <v>895036.38006964535</v>
      </c>
      <c r="DA81">
        <f t="shared" si="2"/>
        <v>396678.46605921059</v>
      </c>
      <c r="DB81">
        <f t="shared" si="2"/>
        <v>234239.97799612756</v>
      </c>
      <c r="DC81">
        <f t="shared" si="2"/>
        <v>473059.82230215718</v>
      </c>
      <c r="DD81">
        <f t="shared" si="2"/>
        <v>287782.4716443739</v>
      </c>
      <c r="DE81">
        <f t="shared" si="2"/>
        <v>16054.733336787096</v>
      </c>
      <c r="DF81">
        <f t="shared" si="2"/>
        <v>1286310.0508836138</v>
      </c>
      <c r="DG81">
        <f t="shared" si="2"/>
        <v>893143.98897724436</v>
      </c>
      <c r="DH81">
        <f t="shared" si="2"/>
        <v>1623548.423859294</v>
      </c>
      <c r="DI81">
        <f t="shared" si="2"/>
        <v>722831.67721237696</v>
      </c>
      <c r="DJ81">
        <f t="shared" si="2"/>
        <v>107926.25122295273</v>
      </c>
      <c r="DK81">
        <f t="shared" si="2"/>
        <v>242301.8182004696</v>
      </c>
      <c r="DL81">
        <f t="shared" si="2"/>
        <v>659312.97889831674</v>
      </c>
      <c r="DM81">
        <f t="shared" si="2"/>
        <v>524533.04434630182</v>
      </c>
      <c r="DN81">
        <f t="shared" si="2"/>
        <v>1075349.3540120444</v>
      </c>
      <c r="DO81">
        <f t="shared" si="2"/>
        <v>511028.73918927449</v>
      </c>
      <c r="DP81">
        <f t="shared" si="2"/>
        <v>407559.59327890177</v>
      </c>
      <c r="DQ81">
        <f t="shared" si="2"/>
        <v>1569650.1165033495</v>
      </c>
      <c r="DR81">
        <f t="shared" si="2"/>
        <v>957347.05206124531</v>
      </c>
      <c r="DS81">
        <f t="shared" si="2"/>
        <v>3083124.2803492225</v>
      </c>
      <c r="DT81">
        <f t="shared" si="2"/>
        <v>1424345.6888533481</v>
      </c>
      <c r="DU81">
        <f t="shared" si="2"/>
        <v>286432.00777863746</v>
      </c>
      <c r="DV81">
        <f t="shared" si="2"/>
        <v>821100.50361601345</v>
      </c>
      <c r="DW81">
        <f t="shared" si="2"/>
        <v>2299136.698331038</v>
      </c>
      <c r="DX81">
        <f t="shared" si="2"/>
        <v>293014.52491573431</v>
      </c>
      <c r="DY81">
        <f t="shared" si="2"/>
        <v>1915092.0855130535</v>
      </c>
      <c r="DZ81">
        <f t="shared" si="2"/>
        <v>1424598.8141382507</v>
      </c>
      <c r="EA81">
        <f t="shared" si="2"/>
        <v>893807.36194519117</v>
      </c>
      <c r="EB81">
        <f t="shared" si="2"/>
        <v>873045.10770683433</v>
      </c>
      <c r="EC81">
        <f t="shared" si="2"/>
        <v>172667.98047041756</v>
      </c>
      <c r="ED81">
        <f t="shared" si="2"/>
        <v>158275.61400955019</v>
      </c>
      <c r="EE81">
        <f t="shared" si="2"/>
        <v>339889.57649215817</v>
      </c>
      <c r="EF81">
        <f t="shared" si="2"/>
        <v>1066157.8740950515</v>
      </c>
      <c r="EG81">
        <f t="shared" si="2"/>
        <v>2400668.2565451581</v>
      </c>
      <c r="EH81">
        <f t="shared" si="2"/>
        <v>2048167.0876273166</v>
      </c>
      <c r="EI81">
        <f t="shared" si="2"/>
        <v>2607288.2817202033</v>
      </c>
      <c r="EJ81">
        <f t="shared" ref="EJ81:EN81" si="3">EJ80</f>
        <v>2223661.2399123828</v>
      </c>
      <c r="EK81">
        <f t="shared" si="3"/>
        <v>572206.44202303689</v>
      </c>
      <c r="EL81">
        <f t="shared" si="3"/>
        <v>1331605.0107849902</v>
      </c>
      <c r="EM81">
        <f t="shared" si="3"/>
        <v>1055708.2325378691</v>
      </c>
      <c r="EN81">
        <f t="shared" si="3"/>
        <v>13763.763575251673</v>
      </c>
    </row>
    <row r="82" spans="2:144" x14ac:dyDescent="0.35">
      <c r="B82" s="87">
        <v>0</v>
      </c>
      <c r="C82" s="87">
        <v>0</v>
      </c>
      <c r="D82" s="87">
        <v>0</v>
      </c>
      <c r="E82" s="87">
        <v>1</v>
      </c>
      <c r="F82" s="87">
        <v>0</v>
      </c>
      <c r="G82" s="87">
        <v>0</v>
      </c>
      <c r="H82" s="87">
        <v>0</v>
      </c>
      <c r="I82" s="87">
        <v>0</v>
      </c>
      <c r="J82" s="87">
        <v>0</v>
      </c>
      <c r="K82" s="87">
        <v>0</v>
      </c>
      <c r="L82" s="87">
        <v>0</v>
      </c>
      <c r="M82" s="87">
        <v>0</v>
      </c>
      <c r="N82" s="87">
        <v>0</v>
      </c>
      <c r="O82" s="87">
        <v>0</v>
      </c>
      <c r="P82" s="87">
        <v>0</v>
      </c>
      <c r="Q82" s="87">
        <v>0</v>
      </c>
      <c r="R82" s="87">
        <v>0</v>
      </c>
      <c r="S82" s="87">
        <v>0</v>
      </c>
      <c r="T82" s="87">
        <v>0</v>
      </c>
      <c r="U82" s="87">
        <v>0</v>
      </c>
      <c r="V82" s="87">
        <v>0</v>
      </c>
      <c r="W82" s="87">
        <v>0</v>
      </c>
      <c r="X82" s="87">
        <v>0</v>
      </c>
      <c r="Y82" s="87">
        <v>0</v>
      </c>
      <c r="Z82" s="87">
        <v>0</v>
      </c>
      <c r="AA82" s="87">
        <v>0</v>
      </c>
      <c r="AB82" s="87">
        <v>0</v>
      </c>
      <c r="AC82" s="87">
        <v>0</v>
      </c>
      <c r="AD82" s="87">
        <v>0</v>
      </c>
      <c r="AE82" s="87">
        <v>0</v>
      </c>
      <c r="AF82" s="87">
        <v>0</v>
      </c>
      <c r="AG82" s="87">
        <v>0</v>
      </c>
      <c r="AH82" s="87">
        <v>0</v>
      </c>
      <c r="AI82" s="87">
        <v>0</v>
      </c>
      <c r="AJ82" s="87">
        <v>0</v>
      </c>
      <c r="AK82" s="87">
        <v>0</v>
      </c>
      <c r="AL82" s="87">
        <v>0</v>
      </c>
      <c r="AM82" s="87">
        <v>0</v>
      </c>
      <c r="AN82" s="87">
        <v>0</v>
      </c>
      <c r="AO82" s="87">
        <v>0</v>
      </c>
      <c r="AP82" s="87">
        <v>0</v>
      </c>
      <c r="AQ82" s="87">
        <v>0</v>
      </c>
      <c r="AR82" s="87">
        <v>0</v>
      </c>
      <c r="AS82" s="87">
        <v>0</v>
      </c>
      <c r="AT82" s="87">
        <v>0</v>
      </c>
      <c r="AU82" s="87">
        <v>0</v>
      </c>
      <c r="AV82" s="87">
        <v>0</v>
      </c>
      <c r="AW82" s="87">
        <v>0</v>
      </c>
      <c r="AX82" s="87">
        <v>0</v>
      </c>
      <c r="AY82" s="87">
        <v>0</v>
      </c>
      <c r="AZ82" s="87">
        <v>0</v>
      </c>
      <c r="BA82" s="87">
        <v>0</v>
      </c>
      <c r="BB82" s="87">
        <v>0</v>
      </c>
      <c r="BC82" s="87">
        <v>0</v>
      </c>
      <c r="BD82" s="87">
        <v>0</v>
      </c>
      <c r="BE82" s="87">
        <v>0</v>
      </c>
      <c r="BF82" s="87">
        <v>0</v>
      </c>
      <c r="BG82" s="87">
        <v>0</v>
      </c>
      <c r="BH82" s="87">
        <v>0</v>
      </c>
      <c r="BI82" s="87">
        <v>0</v>
      </c>
      <c r="BJ82" s="87">
        <v>0</v>
      </c>
      <c r="BK82" s="87">
        <v>0</v>
      </c>
      <c r="BL82" s="87">
        <v>0</v>
      </c>
      <c r="BM82" s="87">
        <v>0</v>
      </c>
      <c r="BN82" s="87">
        <v>0</v>
      </c>
      <c r="BO82" s="87">
        <v>0</v>
      </c>
      <c r="BP82" s="87">
        <v>0</v>
      </c>
      <c r="BQ82" s="87">
        <v>0</v>
      </c>
      <c r="BR82" s="87">
        <v>0</v>
      </c>
      <c r="BS82" s="87">
        <v>0</v>
      </c>
      <c r="BW82">
        <f t="shared" ref="BW82:BW116" si="4">BW81</f>
        <v>232672.48590733891</v>
      </c>
      <c r="BX82">
        <f t="shared" ref="BX82:BX117" si="5">BX81</f>
        <v>34839.716621068001</v>
      </c>
      <c r="BY82">
        <f t="shared" ref="BY82:BY117" si="6">BY81</f>
        <v>371094.06353103736</v>
      </c>
      <c r="BZ82">
        <f t="shared" ref="BZ82:BZ117" si="7">BZ81</f>
        <v>76179.776535406141</v>
      </c>
      <c r="CA82">
        <f t="shared" ref="CA82:CA117" si="8">CA81</f>
        <v>15011.396028380053</v>
      </c>
      <c r="CB82">
        <f t="shared" ref="CB82:CB117" si="9">CB81</f>
        <v>51551.176130883803</v>
      </c>
      <c r="CC82">
        <f t="shared" ref="CC82:CC117" si="10">CC81</f>
        <v>177768.63125311004</v>
      </c>
      <c r="CD82">
        <f t="shared" ref="CD82:CD117" si="11">CD81</f>
        <v>128259.05724192546</v>
      </c>
      <c r="CE82">
        <f t="shared" ref="CE82:CE117" si="12">CE81</f>
        <v>278847.59643141937</v>
      </c>
      <c r="CF82">
        <f t="shared" ref="CF82:CF117" si="13">CF81</f>
        <v>119292.47302789842</v>
      </c>
      <c r="CG82">
        <f t="shared" ref="CG82:CG117" si="14">CG81</f>
        <v>83770.04231671372</v>
      </c>
      <c r="CH82">
        <f t="shared" ref="CH82:CH117" si="15">CH81</f>
        <v>300092.07254081866</v>
      </c>
      <c r="CI82">
        <f t="shared" ref="CI82:CI117" si="16">CI81</f>
        <v>239004.30542355054</v>
      </c>
      <c r="CJ82">
        <f t="shared" ref="CJ82:CJ117" si="17">CJ81</f>
        <v>373508.54190304613</v>
      </c>
      <c r="CK82">
        <f t="shared" ref="CK82:CK117" si="18">CK81</f>
        <v>335805.16136012977</v>
      </c>
      <c r="CL82">
        <f t="shared" ref="CL82:CL117" si="19">CL81</f>
        <v>78625.343120143414</v>
      </c>
      <c r="CM82">
        <f t="shared" ref="CM82:CM117" si="20">CM81</f>
        <v>243781.44385618682</v>
      </c>
      <c r="CN82">
        <f t="shared" ref="CN82:CN117" si="21">CN81</f>
        <v>548861.54802201549</v>
      </c>
      <c r="CO82">
        <f t="shared" ref="CO82:CO117" si="22">CO81</f>
        <v>143806.93864198707</v>
      </c>
      <c r="CP82">
        <f t="shared" ref="CP82:CP117" si="23">CP81</f>
        <v>465205.04703729611</v>
      </c>
      <c r="CQ82">
        <f t="shared" ref="CQ82:CQ117" si="24">CQ81</f>
        <v>342340.40920507541</v>
      </c>
      <c r="CR82">
        <f t="shared" ref="CR82:CR117" si="25">CR81</f>
        <v>216877.32727484047</v>
      </c>
      <c r="CS82">
        <f t="shared" ref="CS82:CS117" si="26">CS81</f>
        <v>202257.42757550368</v>
      </c>
      <c r="CT82">
        <f t="shared" ref="CT82:CT117" si="27">CT81</f>
        <v>45234.347346962793</v>
      </c>
      <c r="CU82">
        <f t="shared" ref="CU82:CU117" si="28">CU81</f>
        <v>46567.357189394708</v>
      </c>
      <c r="CV82">
        <f t="shared" ref="CV82:CV117" si="29">CV81</f>
        <v>174837.79805898081</v>
      </c>
      <c r="CW82">
        <f t="shared" ref="CW82:CW117" si="30">CW81</f>
        <v>280799.51465892419</v>
      </c>
      <c r="CX82">
        <f t="shared" ref="CX82:CX117" si="31">CX81</f>
        <v>535023.54635062267</v>
      </c>
      <c r="CY82">
        <f t="shared" ref="CY82:CY117" si="32">CY81</f>
        <v>559587.29484140966</v>
      </c>
      <c r="CZ82">
        <f t="shared" ref="CZ82:CZ117" si="33">CZ81</f>
        <v>895036.38006964535</v>
      </c>
      <c r="DA82">
        <f t="shared" ref="DA82:DA117" si="34">DA81</f>
        <v>396678.46605921059</v>
      </c>
      <c r="DB82">
        <f t="shared" ref="DB82:DB117" si="35">DB81</f>
        <v>234239.97799612756</v>
      </c>
      <c r="DC82">
        <f t="shared" ref="DC82:DC117" si="36">DC81</f>
        <v>473059.82230215718</v>
      </c>
      <c r="DD82">
        <f t="shared" ref="DD82:DD117" si="37">DD81</f>
        <v>287782.4716443739</v>
      </c>
      <c r="DE82">
        <f t="shared" ref="DE82:DE117" si="38">DE81</f>
        <v>16054.733336787096</v>
      </c>
      <c r="DF82">
        <f t="shared" ref="DF82:DF117" si="39">DF81</f>
        <v>1286310.0508836138</v>
      </c>
      <c r="DG82">
        <f t="shared" ref="DG82:DG117" si="40">DG81</f>
        <v>893143.98897724436</v>
      </c>
      <c r="DH82">
        <f t="shared" ref="DH82:DH117" si="41">DH81</f>
        <v>1623548.423859294</v>
      </c>
      <c r="DI82">
        <f t="shared" ref="DI82:DI117" si="42">DI81</f>
        <v>722831.67721237696</v>
      </c>
      <c r="DJ82">
        <f t="shared" ref="DJ82:DJ117" si="43">DJ81</f>
        <v>107926.25122295273</v>
      </c>
      <c r="DK82">
        <f t="shared" ref="DK82:DK117" si="44">DK81</f>
        <v>242301.8182004696</v>
      </c>
      <c r="DL82">
        <f t="shared" ref="DL82:DL117" si="45">DL81</f>
        <v>659312.97889831674</v>
      </c>
      <c r="DM82">
        <f t="shared" ref="DM82:DM117" si="46">DM81</f>
        <v>524533.04434630182</v>
      </c>
      <c r="DN82">
        <f t="shared" ref="DN82:DN117" si="47">DN81</f>
        <v>1075349.3540120444</v>
      </c>
      <c r="DO82">
        <f t="shared" ref="DO82:DO117" si="48">DO81</f>
        <v>511028.73918927449</v>
      </c>
      <c r="DP82">
        <f t="shared" ref="DP82:DP117" si="49">DP81</f>
        <v>407559.59327890177</v>
      </c>
      <c r="DQ82">
        <f t="shared" ref="DQ82:DQ117" si="50">DQ81</f>
        <v>1569650.1165033495</v>
      </c>
      <c r="DR82">
        <f t="shared" ref="DR82:DR117" si="51">DR81</f>
        <v>957347.05206124531</v>
      </c>
      <c r="DS82">
        <f t="shared" ref="DS82:DS117" si="52">DS81</f>
        <v>3083124.2803492225</v>
      </c>
      <c r="DT82">
        <f t="shared" ref="DT82:DT117" si="53">DT81</f>
        <v>1424345.6888533481</v>
      </c>
      <c r="DU82">
        <f t="shared" ref="DU82:DU117" si="54">DU81</f>
        <v>286432.00777863746</v>
      </c>
      <c r="DV82">
        <f t="shared" ref="DV82:DV117" si="55">DV81</f>
        <v>821100.50361601345</v>
      </c>
      <c r="DW82">
        <f t="shared" ref="DW82:DW117" si="56">DW81</f>
        <v>2299136.698331038</v>
      </c>
      <c r="DX82">
        <f t="shared" ref="DX82:DX117" si="57">DX81</f>
        <v>293014.52491573431</v>
      </c>
      <c r="DY82">
        <f t="shared" ref="DY82:DY117" si="58">DY81</f>
        <v>1915092.0855130535</v>
      </c>
      <c r="DZ82">
        <f t="shared" ref="DZ82:DZ117" si="59">DZ81</f>
        <v>1424598.8141382507</v>
      </c>
      <c r="EA82">
        <f t="shared" ref="EA82:EA117" si="60">EA81</f>
        <v>893807.36194519117</v>
      </c>
      <c r="EB82">
        <f t="shared" ref="EB82:EB117" si="61">EB81</f>
        <v>873045.10770683433</v>
      </c>
      <c r="EC82">
        <f t="shared" ref="EC82:EC117" si="62">EC81</f>
        <v>172667.98047041756</v>
      </c>
      <c r="ED82">
        <f t="shared" ref="ED82:ED117" si="63">ED81</f>
        <v>158275.61400955019</v>
      </c>
      <c r="EE82">
        <f t="shared" ref="EE82:EE117" si="64">EE81</f>
        <v>339889.57649215817</v>
      </c>
      <c r="EF82">
        <f t="shared" ref="EF82:EF117" si="65">EF81</f>
        <v>1066157.8740950515</v>
      </c>
      <c r="EG82">
        <f t="shared" ref="EG82:EG117" si="66">EG81</f>
        <v>2400668.2565451581</v>
      </c>
      <c r="EH82">
        <f t="shared" ref="EH82:EH117" si="67">EH81</f>
        <v>2048167.0876273166</v>
      </c>
      <c r="EI82">
        <f t="shared" ref="EI82:EI117" si="68">EI81</f>
        <v>2607288.2817202033</v>
      </c>
      <c r="EJ82">
        <f t="shared" ref="EJ82:EJ117" si="69">EJ81</f>
        <v>2223661.2399123828</v>
      </c>
      <c r="EK82">
        <f t="shared" ref="EK82:EK117" si="70">EK81</f>
        <v>572206.44202303689</v>
      </c>
      <c r="EL82">
        <f t="shared" ref="EL82:EL117" si="71">EL81</f>
        <v>1331605.0107849902</v>
      </c>
      <c r="EM82">
        <f t="shared" ref="EM82:EM117" si="72">EM81</f>
        <v>1055708.2325378691</v>
      </c>
      <c r="EN82">
        <f t="shared" ref="EN82:EN117" si="73">EN81</f>
        <v>13763.763575251673</v>
      </c>
    </row>
    <row r="83" spans="2:144" x14ac:dyDescent="0.35">
      <c r="B83" s="87">
        <v>0</v>
      </c>
      <c r="C83" s="87">
        <v>0</v>
      </c>
      <c r="D83" s="87">
        <v>0</v>
      </c>
      <c r="E83" s="87">
        <v>0</v>
      </c>
      <c r="F83" s="87">
        <v>1</v>
      </c>
      <c r="G83" s="87">
        <v>0</v>
      </c>
      <c r="H83" s="87">
        <v>0</v>
      </c>
      <c r="I83" s="87">
        <v>0</v>
      </c>
      <c r="J83" s="87">
        <v>0</v>
      </c>
      <c r="K83" s="87">
        <v>0</v>
      </c>
      <c r="L83" s="87">
        <v>0</v>
      </c>
      <c r="M83" s="87">
        <v>0</v>
      </c>
      <c r="N83" s="87">
        <v>0</v>
      </c>
      <c r="O83" s="87">
        <v>0</v>
      </c>
      <c r="P83" s="87">
        <v>0</v>
      </c>
      <c r="Q83" s="87">
        <v>0</v>
      </c>
      <c r="R83" s="87">
        <v>0</v>
      </c>
      <c r="S83" s="87">
        <v>0</v>
      </c>
      <c r="T83" s="87">
        <v>0</v>
      </c>
      <c r="U83" s="87">
        <v>0</v>
      </c>
      <c r="V83" s="87">
        <v>0</v>
      </c>
      <c r="W83" s="87">
        <v>0</v>
      </c>
      <c r="X83" s="87">
        <v>0</v>
      </c>
      <c r="Y83" s="87">
        <v>0</v>
      </c>
      <c r="Z83" s="87">
        <v>0</v>
      </c>
      <c r="AA83" s="87">
        <v>0</v>
      </c>
      <c r="AB83" s="87">
        <v>0</v>
      </c>
      <c r="AC83" s="87">
        <v>0</v>
      </c>
      <c r="AD83" s="87">
        <v>0</v>
      </c>
      <c r="AE83" s="87">
        <v>0</v>
      </c>
      <c r="AF83" s="87">
        <v>0</v>
      </c>
      <c r="AG83" s="87">
        <v>0</v>
      </c>
      <c r="AH83" s="87">
        <v>0</v>
      </c>
      <c r="AI83" s="87">
        <v>0</v>
      </c>
      <c r="AJ83" s="87">
        <v>0</v>
      </c>
      <c r="AK83" s="87">
        <v>0</v>
      </c>
      <c r="AL83" s="87">
        <v>0</v>
      </c>
      <c r="AM83" s="87">
        <v>0</v>
      </c>
      <c r="AN83" s="87">
        <v>0</v>
      </c>
      <c r="AO83" s="87">
        <v>0</v>
      </c>
      <c r="AP83" s="87">
        <v>0</v>
      </c>
      <c r="AQ83" s="87">
        <v>0</v>
      </c>
      <c r="AR83" s="87">
        <v>0</v>
      </c>
      <c r="AS83" s="87">
        <v>0</v>
      </c>
      <c r="AT83" s="87">
        <v>0</v>
      </c>
      <c r="AU83" s="87">
        <v>0</v>
      </c>
      <c r="AV83" s="87">
        <v>0</v>
      </c>
      <c r="AW83" s="87">
        <v>0</v>
      </c>
      <c r="AX83" s="87">
        <v>0</v>
      </c>
      <c r="AY83" s="87">
        <v>0</v>
      </c>
      <c r="AZ83" s="87">
        <v>0</v>
      </c>
      <c r="BA83" s="87">
        <v>0</v>
      </c>
      <c r="BB83" s="87">
        <v>0</v>
      </c>
      <c r="BC83" s="87">
        <v>0</v>
      </c>
      <c r="BD83" s="87">
        <v>0</v>
      </c>
      <c r="BE83" s="87">
        <v>0</v>
      </c>
      <c r="BF83" s="87">
        <v>0</v>
      </c>
      <c r="BG83" s="87">
        <v>0</v>
      </c>
      <c r="BH83" s="87">
        <v>0</v>
      </c>
      <c r="BI83" s="87">
        <v>0</v>
      </c>
      <c r="BJ83" s="87">
        <v>0</v>
      </c>
      <c r="BK83" s="87">
        <v>0</v>
      </c>
      <c r="BL83" s="87">
        <v>0</v>
      </c>
      <c r="BM83" s="87">
        <v>0</v>
      </c>
      <c r="BN83" s="87">
        <v>0</v>
      </c>
      <c r="BO83" s="87">
        <v>0</v>
      </c>
      <c r="BP83" s="87">
        <v>0</v>
      </c>
      <c r="BQ83" s="87">
        <v>0</v>
      </c>
      <c r="BR83" s="87">
        <v>0</v>
      </c>
      <c r="BS83" s="87">
        <v>0</v>
      </c>
      <c r="BW83">
        <f t="shared" si="4"/>
        <v>232672.48590733891</v>
      </c>
      <c r="BX83">
        <f t="shared" si="5"/>
        <v>34839.716621068001</v>
      </c>
      <c r="BY83">
        <f t="shared" si="6"/>
        <v>371094.06353103736</v>
      </c>
      <c r="BZ83">
        <f t="shared" si="7"/>
        <v>76179.776535406141</v>
      </c>
      <c r="CA83">
        <f t="shared" si="8"/>
        <v>15011.396028380053</v>
      </c>
      <c r="CB83">
        <f t="shared" si="9"/>
        <v>51551.176130883803</v>
      </c>
      <c r="CC83">
        <f t="shared" si="10"/>
        <v>177768.63125311004</v>
      </c>
      <c r="CD83">
        <f t="shared" si="11"/>
        <v>128259.05724192546</v>
      </c>
      <c r="CE83">
        <f t="shared" si="12"/>
        <v>278847.59643141937</v>
      </c>
      <c r="CF83">
        <f t="shared" si="13"/>
        <v>119292.47302789842</v>
      </c>
      <c r="CG83">
        <f t="shared" si="14"/>
        <v>83770.04231671372</v>
      </c>
      <c r="CH83">
        <f t="shared" si="15"/>
        <v>300092.07254081866</v>
      </c>
      <c r="CI83">
        <f t="shared" si="16"/>
        <v>239004.30542355054</v>
      </c>
      <c r="CJ83">
        <f t="shared" si="17"/>
        <v>373508.54190304613</v>
      </c>
      <c r="CK83">
        <f t="shared" si="18"/>
        <v>335805.16136012977</v>
      </c>
      <c r="CL83">
        <f t="shared" si="19"/>
        <v>78625.343120143414</v>
      </c>
      <c r="CM83">
        <f t="shared" si="20"/>
        <v>243781.44385618682</v>
      </c>
      <c r="CN83">
        <f t="shared" si="21"/>
        <v>548861.54802201549</v>
      </c>
      <c r="CO83">
        <f t="shared" si="22"/>
        <v>143806.93864198707</v>
      </c>
      <c r="CP83">
        <f t="shared" si="23"/>
        <v>465205.04703729611</v>
      </c>
      <c r="CQ83">
        <f t="shared" si="24"/>
        <v>342340.40920507541</v>
      </c>
      <c r="CR83">
        <f t="shared" si="25"/>
        <v>216877.32727484047</v>
      </c>
      <c r="CS83">
        <f t="shared" si="26"/>
        <v>202257.42757550368</v>
      </c>
      <c r="CT83">
        <f t="shared" si="27"/>
        <v>45234.347346962793</v>
      </c>
      <c r="CU83">
        <f t="shared" si="28"/>
        <v>46567.357189394708</v>
      </c>
      <c r="CV83">
        <f t="shared" si="29"/>
        <v>174837.79805898081</v>
      </c>
      <c r="CW83">
        <f t="shared" si="30"/>
        <v>280799.51465892419</v>
      </c>
      <c r="CX83">
        <f t="shared" si="31"/>
        <v>535023.54635062267</v>
      </c>
      <c r="CY83">
        <f t="shared" si="32"/>
        <v>559587.29484140966</v>
      </c>
      <c r="CZ83">
        <f t="shared" si="33"/>
        <v>895036.38006964535</v>
      </c>
      <c r="DA83">
        <f t="shared" si="34"/>
        <v>396678.46605921059</v>
      </c>
      <c r="DB83">
        <f t="shared" si="35"/>
        <v>234239.97799612756</v>
      </c>
      <c r="DC83">
        <f t="shared" si="36"/>
        <v>473059.82230215718</v>
      </c>
      <c r="DD83">
        <f t="shared" si="37"/>
        <v>287782.4716443739</v>
      </c>
      <c r="DE83">
        <f t="shared" si="38"/>
        <v>16054.733336787096</v>
      </c>
      <c r="DF83">
        <f t="shared" si="39"/>
        <v>1286310.0508836138</v>
      </c>
      <c r="DG83">
        <f t="shared" si="40"/>
        <v>893143.98897724436</v>
      </c>
      <c r="DH83">
        <f t="shared" si="41"/>
        <v>1623548.423859294</v>
      </c>
      <c r="DI83">
        <f t="shared" si="42"/>
        <v>722831.67721237696</v>
      </c>
      <c r="DJ83">
        <f t="shared" si="43"/>
        <v>107926.25122295273</v>
      </c>
      <c r="DK83">
        <f t="shared" si="44"/>
        <v>242301.8182004696</v>
      </c>
      <c r="DL83">
        <f t="shared" si="45"/>
        <v>659312.97889831674</v>
      </c>
      <c r="DM83">
        <f t="shared" si="46"/>
        <v>524533.04434630182</v>
      </c>
      <c r="DN83">
        <f t="shared" si="47"/>
        <v>1075349.3540120444</v>
      </c>
      <c r="DO83">
        <f t="shared" si="48"/>
        <v>511028.73918927449</v>
      </c>
      <c r="DP83">
        <f t="shared" si="49"/>
        <v>407559.59327890177</v>
      </c>
      <c r="DQ83">
        <f t="shared" si="50"/>
        <v>1569650.1165033495</v>
      </c>
      <c r="DR83">
        <f t="shared" si="51"/>
        <v>957347.05206124531</v>
      </c>
      <c r="DS83">
        <f t="shared" si="52"/>
        <v>3083124.2803492225</v>
      </c>
      <c r="DT83">
        <f t="shared" si="53"/>
        <v>1424345.6888533481</v>
      </c>
      <c r="DU83">
        <f t="shared" si="54"/>
        <v>286432.00777863746</v>
      </c>
      <c r="DV83">
        <f t="shared" si="55"/>
        <v>821100.50361601345</v>
      </c>
      <c r="DW83">
        <f t="shared" si="56"/>
        <v>2299136.698331038</v>
      </c>
      <c r="DX83">
        <f t="shared" si="57"/>
        <v>293014.52491573431</v>
      </c>
      <c r="DY83">
        <f t="shared" si="58"/>
        <v>1915092.0855130535</v>
      </c>
      <c r="DZ83">
        <f t="shared" si="59"/>
        <v>1424598.8141382507</v>
      </c>
      <c r="EA83">
        <f t="shared" si="60"/>
        <v>893807.36194519117</v>
      </c>
      <c r="EB83">
        <f t="shared" si="61"/>
        <v>873045.10770683433</v>
      </c>
      <c r="EC83">
        <f t="shared" si="62"/>
        <v>172667.98047041756</v>
      </c>
      <c r="ED83">
        <f t="shared" si="63"/>
        <v>158275.61400955019</v>
      </c>
      <c r="EE83">
        <f t="shared" si="64"/>
        <v>339889.57649215817</v>
      </c>
      <c r="EF83">
        <f t="shared" si="65"/>
        <v>1066157.8740950515</v>
      </c>
      <c r="EG83">
        <f t="shared" si="66"/>
        <v>2400668.2565451581</v>
      </c>
      <c r="EH83">
        <f t="shared" si="67"/>
        <v>2048167.0876273166</v>
      </c>
      <c r="EI83">
        <f t="shared" si="68"/>
        <v>2607288.2817202033</v>
      </c>
      <c r="EJ83">
        <f t="shared" si="69"/>
        <v>2223661.2399123828</v>
      </c>
      <c r="EK83">
        <f t="shared" si="70"/>
        <v>572206.44202303689</v>
      </c>
      <c r="EL83">
        <f t="shared" si="71"/>
        <v>1331605.0107849902</v>
      </c>
      <c r="EM83">
        <f t="shared" si="72"/>
        <v>1055708.2325378691</v>
      </c>
      <c r="EN83">
        <f t="shared" si="73"/>
        <v>13763.763575251673</v>
      </c>
    </row>
    <row r="84" spans="2:144" x14ac:dyDescent="0.35">
      <c r="B84" s="87">
        <v>0</v>
      </c>
      <c r="C84" s="87">
        <v>0</v>
      </c>
      <c r="D84" s="87">
        <v>0</v>
      </c>
      <c r="E84" s="87">
        <v>0</v>
      </c>
      <c r="F84" s="87">
        <v>0</v>
      </c>
      <c r="G84" s="87">
        <v>1</v>
      </c>
      <c r="H84" s="87">
        <v>0</v>
      </c>
      <c r="I84" s="87">
        <v>0</v>
      </c>
      <c r="J84" s="87">
        <v>0</v>
      </c>
      <c r="K84" s="87">
        <v>0</v>
      </c>
      <c r="L84" s="87">
        <v>0</v>
      </c>
      <c r="M84" s="87">
        <v>0</v>
      </c>
      <c r="N84" s="87">
        <v>0</v>
      </c>
      <c r="O84" s="87">
        <v>0</v>
      </c>
      <c r="P84" s="87">
        <v>0</v>
      </c>
      <c r="Q84" s="87">
        <v>0</v>
      </c>
      <c r="R84" s="87">
        <v>0</v>
      </c>
      <c r="S84" s="87">
        <v>0</v>
      </c>
      <c r="T84" s="87">
        <v>0</v>
      </c>
      <c r="U84" s="87">
        <v>0</v>
      </c>
      <c r="V84" s="87">
        <v>0</v>
      </c>
      <c r="W84" s="87">
        <v>0</v>
      </c>
      <c r="X84" s="87">
        <v>0</v>
      </c>
      <c r="Y84" s="87">
        <v>0</v>
      </c>
      <c r="Z84" s="87">
        <v>0</v>
      </c>
      <c r="AA84" s="87">
        <v>0</v>
      </c>
      <c r="AB84" s="87">
        <v>0</v>
      </c>
      <c r="AC84" s="87">
        <v>0</v>
      </c>
      <c r="AD84" s="87">
        <v>0</v>
      </c>
      <c r="AE84" s="87">
        <v>0</v>
      </c>
      <c r="AF84" s="87">
        <v>0</v>
      </c>
      <c r="AG84" s="87">
        <v>0</v>
      </c>
      <c r="AH84" s="87">
        <v>0</v>
      </c>
      <c r="AI84" s="87">
        <v>0</v>
      </c>
      <c r="AJ84" s="87">
        <v>0</v>
      </c>
      <c r="AK84" s="87">
        <v>0</v>
      </c>
      <c r="AL84" s="87">
        <v>0</v>
      </c>
      <c r="AM84" s="87">
        <v>0</v>
      </c>
      <c r="AN84" s="87">
        <v>0</v>
      </c>
      <c r="AO84" s="87">
        <v>0</v>
      </c>
      <c r="AP84" s="87">
        <v>0</v>
      </c>
      <c r="AQ84" s="87">
        <v>0</v>
      </c>
      <c r="AR84" s="87">
        <v>0</v>
      </c>
      <c r="AS84" s="87">
        <v>0</v>
      </c>
      <c r="AT84" s="87">
        <v>0</v>
      </c>
      <c r="AU84" s="87">
        <v>0</v>
      </c>
      <c r="AV84" s="87">
        <v>0</v>
      </c>
      <c r="AW84" s="87">
        <v>0</v>
      </c>
      <c r="AX84" s="87">
        <v>0</v>
      </c>
      <c r="AY84" s="87">
        <v>0</v>
      </c>
      <c r="AZ84" s="87">
        <v>0</v>
      </c>
      <c r="BA84" s="87">
        <v>0</v>
      </c>
      <c r="BB84" s="87">
        <v>0</v>
      </c>
      <c r="BC84" s="87">
        <v>0</v>
      </c>
      <c r="BD84" s="87">
        <v>0</v>
      </c>
      <c r="BE84" s="87">
        <v>0</v>
      </c>
      <c r="BF84" s="87">
        <v>0</v>
      </c>
      <c r="BG84" s="87">
        <v>0</v>
      </c>
      <c r="BH84" s="87">
        <v>0</v>
      </c>
      <c r="BI84" s="87">
        <v>0</v>
      </c>
      <c r="BJ84" s="87">
        <v>0</v>
      </c>
      <c r="BK84" s="87">
        <v>0</v>
      </c>
      <c r="BL84" s="87">
        <v>0</v>
      </c>
      <c r="BM84" s="87">
        <v>0</v>
      </c>
      <c r="BN84" s="87">
        <v>0</v>
      </c>
      <c r="BO84" s="87">
        <v>0</v>
      </c>
      <c r="BP84" s="87">
        <v>0</v>
      </c>
      <c r="BQ84" s="87">
        <v>0</v>
      </c>
      <c r="BR84" s="87">
        <v>0</v>
      </c>
      <c r="BS84" s="87">
        <v>0</v>
      </c>
      <c r="BW84">
        <f t="shared" si="4"/>
        <v>232672.48590733891</v>
      </c>
      <c r="BX84">
        <f t="shared" si="5"/>
        <v>34839.716621068001</v>
      </c>
      <c r="BY84">
        <f t="shared" si="6"/>
        <v>371094.06353103736</v>
      </c>
      <c r="BZ84">
        <f t="shared" si="7"/>
        <v>76179.776535406141</v>
      </c>
      <c r="CA84">
        <f t="shared" si="8"/>
        <v>15011.396028380053</v>
      </c>
      <c r="CB84">
        <f t="shared" si="9"/>
        <v>51551.176130883803</v>
      </c>
      <c r="CC84">
        <f t="shared" si="10"/>
        <v>177768.63125311004</v>
      </c>
      <c r="CD84">
        <f t="shared" si="11"/>
        <v>128259.05724192546</v>
      </c>
      <c r="CE84">
        <f t="shared" si="12"/>
        <v>278847.59643141937</v>
      </c>
      <c r="CF84">
        <f t="shared" si="13"/>
        <v>119292.47302789842</v>
      </c>
      <c r="CG84">
        <f t="shared" si="14"/>
        <v>83770.04231671372</v>
      </c>
      <c r="CH84">
        <f t="shared" si="15"/>
        <v>300092.07254081866</v>
      </c>
      <c r="CI84">
        <f t="shared" si="16"/>
        <v>239004.30542355054</v>
      </c>
      <c r="CJ84">
        <f t="shared" si="17"/>
        <v>373508.54190304613</v>
      </c>
      <c r="CK84">
        <f t="shared" si="18"/>
        <v>335805.16136012977</v>
      </c>
      <c r="CL84">
        <f t="shared" si="19"/>
        <v>78625.343120143414</v>
      </c>
      <c r="CM84">
        <f t="shared" si="20"/>
        <v>243781.44385618682</v>
      </c>
      <c r="CN84">
        <f t="shared" si="21"/>
        <v>548861.54802201549</v>
      </c>
      <c r="CO84">
        <f t="shared" si="22"/>
        <v>143806.93864198707</v>
      </c>
      <c r="CP84">
        <f t="shared" si="23"/>
        <v>465205.04703729611</v>
      </c>
      <c r="CQ84">
        <f t="shared" si="24"/>
        <v>342340.40920507541</v>
      </c>
      <c r="CR84">
        <f t="shared" si="25"/>
        <v>216877.32727484047</v>
      </c>
      <c r="CS84">
        <f t="shared" si="26"/>
        <v>202257.42757550368</v>
      </c>
      <c r="CT84">
        <f t="shared" si="27"/>
        <v>45234.347346962793</v>
      </c>
      <c r="CU84">
        <f t="shared" si="28"/>
        <v>46567.357189394708</v>
      </c>
      <c r="CV84">
        <f t="shared" si="29"/>
        <v>174837.79805898081</v>
      </c>
      <c r="CW84">
        <f t="shared" si="30"/>
        <v>280799.51465892419</v>
      </c>
      <c r="CX84">
        <f t="shared" si="31"/>
        <v>535023.54635062267</v>
      </c>
      <c r="CY84">
        <f t="shared" si="32"/>
        <v>559587.29484140966</v>
      </c>
      <c r="CZ84">
        <f t="shared" si="33"/>
        <v>895036.38006964535</v>
      </c>
      <c r="DA84">
        <f t="shared" si="34"/>
        <v>396678.46605921059</v>
      </c>
      <c r="DB84">
        <f t="shared" si="35"/>
        <v>234239.97799612756</v>
      </c>
      <c r="DC84">
        <f t="shared" si="36"/>
        <v>473059.82230215718</v>
      </c>
      <c r="DD84">
        <f t="shared" si="37"/>
        <v>287782.4716443739</v>
      </c>
      <c r="DE84">
        <f t="shared" si="38"/>
        <v>16054.733336787096</v>
      </c>
      <c r="DF84">
        <f t="shared" si="39"/>
        <v>1286310.0508836138</v>
      </c>
      <c r="DG84">
        <f t="shared" si="40"/>
        <v>893143.98897724436</v>
      </c>
      <c r="DH84">
        <f t="shared" si="41"/>
        <v>1623548.423859294</v>
      </c>
      <c r="DI84">
        <f t="shared" si="42"/>
        <v>722831.67721237696</v>
      </c>
      <c r="DJ84">
        <f t="shared" si="43"/>
        <v>107926.25122295273</v>
      </c>
      <c r="DK84">
        <f t="shared" si="44"/>
        <v>242301.8182004696</v>
      </c>
      <c r="DL84">
        <f t="shared" si="45"/>
        <v>659312.97889831674</v>
      </c>
      <c r="DM84">
        <f t="shared" si="46"/>
        <v>524533.04434630182</v>
      </c>
      <c r="DN84">
        <f t="shared" si="47"/>
        <v>1075349.3540120444</v>
      </c>
      <c r="DO84">
        <f t="shared" si="48"/>
        <v>511028.73918927449</v>
      </c>
      <c r="DP84">
        <f t="shared" si="49"/>
        <v>407559.59327890177</v>
      </c>
      <c r="DQ84">
        <f t="shared" si="50"/>
        <v>1569650.1165033495</v>
      </c>
      <c r="DR84">
        <f t="shared" si="51"/>
        <v>957347.05206124531</v>
      </c>
      <c r="DS84">
        <f t="shared" si="52"/>
        <v>3083124.2803492225</v>
      </c>
      <c r="DT84">
        <f t="shared" si="53"/>
        <v>1424345.6888533481</v>
      </c>
      <c r="DU84">
        <f t="shared" si="54"/>
        <v>286432.00777863746</v>
      </c>
      <c r="DV84">
        <f t="shared" si="55"/>
        <v>821100.50361601345</v>
      </c>
      <c r="DW84">
        <f t="shared" si="56"/>
        <v>2299136.698331038</v>
      </c>
      <c r="DX84">
        <f t="shared" si="57"/>
        <v>293014.52491573431</v>
      </c>
      <c r="DY84">
        <f t="shared" si="58"/>
        <v>1915092.0855130535</v>
      </c>
      <c r="DZ84">
        <f t="shared" si="59"/>
        <v>1424598.8141382507</v>
      </c>
      <c r="EA84">
        <f t="shared" si="60"/>
        <v>893807.36194519117</v>
      </c>
      <c r="EB84">
        <f t="shared" si="61"/>
        <v>873045.10770683433</v>
      </c>
      <c r="EC84">
        <f t="shared" si="62"/>
        <v>172667.98047041756</v>
      </c>
      <c r="ED84">
        <f t="shared" si="63"/>
        <v>158275.61400955019</v>
      </c>
      <c r="EE84">
        <f t="shared" si="64"/>
        <v>339889.57649215817</v>
      </c>
      <c r="EF84">
        <f t="shared" si="65"/>
        <v>1066157.8740950515</v>
      </c>
      <c r="EG84">
        <f t="shared" si="66"/>
        <v>2400668.2565451581</v>
      </c>
      <c r="EH84">
        <f t="shared" si="67"/>
        <v>2048167.0876273166</v>
      </c>
      <c r="EI84">
        <f t="shared" si="68"/>
        <v>2607288.2817202033</v>
      </c>
      <c r="EJ84">
        <f t="shared" si="69"/>
        <v>2223661.2399123828</v>
      </c>
      <c r="EK84">
        <f t="shared" si="70"/>
        <v>572206.44202303689</v>
      </c>
      <c r="EL84">
        <f t="shared" si="71"/>
        <v>1331605.0107849902</v>
      </c>
      <c r="EM84">
        <f t="shared" si="72"/>
        <v>1055708.2325378691</v>
      </c>
      <c r="EN84">
        <f t="shared" si="73"/>
        <v>13763.763575251673</v>
      </c>
    </row>
    <row r="85" spans="2:144" x14ac:dyDescent="0.35">
      <c r="B85" s="87">
        <v>0</v>
      </c>
      <c r="C85" s="87">
        <v>0</v>
      </c>
      <c r="D85" s="87">
        <v>0</v>
      </c>
      <c r="E85" s="87">
        <v>0</v>
      </c>
      <c r="F85" s="87">
        <v>0</v>
      </c>
      <c r="G85" s="87">
        <v>0</v>
      </c>
      <c r="H85" s="87">
        <v>1</v>
      </c>
      <c r="I85" s="87">
        <v>0</v>
      </c>
      <c r="J85" s="87">
        <v>0</v>
      </c>
      <c r="K85" s="87">
        <v>0</v>
      </c>
      <c r="L85" s="87">
        <v>0</v>
      </c>
      <c r="M85" s="87">
        <v>0</v>
      </c>
      <c r="N85" s="87">
        <v>0</v>
      </c>
      <c r="O85" s="87">
        <v>0</v>
      </c>
      <c r="P85" s="87">
        <v>0</v>
      </c>
      <c r="Q85" s="87">
        <v>0</v>
      </c>
      <c r="R85" s="87">
        <v>0</v>
      </c>
      <c r="S85" s="87">
        <v>0</v>
      </c>
      <c r="T85" s="87">
        <v>0</v>
      </c>
      <c r="U85" s="87">
        <v>0</v>
      </c>
      <c r="V85" s="87">
        <v>0</v>
      </c>
      <c r="W85" s="87">
        <v>0</v>
      </c>
      <c r="X85" s="87">
        <v>0</v>
      </c>
      <c r="Y85" s="87">
        <v>0</v>
      </c>
      <c r="Z85" s="87">
        <v>0</v>
      </c>
      <c r="AA85" s="87">
        <v>0</v>
      </c>
      <c r="AB85" s="87">
        <v>0</v>
      </c>
      <c r="AC85" s="87">
        <v>0</v>
      </c>
      <c r="AD85" s="87">
        <v>0</v>
      </c>
      <c r="AE85" s="87">
        <v>0</v>
      </c>
      <c r="AF85" s="87">
        <v>0</v>
      </c>
      <c r="AG85" s="87">
        <v>0</v>
      </c>
      <c r="AH85" s="87">
        <v>0</v>
      </c>
      <c r="AI85" s="87">
        <v>0</v>
      </c>
      <c r="AJ85" s="87">
        <v>0</v>
      </c>
      <c r="AK85" s="87">
        <v>0</v>
      </c>
      <c r="AL85" s="87">
        <v>0</v>
      </c>
      <c r="AM85" s="87">
        <v>0</v>
      </c>
      <c r="AN85" s="87">
        <v>0</v>
      </c>
      <c r="AO85" s="87">
        <v>0</v>
      </c>
      <c r="AP85" s="87">
        <v>0</v>
      </c>
      <c r="AQ85" s="87">
        <v>0</v>
      </c>
      <c r="AR85" s="87">
        <v>0</v>
      </c>
      <c r="AS85" s="87">
        <v>0</v>
      </c>
      <c r="AT85" s="87">
        <v>0</v>
      </c>
      <c r="AU85" s="87">
        <v>0</v>
      </c>
      <c r="AV85" s="87">
        <v>0</v>
      </c>
      <c r="AW85" s="87">
        <v>0</v>
      </c>
      <c r="AX85" s="87">
        <v>0</v>
      </c>
      <c r="AY85" s="87">
        <v>0</v>
      </c>
      <c r="AZ85" s="87">
        <v>0</v>
      </c>
      <c r="BA85" s="87">
        <v>0</v>
      </c>
      <c r="BB85" s="87">
        <v>0</v>
      </c>
      <c r="BC85" s="87">
        <v>0</v>
      </c>
      <c r="BD85" s="87">
        <v>0</v>
      </c>
      <c r="BE85" s="87">
        <v>0</v>
      </c>
      <c r="BF85" s="87">
        <v>0</v>
      </c>
      <c r="BG85" s="87">
        <v>0</v>
      </c>
      <c r="BH85" s="87">
        <v>0</v>
      </c>
      <c r="BI85" s="87">
        <v>0</v>
      </c>
      <c r="BJ85" s="87">
        <v>0</v>
      </c>
      <c r="BK85" s="87">
        <v>0</v>
      </c>
      <c r="BL85" s="87">
        <v>0</v>
      </c>
      <c r="BM85" s="87">
        <v>0</v>
      </c>
      <c r="BN85" s="87">
        <v>0</v>
      </c>
      <c r="BO85" s="87">
        <v>0</v>
      </c>
      <c r="BP85" s="87">
        <v>0</v>
      </c>
      <c r="BQ85" s="87">
        <v>0</v>
      </c>
      <c r="BR85" s="87">
        <v>0</v>
      </c>
      <c r="BS85" s="87">
        <v>0</v>
      </c>
      <c r="BW85">
        <f t="shared" si="4"/>
        <v>232672.48590733891</v>
      </c>
      <c r="BX85">
        <f t="shared" si="5"/>
        <v>34839.716621068001</v>
      </c>
      <c r="BY85">
        <f t="shared" si="6"/>
        <v>371094.06353103736</v>
      </c>
      <c r="BZ85">
        <f t="shared" si="7"/>
        <v>76179.776535406141</v>
      </c>
      <c r="CA85">
        <f t="shared" si="8"/>
        <v>15011.396028380053</v>
      </c>
      <c r="CB85">
        <f t="shared" si="9"/>
        <v>51551.176130883803</v>
      </c>
      <c r="CC85">
        <f t="shared" si="10"/>
        <v>177768.63125311004</v>
      </c>
      <c r="CD85">
        <f t="shared" si="11"/>
        <v>128259.05724192546</v>
      </c>
      <c r="CE85">
        <f t="shared" si="12"/>
        <v>278847.59643141937</v>
      </c>
      <c r="CF85">
        <f t="shared" si="13"/>
        <v>119292.47302789842</v>
      </c>
      <c r="CG85">
        <f t="shared" si="14"/>
        <v>83770.04231671372</v>
      </c>
      <c r="CH85">
        <f t="shared" si="15"/>
        <v>300092.07254081866</v>
      </c>
      <c r="CI85">
        <f t="shared" si="16"/>
        <v>239004.30542355054</v>
      </c>
      <c r="CJ85">
        <f t="shared" si="17"/>
        <v>373508.54190304613</v>
      </c>
      <c r="CK85">
        <f t="shared" si="18"/>
        <v>335805.16136012977</v>
      </c>
      <c r="CL85">
        <f t="shared" si="19"/>
        <v>78625.343120143414</v>
      </c>
      <c r="CM85">
        <f t="shared" si="20"/>
        <v>243781.44385618682</v>
      </c>
      <c r="CN85">
        <f t="shared" si="21"/>
        <v>548861.54802201549</v>
      </c>
      <c r="CO85">
        <f t="shared" si="22"/>
        <v>143806.93864198707</v>
      </c>
      <c r="CP85">
        <f t="shared" si="23"/>
        <v>465205.04703729611</v>
      </c>
      <c r="CQ85">
        <f t="shared" si="24"/>
        <v>342340.40920507541</v>
      </c>
      <c r="CR85">
        <f t="shared" si="25"/>
        <v>216877.32727484047</v>
      </c>
      <c r="CS85">
        <f t="shared" si="26"/>
        <v>202257.42757550368</v>
      </c>
      <c r="CT85">
        <f t="shared" si="27"/>
        <v>45234.347346962793</v>
      </c>
      <c r="CU85">
        <f t="shared" si="28"/>
        <v>46567.357189394708</v>
      </c>
      <c r="CV85">
        <f t="shared" si="29"/>
        <v>174837.79805898081</v>
      </c>
      <c r="CW85">
        <f t="shared" si="30"/>
        <v>280799.51465892419</v>
      </c>
      <c r="CX85">
        <f t="shared" si="31"/>
        <v>535023.54635062267</v>
      </c>
      <c r="CY85">
        <f t="shared" si="32"/>
        <v>559587.29484140966</v>
      </c>
      <c r="CZ85">
        <f t="shared" si="33"/>
        <v>895036.38006964535</v>
      </c>
      <c r="DA85">
        <f t="shared" si="34"/>
        <v>396678.46605921059</v>
      </c>
      <c r="DB85">
        <f t="shared" si="35"/>
        <v>234239.97799612756</v>
      </c>
      <c r="DC85">
        <f t="shared" si="36"/>
        <v>473059.82230215718</v>
      </c>
      <c r="DD85">
        <f t="shared" si="37"/>
        <v>287782.4716443739</v>
      </c>
      <c r="DE85">
        <f t="shared" si="38"/>
        <v>16054.733336787096</v>
      </c>
      <c r="DF85">
        <f t="shared" si="39"/>
        <v>1286310.0508836138</v>
      </c>
      <c r="DG85">
        <f t="shared" si="40"/>
        <v>893143.98897724436</v>
      </c>
      <c r="DH85">
        <f t="shared" si="41"/>
        <v>1623548.423859294</v>
      </c>
      <c r="DI85">
        <f t="shared" si="42"/>
        <v>722831.67721237696</v>
      </c>
      <c r="DJ85">
        <f t="shared" si="43"/>
        <v>107926.25122295273</v>
      </c>
      <c r="DK85">
        <f t="shared" si="44"/>
        <v>242301.8182004696</v>
      </c>
      <c r="DL85">
        <f t="shared" si="45"/>
        <v>659312.97889831674</v>
      </c>
      <c r="DM85">
        <f t="shared" si="46"/>
        <v>524533.04434630182</v>
      </c>
      <c r="DN85">
        <f t="shared" si="47"/>
        <v>1075349.3540120444</v>
      </c>
      <c r="DO85">
        <f t="shared" si="48"/>
        <v>511028.73918927449</v>
      </c>
      <c r="DP85">
        <f t="shared" si="49"/>
        <v>407559.59327890177</v>
      </c>
      <c r="DQ85">
        <f t="shared" si="50"/>
        <v>1569650.1165033495</v>
      </c>
      <c r="DR85">
        <f t="shared" si="51"/>
        <v>957347.05206124531</v>
      </c>
      <c r="DS85">
        <f t="shared" si="52"/>
        <v>3083124.2803492225</v>
      </c>
      <c r="DT85">
        <f t="shared" si="53"/>
        <v>1424345.6888533481</v>
      </c>
      <c r="DU85">
        <f t="shared" si="54"/>
        <v>286432.00777863746</v>
      </c>
      <c r="DV85">
        <f t="shared" si="55"/>
        <v>821100.50361601345</v>
      </c>
      <c r="DW85">
        <f t="shared" si="56"/>
        <v>2299136.698331038</v>
      </c>
      <c r="DX85">
        <f t="shared" si="57"/>
        <v>293014.52491573431</v>
      </c>
      <c r="DY85">
        <f t="shared" si="58"/>
        <v>1915092.0855130535</v>
      </c>
      <c r="DZ85">
        <f t="shared" si="59"/>
        <v>1424598.8141382507</v>
      </c>
      <c r="EA85">
        <f t="shared" si="60"/>
        <v>893807.36194519117</v>
      </c>
      <c r="EB85">
        <f t="shared" si="61"/>
        <v>873045.10770683433</v>
      </c>
      <c r="EC85">
        <f t="shared" si="62"/>
        <v>172667.98047041756</v>
      </c>
      <c r="ED85">
        <f t="shared" si="63"/>
        <v>158275.61400955019</v>
      </c>
      <c r="EE85">
        <f t="shared" si="64"/>
        <v>339889.57649215817</v>
      </c>
      <c r="EF85">
        <f t="shared" si="65"/>
        <v>1066157.8740950515</v>
      </c>
      <c r="EG85">
        <f t="shared" si="66"/>
        <v>2400668.2565451581</v>
      </c>
      <c r="EH85">
        <f t="shared" si="67"/>
        <v>2048167.0876273166</v>
      </c>
      <c r="EI85">
        <f t="shared" si="68"/>
        <v>2607288.2817202033</v>
      </c>
      <c r="EJ85">
        <f t="shared" si="69"/>
        <v>2223661.2399123828</v>
      </c>
      <c r="EK85">
        <f t="shared" si="70"/>
        <v>572206.44202303689</v>
      </c>
      <c r="EL85">
        <f t="shared" si="71"/>
        <v>1331605.0107849902</v>
      </c>
      <c r="EM85">
        <f t="shared" si="72"/>
        <v>1055708.2325378691</v>
      </c>
      <c r="EN85">
        <f t="shared" si="73"/>
        <v>13763.763575251673</v>
      </c>
    </row>
    <row r="86" spans="2:144" x14ac:dyDescent="0.35">
      <c r="B86" s="87">
        <v>0</v>
      </c>
      <c r="C86" s="87">
        <v>0</v>
      </c>
      <c r="D86" s="87">
        <v>0</v>
      </c>
      <c r="E86" s="87">
        <v>0</v>
      </c>
      <c r="F86" s="87">
        <v>0</v>
      </c>
      <c r="G86" s="87">
        <v>0</v>
      </c>
      <c r="H86" s="87">
        <v>0</v>
      </c>
      <c r="I86" s="87">
        <v>1</v>
      </c>
      <c r="J86" s="87">
        <v>0</v>
      </c>
      <c r="K86" s="87">
        <v>0</v>
      </c>
      <c r="L86" s="87">
        <v>0</v>
      </c>
      <c r="M86" s="87">
        <v>0</v>
      </c>
      <c r="N86" s="87">
        <v>0</v>
      </c>
      <c r="O86" s="87">
        <v>0</v>
      </c>
      <c r="P86" s="87">
        <v>0</v>
      </c>
      <c r="Q86" s="87">
        <v>0</v>
      </c>
      <c r="R86" s="87">
        <v>0</v>
      </c>
      <c r="S86" s="87">
        <v>0</v>
      </c>
      <c r="T86" s="87">
        <v>0</v>
      </c>
      <c r="U86" s="87">
        <v>0</v>
      </c>
      <c r="V86" s="87">
        <v>0</v>
      </c>
      <c r="W86" s="87">
        <v>0</v>
      </c>
      <c r="X86" s="87">
        <v>0</v>
      </c>
      <c r="Y86" s="87">
        <v>0</v>
      </c>
      <c r="Z86" s="87">
        <v>0</v>
      </c>
      <c r="AA86" s="87">
        <v>0</v>
      </c>
      <c r="AB86" s="87">
        <v>0</v>
      </c>
      <c r="AC86" s="87">
        <v>0</v>
      </c>
      <c r="AD86" s="87">
        <v>0</v>
      </c>
      <c r="AE86" s="87">
        <v>0</v>
      </c>
      <c r="AF86" s="87">
        <v>0</v>
      </c>
      <c r="AG86" s="87">
        <v>0</v>
      </c>
      <c r="AH86" s="87">
        <v>0</v>
      </c>
      <c r="AI86" s="87">
        <v>0</v>
      </c>
      <c r="AJ86" s="87">
        <v>0</v>
      </c>
      <c r="AK86" s="87">
        <v>0</v>
      </c>
      <c r="AL86" s="87">
        <v>0</v>
      </c>
      <c r="AM86" s="87">
        <v>0</v>
      </c>
      <c r="AN86" s="87">
        <v>0</v>
      </c>
      <c r="AO86" s="87">
        <v>0</v>
      </c>
      <c r="AP86" s="87">
        <v>0</v>
      </c>
      <c r="AQ86" s="87">
        <v>0</v>
      </c>
      <c r="AR86" s="87">
        <v>0</v>
      </c>
      <c r="AS86" s="87">
        <v>0</v>
      </c>
      <c r="AT86" s="87">
        <v>0</v>
      </c>
      <c r="AU86" s="87">
        <v>0</v>
      </c>
      <c r="AV86" s="87">
        <v>0</v>
      </c>
      <c r="AW86" s="87">
        <v>0</v>
      </c>
      <c r="AX86" s="87">
        <v>0</v>
      </c>
      <c r="AY86" s="87">
        <v>0</v>
      </c>
      <c r="AZ86" s="87">
        <v>0</v>
      </c>
      <c r="BA86" s="87">
        <v>0</v>
      </c>
      <c r="BB86" s="87">
        <v>0</v>
      </c>
      <c r="BC86" s="87">
        <v>0</v>
      </c>
      <c r="BD86" s="87">
        <v>0</v>
      </c>
      <c r="BE86" s="87">
        <v>0</v>
      </c>
      <c r="BF86" s="87">
        <v>0</v>
      </c>
      <c r="BG86" s="87">
        <v>0</v>
      </c>
      <c r="BH86" s="87">
        <v>0</v>
      </c>
      <c r="BI86" s="87">
        <v>0</v>
      </c>
      <c r="BJ86" s="87">
        <v>0</v>
      </c>
      <c r="BK86" s="87">
        <v>0</v>
      </c>
      <c r="BL86" s="87">
        <v>0</v>
      </c>
      <c r="BM86" s="87">
        <v>0</v>
      </c>
      <c r="BN86" s="87">
        <v>0</v>
      </c>
      <c r="BO86" s="87">
        <v>0</v>
      </c>
      <c r="BP86" s="87">
        <v>0</v>
      </c>
      <c r="BQ86" s="87">
        <v>0</v>
      </c>
      <c r="BR86" s="87">
        <v>0</v>
      </c>
      <c r="BS86" s="87">
        <v>0</v>
      </c>
      <c r="BW86">
        <f t="shared" si="4"/>
        <v>232672.48590733891</v>
      </c>
      <c r="BX86">
        <f t="shared" si="5"/>
        <v>34839.716621068001</v>
      </c>
      <c r="BY86">
        <f t="shared" si="6"/>
        <v>371094.06353103736</v>
      </c>
      <c r="BZ86">
        <f t="shared" si="7"/>
        <v>76179.776535406141</v>
      </c>
      <c r="CA86">
        <f t="shared" si="8"/>
        <v>15011.396028380053</v>
      </c>
      <c r="CB86">
        <f t="shared" si="9"/>
        <v>51551.176130883803</v>
      </c>
      <c r="CC86">
        <f t="shared" si="10"/>
        <v>177768.63125311004</v>
      </c>
      <c r="CD86">
        <f t="shared" si="11"/>
        <v>128259.05724192546</v>
      </c>
      <c r="CE86">
        <f t="shared" si="12"/>
        <v>278847.59643141937</v>
      </c>
      <c r="CF86">
        <f t="shared" si="13"/>
        <v>119292.47302789842</v>
      </c>
      <c r="CG86">
        <f t="shared" si="14"/>
        <v>83770.04231671372</v>
      </c>
      <c r="CH86">
        <f t="shared" si="15"/>
        <v>300092.07254081866</v>
      </c>
      <c r="CI86">
        <f t="shared" si="16"/>
        <v>239004.30542355054</v>
      </c>
      <c r="CJ86">
        <f t="shared" si="17"/>
        <v>373508.54190304613</v>
      </c>
      <c r="CK86">
        <f t="shared" si="18"/>
        <v>335805.16136012977</v>
      </c>
      <c r="CL86">
        <f t="shared" si="19"/>
        <v>78625.343120143414</v>
      </c>
      <c r="CM86">
        <f t="shared" si="20"/>
        <v>243781.44385618682</v>
      </c>
      <c r="CN86">
        <f t="shared" si="21"/>
        <v>548861.54802201549</v>
      </c>
      <c r="CO86">
        <f t="shared" si="22"/>
        <v>143806.93864198707</v>
      </c>
      <c r="CP86">
        <f t="shared" si="23"/>
        <v>465205.04703729611</v>
      </c>
      <c r="CQ86">
        <f t="shared" si="24"/>
        <v>342340.40920507541</v>
      </c>
      <c r="CR86">
        <f t="shared" si="25"/>
        <v>216877.32727484047</v>
      </c>
      <c r="CS86">
        <f t="shared" si="26"/>
        <v>202257.42757550368</v>
      </c>
      <c r="CT86">
        <f t="shared" si="27"/>
        <v>45234.347346962793</v>
      </c>
      <c r="CU86">
        <f t="shared" si="28"/>
        <v>46567.357189394708</v>
      </c>
      <c r="CV86">
        <f t="shared" si="29"/>
        <v>174837.79805898081</v>
      </c>
      <c r="CW86">
        <f t="shared" si="30"/>
        <v>280799.51465892419</v>
      </c>
      <c r="CX86">
        <f t="shared" si="31"/>
        <v>535023.54635062267</v>
      </c>
      <c r="CY86">
        <f t="shared" si="32"/>
        <v>559587.29484140966</v>
      </c>
      <c r="CZ86">
        <f t="shared" si="33"/>
        <v>895036.38006964535</v>
      </c>
      <c r="DA86">
        <f t="shared" si="34"/>
        <v>396678.46605921059</v>
      </c>
      <c r="DB86">
        <f t="shared" si="35"/>
        <v>234239.97799612756</v>
      </c>
      <c r="DC86">
        <f t="shared" si="36"/>
        <v>473059.82230215718</v>
      </c>
      <c r="DD86">
        <f t="shared" si="37"/>
        <v>287782.4716443739</v>
      </c>
      <c r="DE86">
        <f t="shared" si="38"/>
        <v>16054.733336787096</v>
      </c>
      <c r="DF86">
        <f t="shared" si="39"/>
        <v>1286310.0508836138</v>
      </c>
      <c r="DG86">
        <f t="shared" si="40"/>
        <v>893143.98897724436</v>
      </c>
      <c r="DH86">
        <f t="shared" si="41"/>
        <v>1623548.423859294</v>
      </c>
      <c r="DI86">
        <f t="shared" si="42"/>
        <v>722831.67721237696</v>
      </c>
      <c r="DJ86">
        <f t="shared" si="43"/>
        <v>107926.25122295273</v>
      </c>
      <c r="DK86">
        <f t="shared" si="44"/>
        <v>242301.8182004696</v>
      </c>
      <c r="DL86">
        <f t="shared" si="45"/>
        <v>659312.97889831674</v>
      </c>
      <c r="DM86">
        <f t="shared" si="46"/>
        <v>524533.04434630182</v>
      </c>
      <c r="DN86">
        <f t="shared" si="47"/>
        <v>1075349.3540120444</v>
      </c>
      <c r="DO86">
        <f t="shared" si="48"/>
        <v>511028.73918927449</v>
      </c>
      <c r="DP86">
        <f t="shared" si="49"/>
        <v>407559.59327890177</v>
      </c>
      <c r="DQ86">
        <f t="shared" si="50"/>
        <v>1569650.1165033495</v>
      </c>
      <c r="DR86">
        <f t="shared" si="51"/>
        <v>957347.05206124531</v>
      </c>
      <c r="DS86">
        <f t="shared" si="52"/>
        <v>3083124.2803492225</v>
      </c>
      <c r="DT86">
        <f t="shared" si="53"/>
        <v>1424345.6888533481</v>
      </c>
      <c r="DU86">
        <f t="shared" si="54"/>
        <v>286432.00777863746</v>
      </c>
      <c r="DV86">
        <f t="shared" si="55"/>
        <v>821100.50361601345</v>
      </c>
      <c r="DW86">
        <f t="shared" si="56"/>
        <v>2299136.698331038</v>
      </c>
      <c r="DX86">
        <f t="shared" si="57"/>
        <v>293014.52491573431</v>
      </c>
      <c r="DY86">
        <f t="shared" si="58"/>
        <v>1915092.0855130535</v>
      </c>
      <c r="DZ86">
        <f t="shared" si="59"/>
        <v>1424598.8141382507</v>
      </c>
      <c r="EA86">
        <f t="shared" si="60"/>
        <v>893807.36194519117</v>
      </c>
      <c r="EB86">
        <f t="shared" si="61"/>
        <v>873045.10770683433</v>
      </c>
      <c r="EC86">
        <f t="shared" si="62"/>
        <v>172667.98047041756</v>
      </c>
      <c r="ED86">
        <f t="shared" si="63"/>
        <v>158275.61400955019</v>
      </c>
      <c r="EE86">
        <f t="shared" si="64"/>
        <v>339889.57649215817</v>
      </c>
      <c r="EF86">
        <f t="shared" si="65"/>
        <v>1066157.8740950515</v>
      </c>
      <c r="EG86">
        <f t="shared" si="66"/>
        <v>2400668.2565451581</v>
      </c>
      <c r="EH86">
        <f t="shared" si="67"/>
        <v>2048167.0876273166</v>
      </c>
      <c r="EI86">
        <f t="shared" si="68"/>
        <v>2607288.2817202033</v>
      </c>
      <c r="EJ86">
        <f t="shared" si="69"/>
        <v>2223661.2399123828</v>
      </c>
      <c r="EK86">
        <f t="shared" si="70"/>
        <v>572206.44202303689</v>
      </c>
      <c r="EL86">
        <f t="shared" si="71"/>
        <v>1331605.0107849902</v>
      </c>
      <c r="EM86">
        <f t="shared" si="72"/>
        <v>1055708.2325378691</v>
      </c>
      <c r="EN86">
        <f t="shared" si="73"/>
        <v>13763.763575251673</v>
      </c>
    </row>
    <row r="87" spans="2:144" x14ac:dyDescent="0.35">
      <c r="B87" s="87">
        <v>0</v>
      </c>
      <c r="C87" s="87">
        <v>0</v>
      </c>
      <c r="D87" s="87">
        <v>0</v>
      </c>
      <c r="E87" s="87">
        <v>0</v>
      </c>
      <c r="F87" s="87">
        <v>0</v>
      </c>
      <c r="G87" s="87">
        <v>0</v>
      </c>
      <c r="H87" s="87">
        <v>0</v>
      </c>
      <c r="I87" s="87">
        <v>0</v>
      </c>
      <c r="J87" s="87">
        <v>1</v>
      </c>
      <c r="K87" s="87">
        <v>0</v>
      </c>
      <c r="L87" s="87">
        <v>0</v>
      </c>
      <c r="M87" s="87">
        <v>0</v>
      </c>
      <c r="N87" s="87">
        <v>0</v>
      </c>
      <c r="O87" s="87">
        <v>0</v>
      </c>
      <c r="P87" s="87">
        <v>0</v>
      </c>
      <c r="Q87" s="87">
        <v>0</v>
      </c>
      <c r="R87" s="87">
        <v>0</v>
      </c>
      <c r="S87" s="87">
        <v>0</v>
      </c>
      <c r="T87" s="87">
        <v>0</v>
      </c>
      <c r="U87" s="87">
        <v>0</v>
      </c>
      <c r="V87" s="87">
        <v>0</v>
      </c>
      <c r="W87" s="87">
        <v>0</v>
      </c>
      <c r="X87" s="87">
        <v>0</v>
      </c>
      <c r="Y87" s="87">
        <v>0</v>
      </c>
      <c r="Z87" s="87">
        <v>0</v>
      </c>
      <c r="AA87" s="87">
        <v>0</v>
      </c>
      <c r="AB87" s="87">
        <v>0</v>
      </c>
      <c r="AC87" s="87">
        <v>0</v>
      </c>
      <c r="AD87" s="87">
        <v>0</v>
      </c>
      <c r="AE87" s="87">
        <v>0</v>
      </c>
      <c r="AF87" s="87">
        <v>0</v>
      </c>
      <c r="AG87" s="87">
        <v>0</v>
      </c>
      <c r="AH87" s="87">
        <v>0</v>
      </c>
      <c r="AI87" s="87">
        <v>0</v>
      </c>
      <c r="AJ87" s="87">
        <v>0</v>
      </c>
      <c r="AK87" s="87">
        <v>0</v>
      </c>
      <c r="AL87" s="87">
        <v>0</v>
      </c>
      <c r="AM87" s="87">
        <v>0</v>
      </c>
      <c r="AN87" s="87">
        <v>0</v>
      </c>
      <c r="AO87" s="87">
        <v>0</v>
      </c>
      <c r="AP87" s="87">
        <v>0</v>
      </c>
      <c r="AQ87" s="87">
        <v>0</v>
      </c>
      <c r="AR87" s="87">
        <v>0</v>
      </c>
      <c r="AS87" s="87">
        <v>0</v>
      </c>
      <c r="AT87" s="87">
        <v>0</v>
      </c>
      <c r="AU87" s="87">
        <v>0</v>
      </c>
      <c r="AV87" s="87">
        <v>0</v>
      </c>
      <c r="AW87" s="87">
        <v>0</v>
      </c>
      <c r="AX87" s="87">
        <v>0</v>
      </c>
      <c r="AY87" s="87">
        <v>0</v>
      </c>
      <c r="AZ87" s="87">
        <v>0</v>
      </c>
      <c r="BA87" s="87">
        <v>0</v>
      </c>
      <c r="BB87" s="87">
        <v>0</v>
      </c>
      <c r="BC87" s="87">
        <v>0</v>
      </c>
      <c r="BD87" s="87">
        <v>0</v>
      </c>
      <c r="BE87" s="87">
        <v>0</v>
      </c>
      <c r="BF87" s="87">
        <v>0</v>
      </c>
      <c r="BG87" s="87">
        <v>0</v>
      </c>
      <c r="BH87" s="87">
        <v>0</v>
      </c>
      <c r="BI87" s="87">
        <v>0</v>
      </c>
      <c r="BJ87" s="87">
        <v>0</v>
      </c>
      <c r="BK87" s="87">
        <v>0</v>
      </c>
      <c r="BL87" s="87">
        <v>0</v>
      </c>
      <c r="BM87" s="87">
        <v>0</v>
      </c>
      <c r="BN87" s="87">
        <v>0</v>
      </c>
      <c r="BO87" s="87">
        <v>0</v>
      </c>
      <c r="BP87" s="87">
        <v>0</v>
      </c>
      <c r="BQ87" s="87">
        <v>0</v>
      </c>
      <c r="BR87" s="87">
        <v>0</v>
      </c>
      <c r="BS87" s="87">
        <v>0</v>
      </c>
      <c r="BW87">
        <f t="shared" si="4"/>
        <v>232672.48590733891</v>
      </c>
      <c r="BX87">
        <f t="shared" si="5"/>
        <v>34839.716621068001</v>
      </c>
      <c r="BY87">
        <f t="shared" si="6"/>
        <v>371094.06353103736</v>
      </c>
      <c r="BZ87">
        <f t="shared" si="7"/>
        <v>76179.776535406141</v>
      </c>
      <c r="CA87">
        <f t="shared" si="8"/>
        <v>15011.396028380053</v>
      </c>
      <c r="CB87">
        <f t="shared" si="9"/>
        <v>51551.176130883803</v>
      </c>
      <c r="CC87">
        <f t="shared" si="10"/>
        <v>177768.63125311004</v>
      </c>
      <c r="CD87">
        <f t="shared" si="11"/>
        <v>128259.05724192546</v>
      </c>
      <c r="CE87">
        <f t="shared" si="12"/>
        <v>278847.59643141937</v>
      </c>
      <c r="CF87">
        <f t="shared" si="13"/>
        <v>119292.47302789842</v>
      </c>
      <c r="CG87">
        <f t="shared" si="14"/>
        <v>83770.04231671372</v>
      </c>
      <c r="CH87">
        <f t="shared" si="15"/>
        <v>300092.07254081866</v>
      </c>
      <c r="CI87">
        <f t="shared" si="16"/>
        <v>239004.30542355054</v>
      </c>
      <c r="CJ87">
        <f t="shared" si="17"/>
        <v>373508.54190304613</v>
      </c>
      <c r="CK87">
        <f t="shared" si="18"/>
        <v>335805.16136012977</v>
      </c>
      <c r="CL87">
        <f t="shared" si="19"/>
        <v>78625.343120143414</v>
      </c>
      <c r="CM87">
        <f t="shared" si="20"/>
        <v>243781.44385618682</v>
      </c>
      <c r="CN87">
        <f t="shared" si="21"/>
        <v>548861.54802201549</v>
      </c>
      <c r="CO87">
        <f t="shared" si="22"/>
        <v>143806.93864198707</v>
      </c>
      <c r="CP87">
        <f t="shared" si="23"/>
        <v>465205.04703729611</v>
      </c>
      <c r="CQ87">
        <f t="shared" si="24"/>
        <v>342340.40920507541</v>
      </c>
      <c r="CR87">
        <f t="shared" si="25"/>
        <v>216877.32727484047</v>
      </c>
      <c r="CS87">
        <f t="shared" si="26"/>
        <v>202257.42757550368</v>
      </c>
      <c r="CT87">
        <f t="shared" si="27"/>
        <v>45234.347346962793</v>
      </c>
      <c r="CU87">
        <f t="shared" si="28"/>
        <v>46567.357189394708</v>
      </c>
      <c r="CV87">
        <f t="shared" si="29"/>
        <v>174837.79805898081</v>
      </c>
      <c r="CW87">
        <f t="shared" si="30"/>
        <v>280799.51465892419</v>
      </c>
      <c r="CX87">
        <f t="shared" si="31"/>
        <v>535023.54635062267</v>
      </c>
      <c r="CY87">
        <f t="shared" si="32"/>
        <v>559587.29484140966</v>
      </c>
      <c r="CZ87">
        <f t="shared" si="33"/>
        <v>895036.38006964535</v>
      </c>
      <c r="DA87">
        <f t="shared" si="34"/>
        <v>396678.46605921059</v>
      </c>
      <c r="DB87">
        <f t="shared" si="35"/>
        <v>234239.97799612756</v>
      </c>
      <c r="DC87">
        <f t="shared" si="36"/>
        <v>473059.82230215718</v>
      </c>
      <c r="DD87">
        <f t="shared" si="37"/>
        <v>287782.4716443739</v>
      </c>
      <c r="DE87">
        <f t="shared" si="38"/>
        <v>16054.733336787096</v>
      </c>
      <c r="DF87">
        <f t="shared" si="39"/>
        <v>1286310.0508836138</v>
      </c>
      <c r="DG87">
        <f t="shared" si="40"/>
        <v>893143.98897724436</v>
      </c>
      <c r="DH87">
        <f t="shared" si="41"/>
        <v>1623548.423859294</v>
      </c>
      <c r="DI87">
        <f t="shared" si="42"/>
        <v>722831.67721237696</v>
      </c>
      <c r="DJ87">
        <f t="shared" si="43"/>
        <v>107926.25122295273</v>
      </c>
      <c r="DK87">
        <f t="shared" si="44"/>
        <v>242301.8182004696</v>
      </c>
      <c r="DL87">
        <f t="shared" si="45"/>
        <v>659312.97889831674</v>
      </c>
      <c r="DM87">
        <f t="shared" si="46"/>
        <v>524533.04434630182</v>
      </c>
      <c r="DN87">
        <f t="shared" si="47"/>
        <v>1075349.3540120444</v>
      </c>
      <c r="DO87">
        <f t="shared" si="48"/>
        <v>511028.73918927449</v>
      </c>
      <c r="DP87">
        <f t="shared" si="49"/>
        <v>407559.59327890177</v>
      </c>
      <c r="DQ87">
        <f t="shared" si="50"/>
        <v>1569650.1165033495</v>
      </c>
      <c r="DR87">
        <f t="shared" si="51"/>
        <v>957347.05206124531</v>
      </c>
      <c r="DS87">
        <f t="shared" si="52"/>
        <v>3083124.2803492225</v>
      </c>
      <c r="DT87">
        <f t="shared" si="53"/>
        <v>1424345.6888533481</v>
      </c>
      <c r="DU87">
        <f t="shared" si="54"/>
        <v>286432.00777863746</v>
      </c>
      <c r="DV87">
        <f t="shared" si="55"/>
        <v>821100.50361601345</v>
      </c>
      <c r="DW87">
        <f t="shared" si="56"/>
        <v>2299136.698331038</v>
      </c>
      <c r="DX87">
        <f t="shared" si="57"/>
        <v>293014.52491573431</v>
      </c>
      <c r="DY87">
        <f t="shared" si="58"/>
        <v>1915092.0855130535</v>
      </c>
      <c r="DZ87">
        <f t="shared" si="59"/>
        <v>1424598.8141382507</v>
      </c>
      <c r="EA87">
        <f t="shared" si="60"/>
        <v>893807.36194519117</v>
      </c>
      <c r="EB87">
        <f t="shared" si="61"/>
        <v>873045.10770683433</v>
      </c>
      <c r="EC87">
        <f t="shared" si="62"/>
        <v>172667.98047041756</v>
      </c>
      <c r="ED87">
        <f t="shared" si="63"/>
        <v>158275.61400955019</v>
      </c>
      <c r="EE87">
        <f t="shared" si="64"/>
        <v>339889.57649215817</v>
      </c>
      <c r="EF87">
        <f t="shared" si="65"/>
        <v>1066157.8740950515</v>
      </c>
      <c r="EG87">
        <f t="shared" si="66"/>
        <v>2400668.2565451581</v>
      </c>
      <c r="EH87">
        <f t="shared" si="67"/>
        <v>2048167.0876273166</v>
      </c>
      <c r="EI87">
        <f t="shared" si="68"/>
        <v>2607288.2817202033</v>
      </c>
      <c r="EJ87">
        <f t="shared" si="69"/>
        <v>2223661.2399123828</v>
      </c>
      <c r="EK87">
        <f t="shared" si="70"/>
        <v>572206.44202303689</v>
      </c>
      <c r="EL87">
        <f t="shared" si="71"/>
        <v>1331605.0107849902</v>
      </c>
      <c r="EM87">
        <f t="shared" si="72"/>
        <v>1055708.2325378691</v>
      </c>
      <c r="EN87">
        <f t="shared" si="73"/>
        <v>13763.763575251673</v>
      </c>
    </row>
    <row r="88" spans="2:144" x14ac:dyDescent="0.35">
      <c r="B88" s="87">
        <v>0</v>
      </c>
      <c r="C88" s="87">
        <v>0</v>
      </c>
      <c r="D88" s="87">
        <v>0</v>
      </c>
      <c r="E88" s="87">
        <v>0</v>
      </c>
      <c r="F88" s="87">
        <v>0</v>
      </c>
      <c r="G88" s="87">
        <v>0</v>
      </c>
      <c r="H88" s="87">
        <v>0</v>
      </c>
      <c r="I88" s="87">
        <v>0</v>
      </c>
      <c r="J88" s="87">
        <v>0</v>
      </c>
      <c r="K88" s="87">
        <v>1</v>
      </c>
      <c r="L88" s="87">
        <v>0</v>
      </c>
      <c r="M88" s="87">
        <v>0</v>
      </c>
      <c r="N88" s="87">
        <v>0</v>
      </c>
      <c r="O88" s="87">
        <v>0</v>
      </c>
      <c r="P88" s="87">
        <v>0</v>
      </c>
      <c r="Q88" s="87">
        <v>0</v>
      </c>
      <c r="R88" s="87">
        <v>0</v>
      </c>
      <c r="S88" s="87">
        <v>0</v>
      </c>
      <c r="T88" s="87">
        <v>0</v>
      </c>
      <c r="U88" s="87">
        <v>0</v>
      </c>
      <c r="V88" s="87">
        <v>0</v>
      </c>
      <c r="W88" s="87">
        <v>0</v>
      </c>
      <c r="X88" s="87">
        <v>0</v>
      </c>
      <c r="Y88" s="87">
        <v>0</v>
      </c>
      <c r="Z88" s="87">
        <v>0</v>
      </c>
      <c r="AA88" s="87">
        <v>0</v>
      </c>
      <c r="AB88" s="87">
        <v>0</v>
      </c>
      <c r="AC88" s="87">
        <v>0</v>
      </c>
      <c r="AD88" s="87">
        <v>0</v>
      </c>
      <c r="AE88" s="87">
        <v>0</v>
      </c>
      <c r="AF88" s="87">
        <v>0</v>
      </c>
      <c r="AG88" s="87">
        <v>0</v>
      </c>
      <c r="AH88" s="87">
        <v>0</v>
      </c>
      <c r="AI88" s="87">
        <v>0</v>
      </c>
      <c r="AJ88" s="87">
        <v>0</v>
      </c>
      <c r="AK88" s="87">
        <v>0</v>
      </c>
      <c r="AL88" s="87">
        <v>0</v>
      </c>
      <c r="AM88" s="87">
        <v>0</v>
      </c>
      <c r="AN88" s="87">
        <v>0</v>
      </c>
      <c r="AO88" s="87">
        <v>0</v>
      </c>
      <c r="AP88" s="87">
        <v>0</v>
      </c>
      <c r="AQ88" s="87">
        <v>0</v>
      </c>
      <c r="AR88" s="87">
        <v>0</v>
      </c>
      <c r="AS88" s="87">
        <v>0</v>
      </c>
      <c r="AT88" s="87">
        <v>0</v>
      </c>
      <c r="AU88" s="87">
        <v>0</v>
      </c>
      <c r="AV88" s="87">
        <v>0</v>
      </c>
      <c r="AW88" s="87">
        <v>0</v>
      </c>
      <c r="AX88" s="87">
        <v>0</v>
      </c>
      <c r="AY88" s="87">
        <v>0</v>
      </c>
      <c r="AZ88" s="87">
        <v>0</v>
      </c>
      <c r="BA88" s="87">
        <v>0</v>
      </c>
      <c r="BB88" s="87">
        <v>0</v>
      </c>
      <c r="BC88" s="87">
        <v>0</v>
      </c>
      <c r="BD88" s="87">
        <v>0</v>
      </c>
      <c r="BE88" s="87">
        <v>0</v>
      </c>
      <c r="BF88" s="87">
        <v>0</v>
      </c>
      <c r="BG88" s="87">
        <v>0</v>
      </c>
      <c r="BH88" s="87">
        <v>0</v>
      </c>
      <c r="BI88" s="87">
        <v>0</v>
      </c>
      <c r="BJ88" s="87">
        <v>0</v>
      </c>
      <c r="BK88" s="87">
        <v>0</v>
      </c>
      <c r="BL88" s="87">
        <v>0</v>
      </c>
      <c r="BM88" s="87">
        <v>0</v>
      </c>
      <c r="BN88" s="87">
        <v>0</v>
      </c>
      <c r="BO88" s="87">
        <v>0</v>
      </c>
      <c r="BP88" s="87">
        <v>0</v>
      </c>
      <c r="BQ88" s="87">
        <v>0</v>
      </c>
      <c r="BR88" s="87">
        <v>0</v>
      </c>
      <c r="BS88" s="87">
        <v>0</v>
      </c>
      <c r="BW88">
        <f t="shared" si="4"/>
        <v>232672.48590733891</v>
      </c>
      <c r="BX88">
        <f t="shared" si="5"/>
        <v>34839.716621068001</v>
      </c>
      <c r="BY88">
        <f t="shared" si="6"/>
        <v>371094.06353103736</v>
      </c>
      <c r="BZ88">
        <f t="shared" si="7"/>
        <v>76179.776535406141</v>
      </c>
      <c r="CA88">
        <f t="shared" si="8"/>
        <v>15011.396028380053</v>
      </c>
      <c r="CB88">
        <f t="shared" si="9"/>
        <v>51551.176130883803</v>
      </c>
      <c r="CC88">
        <f t="shared" si="10"/>
        <v>177768.63125311004</v>
      </c>
      <c r="CD88">
        <f t="shared" si="11"/>
        <v>128259.05724192546</v>
      </c>
      <c r="CE88">
        <f t="shared" si="12"/>
        <v>278847.59643141937</v>
      </c>
      <c r="CF88">
        <f t="shared" si="13"/>
        <v>119292.47302789842</v>
      </c>
      <c r="CG88">
        <f t="shared" si="14"/>
        <v>83770.04231671372</v>
      </c>
      <c r="CH88">
        <f t="shared" si="15"/>
        <v>300092.07254081866</v>
      </c>
      <c r="CI88">
        <f t="shared" si="16"/>
        <v>239004.30542355054</v>
      </c>
      <c r="CJ88">
        <f t="shared" si="17"/>
        <v>373508.54190304613</v>
      </c>
      <c r="CK88">
        <f t="shared" si="18"/>
        <v>335805.16136012977</v>
      </c>
      <c r="CL88">
        <f t="shared" si="19"/>
        <v>78625.343120143414</v>
      </c>
      <c r="CM88">
        <f t="shared" si="20"/>
        <v>243781.44385618682</v>
      </c>
      <c r="CN88">
        <f t="shared" si="21"/>
        <v>548861.54802201549</v>
      </c>
      <c r="CO88">
        <f t="shared" si="22"/>
        <v>143806.93864198707</v>
      </c>
      <c r="CP88">
        <f t="shared" si="23"/>
        <v>465205.04703729611</v>
      </c>
      <c r="CQ88">
        <f t="shared" si="24"/>
        <v>342340.40920507541</v>
      </c>
      <c r="CR88">
        <f t="shared" si="25"/>
        <v>216877.32727484047</v>
      </c>
      <c r="CS88">
        <f t="shared" si="26"/>
        <v>202257.42757550368</v>
      </c>
      <c r="CT88">
        <f t="shared" si="27"/>
        <v>45234.347346962793</v>
      </c>
      <c r="CU88">
        <f t="shared" si="28"/>
        <v>46567.357189394708</v>
      </c>
      <c r="CV88">
        <f t="shared" si="29"/>
        <v>174837.79805898081</v>
      </c>
      <c r="CW88">
        <f t="shared" si="30"/>
        <v>280799.51465892419</v>
      </c>
      <c r="CX88">
        <f t="shared" si="31"/>
        <v>535023.54635062267</v>
      </c>
      <c r="CY88">
        <f t="shared" si="32"/>
        <v>559587.29484140966</v>
      </c>
      <c r="CZ88">
        <f t="shared" si="33"/>
        <v>895036.38006964535</v>
      </c>
      <c r="DA88">
        <f t="shared" si="34"/>
        <v>396678.46605921059</v>
      </c>
      <c r="DB88">
        <f t="shared" si="35"/>
        <v>234239.97799612756</v>
      </c>
      <c r="DC88">
        <f t="shared" si="36"/>
        <v>473059.82230215718</v>
      </c>
      <c r="DD88">
        <f t="shared" si="37"/>
        <v>287782.4716443739</v>
      </c>
      <c r="DE88">
        <f t="shared" si="38"/>
        <v>16054.733336787096</v>
      </c>
      <c r="DF88">
        <f t="shared" si="39"/>
        <v>1286310.0508836138</v>
      </c>
      <c r="DG88">
        <f t="shared" si="40"/>
        <v>893143.98897724436</v>
      </c>
      <c r="DH88">
        <f t="shared" si="41"/>
        <v>1623548.423859294</v>
      </c>
      <c r="DI88">
        <f t="shared" si="42"/>
        <v>722831.67721237696</v>
      </c>
      <c r="DJ88">
        <f t="shared" si="43"/>
        <v>107926.25122295273</v>
      </c>
      <c r="DK88">
        <f t="shared" si="44"/>
        <v>242301.8182004696</v>
      </c>
      <c r="DL88">
        <f t="shared" si="45"/>
        <v>659312.97889831674</v>
      </c>
      <c r="DM88">
        <f t="shared" si="46"/>
        <v>524533.04434630182</v>
      </c>
      <c r="DN88">
        <f t="shared" si="47"/>
        <v>1075349.3540120444</v>
      </c>
      <c r="DO88">
        <f t="shared" si="48"/>
        <v>511028.73918927449</v>
      </c>
      <c r="DP88">
        <f t="shared" si="49"/>
        <v>407559.59327890177</v>
      </c>
      <c r="DQ88">
        <f t="shared" si="50"/>
        <v>1569650.1165033495</v>
      </c>
      <c r="DR88">
        <f t="shared" si="51"/>
        <v>957347.05206124531</v>
      </c>
      <c r="DS88">
        <f t="shared" si="52"/>
        <v>3083124.2803492225</v>
      </c>
      <c r="DT88">
        <f t="shared" si="53"/>
        <v>1424345.6888533481</v>
      </c>
      <c r="DU88">
        <f t="shared" si="54"/>
        <v>286432.00777863746</v>
      </c>
      <c r="DV88">
        <f t="shared" si="55"/>
        <v>821100.50361601345</v>
      </c>
      <c r="DW88">
        <f t="shared" si="56"/>
        <v>2299136.698331038</v>
      </c>
      <c r="DX88">
        <f t="shared" si="57"/>
        <v>293014.52491573431</v>
      </c>
      <c r="DY88">
        <f t="shared" si="58"/>
        <v>1915092.0855130535</v>
      </c>
      <c r="DZ88">
        <f t="shared" si="59"/>
        <v>1424598.8141382507</v>
      </c>
      <c r="EA88">
        <f t="shared" si="60"/>
        <v>893807.36194519117</v>
      </c>
      <c r="EB88">
        <f t="shared" si="61"/>
        <v>873045.10770683433</v>
      </c>
      <c r="EC88">
        <f t="shared" si="62"/>
        <v>172667.98047041756</v>
      </c>
      <c r="ED88">
        <f t="shared" si="63"/>
        <v>158275.61400955019</v>
      </c>
      <c r="EE88">
        <f t="shared" si="64"/>
        <v>339889.57649215817</v>
      </c>
      <c r="EF88">
        <f t="shared" si="65"/>
        <v>1066157.8740950515</v>
      </c>
      <c r="EG88">
        <f t="shared" si="66"/>
        <v>2400668.2565451581</v>
      </c>
      <c r="EH88">
        <f t="shared" si="67"/>
        <v>2048167.0876273166</v>
      </c>
      <c r="EI88">
        <f t="shared" si="68"/>
        <v>2607288.2817202033</v>
      </c>
      <c r="EJ88">
        <f t="shared" si="69"/>
        <v>2223661.2399123828</v>
      </c>
      <c r="EK88">
        <f t="shared" si="70"/>
        <v>572206.44202303689</v>
      </c>
      <c r="EL88">
        <f t="shared" si="71"/>
        <v>1331605.0107849902</v>
      </c>
      <c r="EM88">
        <f t="shared" si="72"/>
        <v>1055708.2325378691</v>
      </c>
      <c r="EN88">
        <f t="shared" si="73"/>
        <v>13763.763575251673</v>
      </c>
    </row>
    <row r="89" spans="2:144" x14ac:dyDescent="0.35">
      <c r="B89" s="87">
        <v>0</v>
      </c>
      <c r="C89" s="87">
        <v>0</v>
      </c>
      <c r="D89" s="87">
        <v>0</v>
      </c>
      <c r="E89" s="87">
        <v>0</v>
      </c>
      <c r="F89" s="87">
        <v>0</v>
      </c>
      <c r="G89" s="87">
        <v>0</v>
      </c>
      <c r="H89" s="87">
        <v>0</v>
      </c>
      <c r="I89" s="87">
        <v>0</v>
      </c>
      <c r="J89" s="87">
        <v>0</v>
      </c>
      <c r="K89" s="87">
        <v>0</v>
      </c>
      <c r="L89" s="87">
        <v>1</v>
      </c>
      <c r="M89" s="87">
        <v>0</v>
      </c>
      <c r="N89" s="87">
        <v>0</v>
      </c>
      <c r="O89" s="87">
        <v>0</v>
      </c>
      <c r="P89" s="87">
        <v>0</v>
      </c>
      <c r="Q89" s="87">
        <v>0</v>
      </c>
      <c r="R89" s="87">
        <v>0</v>
      </c>
      <c r="S89" s="87">
        <v>0</v>
      </c>
      <c r="T89" s="87">
        <v>0</v>
      </c>
      <c r="U89" s="87">
        <v>0</v>
      </c>
      <c r="V89" s="87">
        <v>0</v>
      </c>
      <c r="W89" s="87">
        <v>0</v>
      </c>
      <c r="X89" s="87">
        <v>0</v>
      </c>
      <c r="Y89" s="87">
        <v>0</v>
      </c>
      <c r="Z89" s="87">
        <v>0</v>
      </c>
      <c r="AA89" s="87">
        <v>0</v>
      </c>
      <c r="AB89" s="87">
        <v>0</v>
      </c>
      <c r="AC89" s="87">
        <v>0</v>
      </c>
      <c r="AD89" s="87">
        <v>0</v>
      </c>
      <c r="AE89" s="87">
        <v>0</v>
      </c>
      <c r="AF89" s="87">
        <v>0</v>
      </c>
      <c r="AG89" s="87">
        <v>0</v>
      </c>
      <c r="AH89" s="87">
        <v>0</v>
      </c>
      <c r="AI89" s="87">
        <v>0</v>
      </c>
      <c r="AJ89" s="87">
        <v>0</v>
      </c>
      <c r="AK89" s="87">
        <v>0</v>
      </c>
      <c r="AL89" s="87">
        <v>0</v>
      </c>
      <c r="AM89" s="87">
        <v>0</v>
      </c>
      <c r="AN89" s="87">
        <v>0</v>
      </c>
      <c r="AO89" s="87">
        <v>0</v>
      </c>
      <c r="AP89" s="87">
        <v>0</v>
      </c>
      <c r="AQ89" s="87">
        <v>0</v>
      </c>
      <c r="AR89" s="87">
        <v>0</v>
      </c>
      <c r="AS89" s="87">
        <v>0</v>
      </c>
      <c r="AT89" s="87">
        <v>0</v>
      </c>
      <c r="AU89" s="87">
        <v>0</v>
      </c>
      <c r="AV89" s="87">
        <v>0</v>
      </c>
      <c r="AW89" s="87">
        <v>0</v>
      </c>
      <c r="AX89" s="87">
        <v>0</v>
      </c>
      <c r="AY89" s="87">
        <v>0</v>
      </c>
      <c r="AZ89" s="87">
        <v>0</v>
      </c>
      <c r="BA89" s="87">
        <v>0</v>
      </c>
      <c r="BB89" s="87">
        <v>0</v>
      </c>
      <c r="BC89" s="87">
        <v>0</v>
      </c>
      <c r="BD89" s="87">
        <v>0</v>
      </c>
      <c r="BE89" s="87">
        <v>0</v>
      </c>
      <c r="BF89" s="87">
        <v>0</v>
      </c>
      <c r="BG89" s="87">
        <v>0</v>
      </c>
      <c r="BH89" s="87">
        <v>0</v>
      </c>
      <c r="BI89" s="87">
        <v>0</v>
      </c>
      <c r="BJ89" s="87">
        <v>0</v>
      </c>
      <c r="BK89" s="87">
        <v>0</v>
      </c>
      <c r="BL89" s="87">
        <v>0</v>
      </c>
      <c r="BM89" s="87">
        <v>0</v>
      </c>
      <c r="BN89" s="87">
        <v>0</v>
      </c>
      <c r="BO89" s="87">
        <v>0</v>
      </c>
      <c r="BP89" s="87">
        <v>0</v>
      </c>
      <c r="BQ89" s="87">
        <v>0</v>
      </c>
      <c r="BR89" s="87">
        <v>0</v>
      </c>
      <c r="BS89" s="87">
        <v>0</v>
      </c>
      <c r="BW89">
        <f t="shared" si="4"/>
        <v>232672.48590733891</v>
      </c>
      <c r="BX89">
        <f t="shared" si="5"/>
        <v>34839.716621068001</v>
      </c>
      <c r="BY89">
        <f t="shared" si="6"/>
        <v>371094.06353103736</v>
      </c>
      <c r="BZ89">
        <f t="shared" si="7"/>
        <v>76179.776535406141</v>
      </c>
      <c r="CA89">
        <f t="shared" si="8"/>
        <v>15011.396028380053</v>
      </c>
      <c r="CB89">
        <f t="shared" si="9"/>
        <v>51551.176130883803</v>
      </c>
      <c r="CC89">
        <f t="shared" si="10"/>
        <v>177768.63125311004</v>
      </c>
      <c r="CD89">
        <f t="shared" si="11"/>
        <v>128259.05724192546</v>
      </c>
      <c r="CE89">
        <f t="shared" si="12"/>
        <v>278847.59643141937</v>
      </c>
      <c r="CF89">
        <f t="shared" si="13"/>
        <v>119292.47302789842</v>
      </c>
      <c r="CG89">
        <f t="shared" si="14"/>
        <v>83770.04231671372</v>
      </c>
      <c r="CH89">
        <f t="shared" si="15"/>
        <v>300092.07254081866</v>
      </c>
      <c r="CI89">
        <f t="shared" si="16"/>
        <v>239004.30542355054</v>
      </c>
      <c r="CJ89">
        <f t="shared" si="17"/>
        <v>373508.54190304613</v>
      </c>
      <c r="CK89">
        <f t="shared" si="18"/>
        <v>335805.16136012977</v>
      </c>
      <c r="CL89">
        <f t="shared" si="19"/>
        <v>78625.343120143414</v>
      </c>
      <c r="CM89">
        <f t="shared" si="20"/>
        <v>243781.44385618682</v>
      </c>
      <c r="CN89">
        <f t="shared" si="21"/>
        <v>548861.54802201549</v>
      </c>
      <c r="CO89">
        <f t="shared" si="22"/>
        <v>143806.93864198707</v>
      </c>
      <c r="CP89">
        <f t="shared" si="23"/>
        <v>465205.04703729611</v>
      </c>
      <c r="CQ89">
        <f t="shared" si="24"/>
        <v>342340.40920507541</v>
      </c>
      <c r="CR89">
        <f t="shared" si="25"/>
        <v>216877.32727484047</v>
      </c>
      <c r="CS89">
        <f t="shared" si="26"/>
        <v>202257.42757550368</v>
      </c>
      <c r="CT89">
        <f t="shared" si="27"/>
        <v>45234.347346962793</v>
      </c>
      <c r="CU89">
        <f t="shared" si="28"/>
        <v>46567.357189394708</v>
      </c>
      <c r="CV89">
        <f t="shared" si="29"/>
        <v>174837.79805898081</v>
      </c>
      <c r="CW89">
        <f t="shared" si="30"/>
        <v>280799.51465892419</v>
      </c>
      <c r="CX89">
        <f t="shared" si="31"/>
        <v>535023.54635062267</v>
      </c>
      <c r="CY89">
        <f t="shared" si="32"/>
        <v>559587.29484140966</v>
      </c>
      <c r="CZ89">
        <f t="shared" si="33"/>
        <v>895036.38006964535</v>
      </c>
      <c r="DA89">
        <f t="shared" si="34"/>
        <v>396678.46605921059</v>
      </c>
      <c r="DB89">
        <f t="shared" si="35"/>
        <v>234239.97799612756</v>
      </c>
      <c r="DC89">
        <f t="shared" si="36"/>
        <v>473059.82230215718</v>
      </c>
      <c r="DD89">
        <f t="shared" si="37"/>
        <v>287782.4716443739</v>
      </c>
      <c r="DE89">
        <f t="shared" si="38"/>
        <v>16054.733336787096</v>
      </c>
      <c r="DF89">
        <f t="shared" si="39"/>
        <v>1286310.0508836138</v>
      </c>
      <c r="DG89">
        <f t="shared" si="40"/>
        <v>893143.98897724436</v>
      </c>
      <c r="DH89">
        <f t="shared" si="41"/>
        <v>1623548.423859294</v>
      </c>
      <c r="DI89">
        <f t="shared" si="42"/>
        <v>722831.67721237696</v>
      </c>
      <c r="DJ89">
        <f t="shared" si="43"/>
        <v>107926.25122295273</v>
      </c>
      <c r="DK89">
        <f t="shared" si="44"/>
        <v>242301.8182004696</v>
      </c>
      <c r="DL89">
        <f t="shared" si="45"/>
        <v>659312.97889831674</v>
      </c>
      <c r="DM89">
        <f t="shared" si="46"/>
        <v>524533.04434630182</v>
      </c>
      <c r="DN89">
        <f t="shared" si="47"/>
        <v>1075349.3540120444</v>
      </c>
      <c r="DO89">
        <f t="shared" si="48"/>
        <v>511028.73918927449</v>
      </c>
      <c r="DP89">
        <f t="shared" si="49"/>
        <v>407559.59327890177</v>
      </c>
      <c r="DQ89">
        <f t="shared" si="50"/>
        <v>1569650.1165033495</v>
      </c>
      <c r="DR89">
        <f t="shared" si="51"/>
        <v>957347.05206124531</v>
      </c>
      <c r="DS89">
        <f t="shared" si="52"/>
        <v>3083124.2803492225</v>
      </c>
      <c r="DT89">
        <f t="shared" si="53"/>
        <v>1424345.6888533481</v>
      </c>
      <c r="DU89">
        <f t="shared" si="54"/>
        <v>286432.00777863746</v>
      </c>
      <c r="DV89">
        <f t="shared" si="55"/>
        <v>821100.50361601345</v>
      </c>
      <c r="DW89">
        <f t="shared" si="56"/>
        <v>2299136.698331038</v>
      </c>
      <c r="DX89">
        <f t="shared" si="57"/>
        <v>293014.52491573431</v>
      </c>
      <c r="DY89">
        <f t="shared" si="58"/>
        <v>1915092.0855130535</v>
      </c>
      <c r="DZ89">
        <f t="shared" si="59"/>
        <v>1424598.8141382507</v>
      </c>
      <c r="EA89">
        <f t="shared" si="60"/>
        <v>893807.36194519117</v>
      </c>
      <c r="EB89">
        <f t="shared" si="61"/>
        <v>873045.10770683433</v>
      </c>
      <c r="EC89">
        <f t="shared" si="62"/>
        <v>172667.98047041756</v>
      </c>
      <c r="ED89">
        <f t="shared" si="63"/>
        <v>158275.61400955019</v>
      </c>
      <c r="EE89">
        <f t="shared" si="64"/>
        <v>339889.57649215817</v>
      </c>
      <c r="EF89">
        <f t="shared" si="65"/>
        <v>1066157.8740950515</v>
      </c>
      <c r="EG89">
        <f t="shared" si="66"/>
        <v>2400668.2565451581</v>
      </c>
      <c r="EH89">
        <f t="shared" si="67"/>
        <v>2048167.0876273166</v>
      </c>
      <c r="EI89">
        <f t="shared" si="68"/>
        <v>2607288.2817202033</v>
      </c>
      <c r="EJ89">
        <f t="shared" si="69"/>
        <v>2223661.2399123828</v>
      </c>
      <c r="EK89">
        <f t="shared" si="70"/>
        <v>572206.44202303689</v>
      </c>
      <c r="EL89">
        <f t="shared" si="71"/>
        <v>1331605.0107849902</v>
      </c>
      <c r="EM89">
        <f t="shared" si="72"/>
        <v>1055708.2325378691</v>
      </c>
      <c r="EN89">
        <f t="shared" si="73"/>
        <v>13763.763575251673</v>
      </c>
    </row>
    <row r="90" spans="2:144" x14ac:dyDescent="0.35">
      <c r="B90" s="87">
        <v>0</v>
      </c>
      <c r="C90" s="87">
        <v>0</v>
      </c>
      <c r="D90" s="87">
        <v>0</v>
      </c>
      <c r="E90" s="87">
        <v>0</v>
      </c>
      <c r="F90" s="87">
        <v>0</v>
      </c>
      <c r="G90" s="87">
        <v>0</v>
      </c>
      <c r="H90" s="87">
        <v>0</v>
      </c>
      <c r="I90" s="87">
        <v>0</v>
      </c>
      <c r="J90" s="87">
        <v>0</v>
      </c>
      <c r="K90" s="87">
        <v>0</v>
      </c>
      <c r="L90" s="87">
        <v>0</v>
      </c>
      <c r="M90" s="87">
        <v>1</v>
      </c>
      <c r="N90" s="87">
        <v>0</v>
      </c>
      <c r="O90" s="87">
        <v>0</v>
      </c>
      <c r="P90" s="87">
        <v>0</v>
      </c>
      <c r="Q90" s="87">
        <v>0</v>
      </c>
      <c r="R90" s="87">
        <v>0</v>
      </c>
      <c r="S90" s="87">
        <v>0</v>
      </c>
      <c r="T90" s="87">
        <v>0</v>
      </c>
      <c r="U90" s="87">
        <v>0</v>
      </c>
      <c r="V90" s="87">
        <v>0</v>
      </c>
      <c r="W90" s="87">
        <v>0</v>
      </c>
      <c r="X90" s="87">
        <v>0</v>
      </c>
      <c r="Y90" s="87">
        <v>0</v>
      </c>
      <c r="Z90" s="87">
        <v>0</v>
      </c>
      <c r="AA90" s="87">
        <v>0</v>
      </c>
      <c r="AB90" s="87">
        <v>0</v>
      </c>
      <c r="AC90" s="87">
        <v>0</v>
      </c>
      <c r="AD90" s="87">
        <v>0</v>
      </c>
      <c r="AE90" s="87">
        <v>0</v>
      </c>
      <c r="AF90" s="87">
        <v>0</v>
      </c>
      <c r="AG90" s="87">
        <v>0</v>
      </c>
      <c r="AH90" s="87">
        <v>0</v>
      </c>
      <c r="AI90" s="87">
        <v>0</v>
      </c>
      <c r="AJ90" s="87">
        <v>0</v>
      </c>
      <c r="AK90" s="87">
        <v>0</v>
      </c>
      <c r="AL90" s="87">
        <v>0</v>
      </c>
      <c r="AM90" s="87">
        <v>0</v>
      </c>
      <c r="AN90" s="87">
        <v>0</v>
      </c>
      <c r="AO90" s="87">
        <v>0</v>
      </c>
      <c r="AP90" s="87">
        <v>0</v>
      </c>
      <c r="AQ90" s="87">
        <v>0</v>
      </c>
      <c r="AR90" s="87">
        <v>0</v>
      </c>
      <c r="AS90" s="87">
        <v>0</v>
      </c>
      <c r="AT90" s="87">
        <v>0</v>
      </c>
      <c r="AU90" s="87">
        <v>0</v>
      </c>
      <c r="AV90" s="87">
        <v>0</v>
      </c>
      <c r="AW90" s="87">
        <v>0</v>
      </c>
      <c r="AX90" s="87">
        <v>0</v>
      </c>
      <c r="AY90" s="87">
        <v>0</v>
      </c>
      <c r="AZ90" s="87">
        <v>0</v>
      </c>
      <c r="BA90" s="87">
        <v>0</v>
      </c>
      <c r="BB90" s="87">
        <v>0</v>
      </c>
      <c r="BC90" s="87">
        <v>0</v>
      </c>
      <c r="BD90" s="87">
        <v>0</v>
      </c>
      <c r="BE90" s="87">
        <v>0</v>
      </c>
      <c r="BF90" s="87">
        <v>0</v>
      </c>
      <c r="BG90" s="87">
        <v>0</v>
      </c>
      <c r="BH90" s="87">
        <v>0</v>
      </c>
      <c r="BI90" s="87">
        <v>0</v>
      </c>
      <c r="BJ90" s="87">
        <v>0</v>
      </c>
      <c r="BK90" s="87">
        <v>0</v>
      </c>
      <c r="BL90" s="87">
        <v>0</v>
      </c>
      <c r="BM90" s="87">
        <v>0</v>
      </c>
      <c r="BN90" s="87">
        <v>0</v>
      </c>
      <c r="BO90" s="87">
        <v>0</v>
      </c>
      <c r="BP90" s="87">
        <v>0</v>
      </c>
      <c r="BQ90" s="87">
        <v>0</v>
      </c>
      <c r="BR90" s="87">
        <v>0</v>
      </c>
      <c r="BS90" s="87">
        <v>0</v>
      </c>
      <c r="BW90">
        <f t="shared" si="4"/>
        <v>232672.48590733891</v>
      </c>
      <c r="BX90">
        <f t="shared" si="5"/>
        <v>34839.716621068001</v>
      </c>
      <c r="BY90">
        <f t="shared" si="6"/>
        <v>371094.06353103736</v>
      </c>
      <c r="BZ90">
        <f t="shared" si="7"/>
        <v>76179.776535406141</v>
      </c>
      <c r="CA90">
        <f t="shared" si="8"/>
        <v>15011.396028380053</v>
      </c>
      <c r="CB90">
        <f t="shared" si="9"/>
        <v>51551.176130883803</v>
      </c>
      <c r="CC90">
        <f t="shared" si="10"/>
        <v>177768.63125311004</v>
      </c>
      <c r="CD90">
        <f t="shared" si="11"/>
        <v>128259.05724192546</v>
      </c>
      <c r="CE90">
        <f t="shared" si="12"/>
        <v>278847.59643141937</v>
      </c>
      <c r="CF90">
        <f t="shared" si="13"/>
        <v>119292.47302789842</v>
      </c>
      <c r="CG90">
        <f t="shared" si="14"/>
        <v>83770.04231671372</v>
      </c>
      <c r="CH90">
        <f t="shared" si="15"/>
        <v>300092.07254081866</v>
      </c>
      <c r="CI90">
        <f t="shared" si="16"/>
        <v>239004.30542355054</v>
      </c>
      <c r="CJ90">
        <f t="shared" si="17"/>
        <v>373508.54190304613</v>
      </c>
      <c r="CK90">
        <f t="shared" si="18"/>
        <v>335805.16136012977</v>
      </c>
      <c r="CL90">
        <f t="shared" si="19"/>
        <v>78625.343120143414</v>
      </c>
      <c r="CM90">
        <f t="shared" si="20"/>
        <v>243781.44385618682</v>
      </c>
      <c r="CN90">
        <f t="shared" si="21"/>
        <v>548861.54802201549</v>
      </c>
      <c r="CO90">
        <f t="shared" si="22"/>
        <v>143806.93864198707</v>
      </c>
      <c r="CP90">
        <f t="shared" si="23"/>
        <v>465205.04703729611</v>
      </c>
      <c r="CQ90">
        <f t="shared" si="24"/>
        <v>342340.40920507541</v>
      </c>
      <c r="CR90">
        <f t="shared" si="25"/>
        <v>216877.32727484047</v>
      </c>
      <c r="CS90">
        <f t="shared" si="26"/>
        <v>202257.42757550368</v>
      </c>
      <c r="CT90">
        <f t="shared" si="27"/>
        <v>45234.347346962793</v>
      </c>
      <c r="CU90">
        <f t="shared" si="28"/>
        <v>46567.357189394708</v>
      </c>
      <c r="CV90">
        <f t="shared" si="29"/>
        <v>174837.79805898081</v>
      </c>
      <c r="CW90">
        <f t="shared" si="30"/>
        <v>280799.51465892419</v>
      </c>
      <c r="CX90">
        <f t="shared" si="31"/>
        <v>535023.54635062267</v>
      </c>
      <c r="CY90">
        <f t="shared" si="32"/>
        <v>559587.29484140966</v>
      </c>
      <c r="CZ90">
        <f t="shared" si="33"/>
        <v>895036.38006964535</v>
      </c>
      <c r="DA90">
        <f t="shared" si="34"/>
        <v>396678.46605921059</v>
      </c>
      <c r="DB90">
        <f t="shared" si="35"/>
        <v>234239.97799612756</v>
      </c>
      <c r="DC90">
        <f t="shared" si="36"/>
        <v>473059.82230215718</v>
      </c>
      <c r="DD90">
        <f t="shared" si="37"/>
        <v>287782.4716443739</v>
      </c>
      <c r="DE90">
        <f t="shared" si="38"/>
        <v>16054.733336787096</v>
      </c>
      <c r="DF90">
        <f t="shared" si="39"/>
        <v>1286310.0508836138</v>
      </c>
      <c r="DG90">
        <f t="shared" si="40"/>
        <v>893143.98897724436</v>
      </c>
      <c r="DH90">
        <f t="shared" si="41"/>
        <v>1623548.423859294</v>
      </c>
      <c r="DI90">
        <f t="shared" si="42"/>
        <v>722831.67721237696</v>
      </c>
      <c r="DJ90">
        <f t="shared" si="43"/>
        <v>107926.25122295273</v>
      </c>
      <c r="DK90">
        <f t="shared" si="44"/>
        <v>242301.8182004696</v>
      </c>
      <c r="DL90">
        <f t="shared" si="45"/>
        <v>659312.97889831674</v>
      </c>
      <c r="DM90">
        <f t="shared" si="46"/>
        <v>524533.04434630182</v>
      </c>
      <c r="DN90">
        <f t="shared" si="47"/>
        <v>1075349.3540120444</v>
      </c>
      <c r="DO90">
        <f t="shared" si="48"/>
        <v>511028.73918927449</v>
      </c>
      <c r="DP90">
        <f t="shared" si="49"/>
        <v>407559.59327890177</v>
      </c>
      <c r="DQ90">
        <f t="shared" si="50"/>
        <v>1569650.1165033495</v>
      </c>
      <c r="DR90">
        <f t="shared" si="51"/>
        <v>957347.05206124531</v>
      </c>
      <c r="DS90">
        <f t="shared" si="52"/>
        <v>3083124.2803492225</v>
      </c>
      <c r="DT90">
        <f t="shared" si="53"/>
        <v>1424345.6888533481</v>
      </c>
      <c r="DU90">
        <f t="shared" si="54"/>
        <v>286432.00777863746</v>
      </c>
      <c r="DV90">
        <f t="shared" si="55"/>
        <v>821100.50361601345</v>
      </c>
      <c r="DW90">
        <f t="shared" si="56"/>
        <v>2299136.698331038</v>
      </c>
      <c r="DX90">
        <f t="shared" si="57"/>
        <v>293014.52491573431</v>
      </c>
      <c r="DY90">
        <f t="shared" si="58"/>
        <v>1915092.0855130535</v>
      </c>
      <c r="DZ90">
        <f t="shared" si="59"/>
        <v>1424598.8141382507</v>
      </c>
      <c r="EA90">
        <f t="shared" si="60"/>
        <v>893807.36194519117</v>
      </c>
      <c r="EB90">
        <f t="shared" si="61"/>
        <v>873045.10770683433</v>
      </c>
      <c r="EC90">
        <f t="shared" si="62"/>
        <v>172667.98047041756</v>
      </c>
      <c r="ED90">
        <f t="shared" si="63"/>
        <v>158275.61400955019</v>
      </c>
      <c r="EE90">
        <f t="shared" si="64"/>
        <v>339889.57649215817</v>
      </c>
      <c r="EF90">
        <f t="shared" si="65"/>
        <v>1066157.8740950515</v>
      </c>
      <c r="EG90">
        <f t="shared" si="66"/>
        <v>2400668.2565451581</v>
      </c>
      <c r="EH90">
        <f t="shared" si="67"/>
        <v>2048167.0876273166</v>
      </c>
      <c r="EI90">
        <f t="shared" si="68"/>
        <v>2607288.2817202033</v>
      </c>
      <c r="EJ90">
        <f t="shared" si="69"/>
        <v>2223661.2399123828</v>
      </c>
      <c r="EK90">
        <f t="shared" si="70"/>
        <v>572206.44202303689</v>
      </c>
      <c r="EL90">
        <f t="shared" si="71"/>
        <v>1331605.0107849902</v>
      </c>
      <c r="EM90">
        <f t="shared" si="72"/>
        <v>1055708.2325378691</v>
      </c>
      <c r="EN90">
        <f t="shared" si="73"/>
        <v>13763.763575251673</v>
      </c>
    </row>
    <row r="91" spans="2:144" x14ac:dyDescent="0.35">
      <c r="B91" s="87">
        <v>0</v>
      </c>
      <c r="C91" s="87">
        <v>0</v>
      </c>
      <c r="D91" s="87">
        <v>0</v>
      </c>
      <c r="E91" s="87">
        <v>0</v>
      </c>
      <c r="F91" s="87">
        <v>0</v>
      </c>
      <c r="G91" s="87">
        <v>0</v>
      </c>
      <c r="H91" s="87">
        <v>0</v>
      </c>
      <c r="I91" s="87">
        <v>0</v>
      </c>
      <c r="J91" s="87">
        <v>0</v>
      </c>
      <c r="K91" s="87">
        <v>0</v>
      </c>
      <c r="L91" s="87">
        <v>0</v>
      </c>
      <c r="M91" s="87">
        <v>0</v>
      </c>
      <c r="N91" s="87">
        <v>1</v>
      </c>
      <c r="O91" s="87">
        <v>0</v>
      </c>
      <c r="P91" s="87">
        <v>0</v>
      </c>
      <c r="Q91" s="87">
        <v>0</v>
      </c>
      <c r="R91" s="87">
        <v>0</v>
      </c>
      <c r="S91" s="87">
        <v>0</v>
      </c>
      <c r="T91" s="87">
        <v>0</v>
      </c>
      <c r="U91" s="87">
        <v>0</v>
      </c>
      <c r="V91" s="87">
        <v>0</v>
      </c>
      <c r="W91" s="87">
        <v>0</v>
      </c>
      <c r="X91" s="87">
        <v>0</v>
      </c>
      <c r="Y91" s="87">
        <v>0</v>
      </c>
      <c r="Z91" s="87">
        <v>0</v>
      </c>
      <c r="AA91" s="87">
        <v>0</v>
      </c>
      <c r="AB91" s="87">
        <v>0</v>
      </c>
      <c r="AC91" s="87">
        <v>0</v>
      </c>
      <c r="AD91" s="87">
        <v>0</v>
      </c>
      <c r="AE91" s="87">
        <v>0</v>
      </c>
      <c r="AF91" s="87">
        <v>0</v>
      </c>
      <c r="AG91" s="87">
        <v>0</v>
      </c>
      <c r="AH91" s="87">
        <v>0</v>
      </c>
      <c r="AI91" s="87">
        <v>0</v>
      </c>
      <c r="AJ91" s="87">
        <v>0</v>
      </c>
      <c r="AK91" s="87">
        <v>0</v>
      </c>
      <c r="AL91" s="87">
        <v>0</v>
      </c>
      <c r="AM91" s="87">
        <v>0</v>
      </c>
      <c r="AN91" s="87">
        <v>0</v>
      </c>
      <c r="AO91" s="87">
        <v>0</v>
      </c>
      <c r="AP91" s="87">
        <v>0</v>
      </c>
      <c r="AQ91" s="87">
        <v>0</v>
      </c>
      <c r="AR91" s="87">
        <v>0</v>
      </c>
      <c r="AS91" s="87">
        <v>0</v>
      </c>
      <c r="AT91" s="87">
        <v>0</v>
      </c>
      <c r="AU91" s="87">
        <v>0</v>
      </c>
      <c r="AV91" s="87">
        <v>0</v>
      </c>
      <c r="AW91" s="87">
        <v>0</v>
      </c>
      <c r="AX91" s="87">
        <v>0</v>
      </c>
      <c r="AY91" s="87">
        <v>0</v>
      </c>
      <c r="AZ91" s="87">
        <v>0</v>
      </c>
      <c r="BA91" s="87">
        <v>0</v>
      </c>
      <c r="BB91" s="87">
        <v>0</v>
      </c>
      <c r="BC91" s="87">
        <v>0</v>
      </c>
      <c r="BD91" s="87">
        <v>0</v>
      </c>
      <c r="BE91" s="87">
        <v>0</v>
      </c>
      <c r="BF91" s="87">
        <v>0</v>
      </c>
      <c r="BG91" s="87">
        <v>0</v>
      </c>
      <c r="BH91" s="87">
        <v>0</v>
      </c>
      <c r="BI91" s="87">
        <v>0</v>
      </c>
      <c r="BJ91" s="87">
        <v>0</v>
      </c>
      <c r="BK91" s="87">
        <v>0</v>
      </c>
      <c r="BL91" s="87">
        <v>0</v>
      </c>
      <c r="BM91" s="87">
        <v>0</v>
      </c>
      <c r="BN91" s="87">
        <v>0</v>
      </c>
      <c r="BO91" s="87">
        <v>0</v>
      </c>
      <c r="BP91" s="87">
        <v>0</v>
      </c>
      <c r="BQ91" s="87">
        <v>0</v>
      </c>
      <c r="BR91" s="87">
        <v>0</v>
      </c>
      <c r="BS91" s="87">
        <v>0</v>
      </c>
      <c r="BW91">
        <f t="shared" si="4"/>
        <v>232672.48590733891</v>
      </c>
      <c r="BX91">
        <f t="shared" si="5"/>
        <v>34839.716621068001</v>
      </c>
      <c r="BY91">
        <f t="shared" si="6"/>
        <v>371094.06353103736</v>
      </c>
      <c r="BZ91">
        <f t="shared" si="7"/>
        <v>76179.776535406141</v>
      </c>
      <c r="CA91">
        <f t="shared" si="8"/>
        <v>15011.396028380053</v>
      </c>
      <c r="CB91">
        <f t="shared" si="9"/>
        <v>51551.176130883803</v>
      </c>
      <c r="CC91">
        <f t="shared" si="10"/>
        <v>177768.63125311004</v>
      </c>
      <c r="CD91">
        <f t="shared" si="11"/>
        <v>128259.05724192546</v>
      </c>
      <c r="CE91">
        <f t="shared" si="12"/>
        <v>278847.59643141937</v>
      </c>
      <c r="CF91">
        <f t="shared" si="13"/>
        <v>119292.47302789842</v>
      </c>
      <c r="CG91">
        <f t="shared" si="14"/>
        <v>83770.04231671372</v>
      </c>
      <c r="CH91">
        <f t="shared" si="15"/>
        <v>300092.07254081866</v>
      </c>
      <c r="CI91">
        <f t="shared" si="16"/>
        <v>239004.30542355054</v>
      </c>
      <c r="CJ91">
        <f t="shared" si="17"/>
        <v>373508.54190304613</v>
      </c>
      <c r="CK91">
        <f t="shared" si="18"/>
        <v>335805.16136012977</v>
      </c>
      <c r="CL91">
        <f t="shared" si="19"/>
        <v>78625.343120143414</v>
      </c>
      <c r="CM91">
        <f t="shared" si="20"/>
        <v>243781.44385618682</v>
      </c>
      <c r="CN91">
        <f t="shared" si="21"/>
        <v>548861.54802201549</v>
      </c>
      <c r="CO91">
        <f t="shared" si="22"/>
        <v>143806.93864198707</v>
      </c>
      <c r="CP91">
        <f t="shared" si="23"/>
        <v>465205.04703729611</v>
      </c>
      <c r="CQ91">
        <f t="shared" si="24"/>
        <v>342340.40920507541</v>
      </c>
      <c r="CR91">
        <f t="shared" si="25"/>
        <v>216877.32727484047</v>
      </c>
      <c r="CS91">
        <f t="shared" si="26"/>
        <v>202257.42757550368</v>
      </c>
      <c r="CT91">
        <f t="shared" si="27"/>
        <v>45234.347346962793</v>
      </c>
      <c r="CU91">
        <f t="shared" si="28"/>
        <v>46567.357189394708</v>
      </c>
      <c r="CV91">
        <f t="shared" si="29"/>
        <v>174837.79805898081</v>
      </c>
      <c r="CW91">
        <f t="shared" si="30"/>
        <v>280799.51465892419</v>
      </c>
      <c r="CX91">
        <f t="shared" si="31"/>
        <v>535023.54635062267</v>
      </c>
      <c r="CY91">
        <f t="shared" si="32"/>
        <v>559587.29484140966</v>
      </c>
      <c r="CZ91">
        <f t="shared" si="33"/>
        <v>895036.38006964535</v>
      </c>
      <c r="DA91">
        <f t="shared" si="34"/>
        <v>396678.46605921059</v>
      </c>
      <c r="DB91">
        <f t="shared" si="35"/>
        <v>234239.97799612756</v>
      </c>
      <c r="DC91">
        <f t="shared" si="36"/>
        <v>473059.82230215718</v>
      </c>
      <c r="DD91">
        <f t="shared" si="37"/>
        <v>287782.4716443739</v>
      </c>
      <c r="DE91">
        <f t="shared" si="38"/>
        <v>16054.733336787096</v>
      </c>
      <c r="DF91">
        <f t="shared" si="39"/>
        <v>1286310.0508836138</v>
      </c>
      <c r="DG91">
        <f t="shared" si="40"/>
        <v>893143.98897724436</v>
      </c>
      <c r="DH91">
        <f t="shared" si="41"/>
        <v>1623548.423859294</v>
      </c>
      <c r="DI91">
        <f t="shared" si="42"/>
        <v>722831.67721237696</v>
      </c>
      <c r="DJ91">
        <f t="shared" si="43"/>
        <v>107926.25122295273</v>
      </c>
      <c r="DK91">
        <f t="shared" si="44"/>
        <v>242301.8182004696</v>
      </c>
      <c r="DL91">
        <f t="shared" si="45"/>
        <v>659312.97889831674</v>
      </c>
      <c r="DM91">
        <f t="shared" si="46"/>
        <v>524533.04434630182</v>
      </c>
      <c r="DN91">
        <f t="shared" si="47"/>
        <v>1075349.3540120444</v>
      </c>
      <c r="DO91">
        <f t="shared" si="48"/>
        <v>511028.73918927449</v>
      </c>
      <c r="DP91">
        <f t="shared" si="49"/>
        <v>407559.59327890177</v>
      </c>
      <c r="DQ91">
        <f t="shared" si="50"/>
        <v>1569650.1165033495</v>
      </c>
      <c r="DR91">
        <f t="shared" si="51"/>
        <v>957347.05206124531</v>
      </c>
      <c r="DS91">
        <f t="shared" si="52"/>
        <v>3083124.2803492225</v>
      </c>
      <c r="DT91">
        <f t="shared" si="53"/>
        <v>1424345.6888533481</v>
      </c>
      <c r="DU91">
        <f t="shared" si="54"/>
        <v>286432.00777863746</v>
      </c>
      <c r="DV91">
        <f t="shared" si="55"/>
        <v>821100.50361601345</v>
      </c>
      <c r="DW91">
        <f t="shared" si="56"/>
        <v>2299136.698331038</v>
      </c>
      <c r="DX91">
        <f t="shared" si="57"/>
        <v>293014.52491573431</v>
      </c>
      <c r="DY91">
        <f t="shared" si="58"/>
        <v>1915092.0855130535</v>
      </c>
      <c r="DZ91">
        <f t="shared" si="59"/>
        <v>1424598.8141382507</v>
      </c>
      <c r="EA91">
        <f t="shared" si="60"/>
        <v>893807.36194519117</v>
      </c>
      <c r="EB91">
        <f t="shared" si="61"/>
        <v>873045.10770683433</v>
      </c>
      <c r="EC91">
        <f t="shared" si="62"/>
        <v>172667.98047041756</v>
      </c>
      <c r="ED91">
        <f t="shared" si="63"/>
        <v>158275.61400955019</v>
      </c>
      <c r="EE91">
        <f t="shared" si="64"/>
        <v>339889.57649215817</v>
      </c>
      <c r="EF91">
        <f t="shared" si="65"/>
        <v>1066157.8740950515</v>
      </c>
      <c r="EG91">
        <f t="shared" si="66"/>
        <v>2400668.2565451581</v>
      </c>
      <c r="EH91">
        <f t="shared" si="67"/>
        <v>2048167.0876273166</v>
      </c>
      <c r="EI91">
        <f t="shared" si="68"/>
        <v>2607288.2817202033</v>
      </c>
      <c r="EJ91">
        <f t="shared" si="69"/>
        <v>2223661.2399123828</v>
      </c>
      <c r="EK91">
        <f t="shared" si="70"/>
        <v>572206.44202303689</v>
      </c>
      <c r="EL91">
        <f t="shared" si="71"/>
        <v>1331605.0107849902</v>
      </c>
      <c r="EM91">
        <f t="shared" si="72"/>
        <v>1055708.2325378691</v>
      </c>
      <c r="EN91">
        <f t="shared" si="73"/>
        <v>13763.763575251673</v>
      </c>
    </row>
    <row r="92" spans="2:144" x14ac:dyDescent="0.35">
      <c r="B92" s="87">
        <v>0</v>
      </c>
      <c r="C92" s="87">
        <v>0</v>
      </c>
      <c r="D92" s="87">
        <v>0</v>
      </c>
      <c r="E92" s="87">
        <v>0</v>
      </c>
      <c r="F92" s="87">
        <v>0</v>
      </c>
      <c r="G92" s="87">
        <v>0</v>
      </c>
      <c r="H92" s="87">
        <v>0</v>
      </c>
      <c r="I92" s="87">
        <v>0</v>
      </c>
      <c r="J92" s="87">
        <v>0</v>
      </c>
      <c r="K92" s="87">
        <v>0</v>
      </c>
      <c r="L92" s="87">
        <v>0</v>
      </c>
      <c r="M92" s="87">
        <v>0</v>
      </c>
      <c r="N92" s="87">
        <v>0</v>
      </c>
      <c r="O92" s="87">
        <v>1</v>
      </c>
      <c r="P92" s="87">
        <v>0</v>
      </c>
      <c r="Q92" s="87">
        <v>0</v>
      </c>
      <c r="R92" s="87">
        <v>0</v>
      </c>
      <c r="S92" s="87">
        <v>0</v>
      </c>
      <c r="T92" s="87">
        <v>0</v>
      </c>
      <c r="U92" s="87">
        <v>0</v>
      </c>
      <c r="V92" s="87">
        <v>0</v>
      </c>
      <c r="W92" s="87">
        <v>0</v>
      </c>
      <c r="X92" s="87">
        <v>0</v>
      </c>
      <c r="Y92" s="87">
        <v>0</v>
      </c>
      <c r="Z92" s="87">
        <v>0</v>
      </c>
      <c r="AA92" s="87">
        <v>0</v>
      </c>
      <c r="AB92" s="87">
        <v>0</v>
      </c>
      <c r="AC92" s="87">
        <v>0</v>
      </c>
      <c r="AD92" s="87">
        <v>0</v>
      </c>
      <c r="AE92" s="87">
        <v>0</v>
      </c>
      <c r="AF92" s="87">
        <v>0</v>
      </c>
      <c r="AG92" s="87">
        <v>0</v>
      </c>
      <c r="AH92" s="87">
        <v>0</v>
      </c>
      <c r="AI92" s="87">
        <v>0</v>
      </c>
      <c r="AJ92" s="87">
        <v>0</v>
      </c>
      <c r="AK92" s="87">
        <v>0</v>
      </c>
      <c r="AL92" s="87">
        <v>0</v>
      </c>
      <c r="AM92" s="87">
        <v>0</v>
      </c>
      <c r="AN92" s="87">
        <v>0</v>
      </c>
      <c r="AO92" s="87">
        <v>0</v>
      </c>
      <c r="AP92" s="87">
        <v>0</v>
      </c>
      <c r="AQ92" s="87">
        <v>0</v>
      </c>
      <c r="AR92" s="87">
        <v>0</v>
      </c>
      <c r="AS92" s="87">
        <v>0</v>
      </c>
      <c r="AT92" s="87">
        <v>0</v>
      </c>
      <c r="AU92" s="87">
        <v>0</v>
      </c>
      <c r="AV92" s="87">
        <v>0</v>
      </c>
      <c r="AW92" s="87">
        <v>0</v>
      </c>
      <c r="AX92" s="87">
        <v>0</v>
      </c>
      <c r="AY92" s="87">
        <v>0</v>
      </c>
      <c r="AZ92" s="87">
        <v>0</v>
      </c>
      <c r="BA92" s="87">
        <v>0</v>
      </c>
      <c r="BB92" s="87">
        <v>0</v>
      </c>
      <c r="BC92" s="87">
        <v>0</v>
      </c>
      <c r="BD92" s="87">
        <v>0</v>
      </c>
      <c r="BE92" s="87">
        <v>0</v>
      </c>
      <c r="BF92" s="87">
        <v>0</v>
      </c>
      <c r="BG92" s="87">
        <v>0</v>
      </c>
      <c r="BH92" s="87">
        <v>0</v>
      </c>
      <c r="BI92" s="87">
        <v>0</v>
      </c>
      <c r="BJ92" s="87">
        <v>0</v>
      </c>
      <c r="BK92" s="87">
        <v>0</v>
      </c>
      <c r="BL92" s="87">
        <v>0</v>
      </c>
      <c r="BM92" s="87">
        <v>0</v>
      </c>
      <c r="BN92" s="87">
        <v>0</v>
      </c>
      <c r="BO92" s="87">
        <v>0</v>
      </c>
      <c r="BP92" s="87">
        <v>0</v>
      </c>
      <c r="BQ92" s="87">
        <v>0</v>
      </c>
      <c r="BR92" s="87">
        <v>0</v>
      </c>
      <c r="BS92" s="87">
        <v>0</v>
      </c>
      <c r="BW92">
        <f t="shared" si="4"/>
        <v>232672.48590733891</v>
      </c>
      <c r="BX92">
        <f t="shared" si="5"/>
        <v>34839.716621068001</v>
      </c>
      <c r="BY92">
        <f t="shared" si="6"/>
        <v>371094.06353103736</v>
      </c>
      <c r="BZ92">
        <f t="shared" si="7"/>
        <v>76179.776535406141</v>
      </c>
      <c r="CA92">
        <f t="shared" si="8"/>
        <v>15011.396028380053</v>
      </c>
      <c r="CB92">
        <f t="shared" si="9"/>
        <v>51551.176130883803</v>
      </c>
      <c r="CC92">
        <f t="shared" si="10"/>
        <v>177768.63125311004</v>
      </c>
      <c r="CD92">
        <f t="shared" si="11"/>
        <v>128259.05724192546</v>
      </c>
      <c r="CE92">
        <f t="shared" si="12"/>
        <v>278847.59643141937</v>
      </c>
      <c r="CF92">
        <f t="shared" si="13"/>
        <v>119292.47302789842</v>
      </c>
      <c r="CG92">
        <f t="shared" si="14"/>
        <v>83770.04231671372</v>
      </c>
      <c r="CH92">
        <f t="shared" si="15"/>
        <v>300092.07254081866</v>
      </c>
      <c r="CI92">
        <f t="shared" si="16"/>
        <v>239004.30542355054</v>
      </c>
      <c r="CJ92">
        <f t="shared" si="17"/>
        <v>373508.54190304613</v>
      </c>
      <c r="CK92">
        <f t="shared" si="18"/>
        <v>335805.16136012977</v>
      </c>
      <c r="CL92">
        <f t="shared" si="19"/>
        <v>78625.343120143414</v>
      </c>
      <c r="CM92">
        <f t="shared" si="20"/>
        <v>243781.44385618682</v>
      </c>
      <c r="CN92">
        <f t="shared" si="21"/>
        <v>548861.54802201549</v>
      </c>
      <c r="CO92">
        <f t="shared" si="22"/>
        <v>143806.93864198707</v>
      </c>
      <c r="CP92">
        <f t="shared" si="23"/>
        <v>465205.04703729611</v>
      </c>
      <c r="CQ92">
        <f t="shared" si="24"/>
        <v>342340.40920507541</v>
      </c>
      <c r="CR92">
        <f t="shared" si="25"/>
        <v>216877.32727484047</v>
      </c>
      <c r="CS92">
        <f t="shared" si="26"/>
        <v>202257.42757550368</v>
      </c>
      <c r="CT92">
        <f t="shared" si="27"/>
        <v>45234.347346962793</v>
      </c>
      <c r="CU92">
        <f t="shared" si="28"/>
        <v>46567.357189394708</v>
      </c>
      <c r="CV92">
        <f t="shared" si="29"/>
        <v>174837.79805898081</v>
      </c>
      <c r="CW92">
        <f t="shared" si="30"/>
        <v>280799.51465892419</v>
      </c>
      <c r="CX92">
        <f t="shared" si="31"/>
        <v>535023.54635062267</v>
      </c>
      <c r="CY92">
        <f t="shared" si="32"/>
        <v>559587.29484140966</v>
      </c>
      <c r="CZ92">
        <f t="shared" si="33"/>
        <v>895036.38006964535</v>
      </c>
      <c r="DA92">
        <f t="shared" si="34"/>
        <v>396678.46605921059</v>
      </c>
      <c r="DB92">
        <f t="shared" si="35"/>
        <v>234239.97799612756</v>
      </c>
      <c r="DC92">
        <f t="shared" si="36"/>
        <v>473059.82230215718</v>
      </c>
      <c r="DD92">
        <f t="shared" si="37"/>
        <v>287782.4716443739</v>
      </c>
      <c r="DE92">
        <f t="shared" si="38"/>
        <v>16054.733336787096</v>
      </c>
      <c r="DF92">
        <f t="shared" si="39"/>
        <v>1286310.0508836138</v>
      </c>
      <c r="DG92">
        <f t="shared" si="40"/>
        <v>893143.98897724436</v>
      </c>
      <c r="DH92">
        <f t="shared" si="41"/>
        <v>1623548.423859294</v>
      </c>
      <c r="DI92">
        <f t="shared" si="42"/>
        <v>722831.67721237696</v>
      </c>
      <c r="DJ92">
        <f t="shared" si="43"/>
        <v>107926.25122295273</v>
      </c>
      <c r="DK92">
        <f t="shared" si="44"/>
        <v>242301.8182004696</v>
      </c>
      <c r="DL92">
        <f t="shared" si="45"/>
        <v>659312.97889831674</v>
      </c>
      <c r="DM92">
        <f t="shared" si="46"/>
        <v>524533.04434630182</v>
      </c>
      <c r="DN92">
        <f t="shared" si="47"/>
        <v>1075349.3540120444</v>
      </c>
      <c r="DO92">
        <f t="shared" si="48"/>
        <v>511028.73918927449</v>
      </c>
      <c r="DP92">
        <f t="shared" si="49"/>
        <v>407559.59327890177</v>
      </c>
      <c r="DQ92">
        <f t="shared" si="50"/>
        <v>1569650.1165033495</v>
      </c>
      <c r="DR92">
        <f t="shared" si="51"/>
        <v>957347.05206124531</v>
      </c>
      <c r="DS92">
        <f t="shared" si="52"/>
        <v>3083124.2803492225</v>
      </c>
      <c r="DT92">
        <f t="shared" si="53"/>
        <v>1424345.6888533481</v>
      </c>
      <c r="DU92">
        <f t="shared" si="54"/>
        <v>286432.00777863746</v>
      </c>
      <c r="DV92">
        <f t="shared" si="55"/>
        <v>821100.50361601345</v>
      </c>
      <c r="DW92">
        <f t="shared" si="56"/>
        <v>2299136.698331038</v>
      </c>
      <c r="DX92">
        <f t="shared" si="57"/>
        <v>293014.52491573431</v>
      </c>
      <c r="DY92">
        <f t="shared" si="58"/>
        <v>1915092.0855130535</v>
      </c>
      <c r="DZ92">
        <f t="shared" si="59"/>
        <v>1424598.8141382507</v>
      </c>
      <c r="EA92">
        <f t="shared" si="60"/>
        <v>893807.36194519117</v>
      </c>
      <c r="EB92">
        <f t="shared" si="61"/>
        <v>873045.10770683433</v>
      </c>
      <c r="EC92">
        <f t="shared" si="62"/>
        <v>172667.98047041756</v>
      </c>
      <c r="ED92">
        <f t="shared" si="63"/>
        <v>158275.61400955019</v>
      </c>
      <c r="EE92">
        <f t="shared" si="64"/>
        <v>339889.57649215817</v>
      </c>
      <c r="EF92">
        <f t="shared" si="65"/>
        <v>1066157.8740950515</v>
      </c>
      <c r="EG92">
        <f t="shared" si="66"/>
        <v>2400668.2565451581</v>
      </c>
      <c r="EH92">
        <f t="shared" si="67"/>
        <v>2048167.0876273166</v>
      </c>
      <c r="EI92">
        <f t="shared" si="68"/>
        <v>2607288.2817202033</v>
      </c>
      <c r="EJ92">
        <f t="shared" si="69"/>
        <v>2223661.2399123828</v>
      </c>
      <c r="EK92">
        <f t="shared" si="70"/>
        <v>572206.44202303689</v>
      </c>
      <c r="EL92">
        <f t="shared" si="71"/>
        <v>1331605.0107849902</v>
      </c>
      <c r="EM92">
        <f t="shared" si="72"/>
        <v>1055708.2325378691</v>
      </c>
      <c r="EN92">
        <f t="shared" si="73"/>
        <v>13763.763575251673</v>
      </c>
    </row>
    <row r="93" spans="2:144" x14ac:dyDescent="0.35">
      <c r="B93" s="87">
        <v>0</v>
      </c>
      <c r="C93" s="87">
        <v>0</v>
      </c>
      <c r="D93" s="87">
        <v>0</v>
      </c>
      <c r="E93" s="87">
        <v>0</v>
      </c>
      <c r="F93" s="87">
        <v>0</v>
      </c>
      <c r="G93" s="87">
        <v>0</v>
      </c>
      <c r="H93" s="87">
        <v>0</v>
      </c>
      <c r="I93" s="87">
        <v>0</v>
      </c>
      <c r="J93" s="87">
        <v>0</v>
      </c>
      <c r="K93" s="87">
        <v>0</v>
      </c>
      <c r="L93" s="87">
        <v>0</v>
      </c>
      <c r="M93" s="87">
        <v>0</v>
      </c>
      <c r="N93" s="87">
        <v>0</v>
      </c>
      <c r="O93" s="87">
        <v>0</v>
      </c>
      <c r="P93" s="87">
        <v>1</v>
      </c>
      <c r="Q93" s="87">
        <v>0</v>
      </c>
      <c r="R93" s="87">
        <v>0</v>
      </c>
      <c r="S93" s="87">
        <v>0</v>
      </c>
      <c r="T93" s="87">
        <v>0</v>
      </c>
      <c r="U93" s="87">
        <v>0</v>
      </c>
      <c r="V93" s="87">
        <v>0</v>
      </c>
      <c r="W93" s="87">
        <v>0</v>
      </c>
      <c r="X93" s="87">
        <v>0</v>
      </c>
      <c r="Y93" s="87">
        <v>0</v>
      </c>
      <c r="Z93" s="87">
        <v>0</v>
      </c>
      <c r="AA93" s="87">
        <v>0</v>
      </c>
      <c r="AB93" s="87">
        <v>0</v>
      </c>
      <c r="AC93" s="87">
        <v>0</v>
      </c>
      <c r="AD93" s="87">
        <v>0</v>
      </c>
      <c r="AE93" s="87">
        <v>0</v>
      </c>
      <c r="AF93" s="87">
        <v>0</v>
      </c>
      <c r="AG93" s="87">
        <v>0</v>
      </c>
      <c r="AH93" s="87">
        <v>0</v>
      </c>
      <c r="AI93" s="87">
        <v>0</v>
      </c>
      <c r="AJ93" s="87">
        <v>0</v>
      </c>
      <c r="AK93" s="87">
        <v>0</v>
      </c>
      <c r="AL93" s="87">
        <v>0</v>
      </c>
      <c r="AM93" s="87">
        <v>0</v>
      </c>
      <c r="AN93" s="87">
        <v>0</v>
      </c>
      <c r="AO93" s="87">
        <v>0</v>
      </c>
      <c r="AP93" s="87">
        <v>0</v>
      </c>
      <c r="AQ93" s="87">
        <v>0</v>
      </c>
      <c r="AR93" s="87">
        <v>0</v>
      </c>
      <c r="AS93" s="87">
        <v>0</v>
      </c>
      <c r="AT93" s="87">
        <v>0</v>
      </c>
      <c r="AU93" s="87">
        <v>0</v>
      </c>
      <c r="AV93" s="87">
        <v>0</v>
      </c>
      <c r="AW93" s="87">
        <v>0</v>
      </c>
      <c r="AX93" s="87">
        <v>0</v>
      </c>
      <c r="AY93" s="87">
        <v>0</v>
      </c>
      <c r="AZ93" s="87">
        <v>0</v>
      </c>
      <c r="BA93" s="87">
        <v>0</v>
      </c>
      <c r="BB93" s="87">
        <v>0</v>
      </c>
      <c r="BC93" s="87">
        <v>0</v>
      </c>
      <c r="BD93" s="87">
        <v>0</v>
      </c>
      <c r="BE93" s="87">
        <v>0</v>
      </c>
      <c r="BF93" s="87">
        <v>0</v>
      </c>
      <c r="BG93" s="87">
        <v>0</v>
      </c>
      <c r="BH93" s="87">
        <v>0</v>
      </c>
      <c r="BI93" s="87">
        <v>0</v>
      </c>
      <c r="BJ93" s="87">
        <v>0</v>
      </c>
      <c r="BK93" s="87">
        <v>0</v>
      </c>
      <c r="BL93" s="87">
        <v>0</v>
      </c>
      <c r="BM93" s="87">
        <v>0</v>
      </c>
      <c r="BN93" s="87">
        <v>0</v>
      </c>
      <c r="BO93" s="87">
        <v>0</v>
      </c>
      <c r="BP93" s="87">
        <v>0</v>
      </c>
      <c r="BQ93" s="87">
        <v>0</v>
      </c>
      <c r="BR93" s="87">
        <v>0</v>
      </c>
      <c r="BS93" s="87">
        <v>0</v>
      </c>
      <c r="BW93">
        <f t="shared" si="4"/>
        <v>232672.48590733891</v>
      </c>
      <c r="BX93">
        <f t="shared" si="5"/>
        <v>34839.716621068001</v>
      </c>
      <c r="BY93">
        <f t="shared" si="6"/>
        <v>371094.06353103736</v>
      </c>
      <c r="BZ93">
        <f t="shared" si="7"/>
        <v>76179.776535406141</v>
      </c>
      <c r="CA93">
        <f t="shared" si="8"/>
        <v>15011.396028380053</v>
      </c>
      <c r="CB93">
        <f t="shared" si="9"/>
        <v>51551.176130883803</v>
      </c>
      <c r="CC93">
        <f t="shared" si="10"/>
        <v>177768.63125311004</v>
      </c>
      <c r="CD93">
        <f t="shared" si="11"/>
        <v>128259.05724192546</v>
      </c>
      <c r="CE93">
        <f t="shared" si="12"/>
        <v>278847.59643141937</v>
      </c>
      <c r="CF93">
        <f t="shared" si="13"/>
        <v>119292.47302789842</v>
      </c>
      <c r="CG93">
        <f t="shared" si="14"/>
        <v>83770.04231671372</v>
      </c>
      <c r="CH93">
        <f t="shared" si="15"/>
        <v>300092.07254081866</v>
      </c>
      <c r="CI93">
        <f t="shared" si="16"/>
        <v>239004.30542355054</v>
      </c>
      <c r="CJ93">
        <f t="shared" si="17"/>
        <v>373508.54190304613</v>
      </c>
      <c r="CK93">
        <f t="shared" si="18"/>
        <v>335805.16136012977</v>
      </c>
      <c r="CL93">
        <f t="shared" si="19"/>
        <v>78625.343120143414</v>
      </c>
      <c r="CM93">
        <f t="shared" si="20"/>
        <v>243781.44385618682</v>
      </c>
      <c r="CN93">
        <f t="shared" si="21"/>
        <v>548861.54802201549</v>
      </c>
      <c r="CO93">
        <f t="shared" si="22"/>
        <v>143806.93864198707</v>
      </c>
      <c r="CP93">
        <f t="shared" si="23"/>
        <v>465205.04703729611</v>
      </c>
      <c r="CQ93">
        <f t="shared" si="24"/>
        <v>342340.40920507541</v>
      </c>
      <c r="CR93">
        <f t="shared" si="25"/>
        <v>216877.32727484047</v>
      </c>
      <c r="CS93">
        <f t="shared" si="26"/>
        <v>202257.42757550368</v>
      </c>
      <c r="CT93">
        <f t="shared" si="27"/>
        <v>45234.347346962793</v>
      </c>
      <c r="CU93">
        <f t="shared" si="28"/>
        <v>46567.357189394708</v>
      </c>
      <c r="CV93">
        <f t="shared" si="29"/>
        <v>174837.79805898081</v>
      </c>
      <c r="CW93">
        <f t="shared" si="30"/>
        <v>280799.51465892419</v>
      </c>
      <c r="CX93">
        <f t="shared" si="31"/>
        <v>535023.54635062267</v>
      </c>
      <c r="CY93">
        <f t="shared" si="32"/>
        <v>559587.29484140966</v>
      </c>
      <c r="CZ93">
        <f t="shared" si="33"/>
        <v>895036.38006964535</v>
      </c>
      <c r="DA93">
        <f t="shared" si="34"/>
        <v>396678.46605921059</v>
      </c>
      <c r="DB93">
        <f t="shared" si="35"/>
        <v>234239.97799612756</v>
      </c>
      <c r="DC93">
        <f t="shared" si="36"/>
        <v>473059.82230215718</v>
      </c>
      <c r="DD93">
        <f t="shared" si="37"/>
        <v>287782.4716443739</v>
      </c>
      <c r="DE93">
        <f t="shared" si="38"/>
        <v>16054.733336787096</v>
      </c>
      <c r="DF93">
        <f t="shared" si="39"/>
        <v>1286310.0508836138</v>
      </c>
      <c r="DG93">
        <f t="shared" si="40"/>
        <v>893143.98897724436</v>
      </c>
      <c r="DH93">
        <f t="shared" si="41"/>
        <v>1623548.423859294</v>
      </c>
      <c r="DI93">
        <f t="shared" si="42"/>
        <v>722831.67721237696</v>
      </c>
      <c r="DJ93">
        <f t="shared" si="43"/>
        <v>107926.25122295273</v>
      </c>
      <c r="DK93">
        <f t="shared" si="44"/>
        <v>242301.8182004696</v>
      </c>
      <c r="DL93">
        <f t="shared" si="45"/>
        <v>659312.97889831674</v>
      </c>
      <c r="DM93">
        <f t="shared" si="46"/>
        <v>524533.04434630182</v>
      </c>
      <c r="DN93">
        <f t="shared" si="47"/>
        <v>1075349.3540120444</v>
      </c>
      <c r="DO93">
        <f t="shared" si="48"/>
        <v>511028.73918927449</v>
      </c>
      <c r="DP93">
        <f t="shared" si="49"/>
        <v>407559.59327890177</v>
      </c>
      <c r="DQ93">
        <f t="shared" si="50"/>
        <v>1569650.1165033495</v>
      </c>
      <c r="DR93">
        <f t="shared" si="51"/>
        <v>957347.05206124531</v>
      </c>
      <c r="DS93">
        <f t="shared" si="52"/>
        <v>3083124.2803492225</v>
      </c>
      <c r="DT93">
        <f t="shared" si="53"/>
        <v>1424345.6888533481</v>
      </c>
      <c r="DU93">
        <f t="shared" si="54"/>
        <v>286432.00777863746</v>
      </c>
      <c r="DV93">
        <f t="shared" si="55"/>
        <v>821100.50361601345</v>
      </c>
      <c r="DW93">
        <f t="shared" si="56"/>
        <v>2299136.698331038</v>
      </c>
      <c r="DX93">
        <f t="shared" si="57"/>
        <v>293014.52491573431</v>
      </c>
      <c r="DY93">
        <f t="shared" si="58"/>
        <v>1915092.0855130535</v>
      </c>
      <c r="DZ93">
        <f t="shared" si="59"/>
        <v>1424598.8141382507</v>
      </c>
      <c r="EA93">
        <f t="shared" si="60"/>
        <v>893807.36194519117</v>
      </c>
      <c r="EB93">
        <f t="shared" si="61"/>
        <v>873045.10770683433</v>
      </c>
      <c r="EC93">
        <f t="shared" si="62"/>
        <v>172667.98047041756</v>
      </c>
      <c r="ED93">
        <f t="shared" si="63"/>
        <v>158275.61400955019</v>
      </c>
      <c r="EE93">
        <f t="shared" si="64"/>
        <v>339889.57649215817</v>
      </c>
      <c r="EF93">
        <f t="shared" si="65"/>
        <v>1066157.8740950515</v>
      </c>
      <c r="EG93">
        <f t="shared" si="66"/>
        <v>2400668.2565451581</v>
      </c>
      <c r="EH93">
        <f t="shared" si="67"/>
        <v>2048167.0876273166</v>
      </c>
      <c r="EI93">
        <f t="shared" si="68"/>
        <v>2607288.2817202033</v>
      </c>
      <c r="EJ93">
        <f t="shared" si="69"/>
        <v>2223661.2399123828</v>
      </c>
      <c r="EK93">
        <f t="shared" si="70"/>
        <v>572206.44202303689</v>
      </c>
      <c r="EL93">
        <f t="shared" si="71"/>
        <v>1331605.0107849902</v>
      </c>
      <c r="EM93">
        <f t="shared" si="72"/>
        <v>1055708.2325378691</v>
      </c>
      <c r="EN93">
        <f t="shared" si="73"/>
        <v>13763.763575251673</v>
      </c>
    </row>
    <row r="94" spans="2:144" x14ac:dyDescent="0.35">
      <c r="B94" s="87">
        <v>0</v>
      </c>
      <c r="C94" s="87">
        <v>0</v>
      </c>
      <c r="D94" s="87">
        <v>0</v>
      </c>
      <c r="E94" s="87">
        <v>0</v>
      </c>
      <c r="F94" s="87">
        <v>0</v>
      </c>
      <c r="G94" s="87">
        <v>0</v>
      </c>
      <c r="H94" s="87">
        <v>0</v>
      </c>
      <c r="I94" s="87">
        <v>0</v>
      </c>
      <c r="J94" s="87">
        <v>0</v>
      </c>
      <c r="K94" s="87">
        <v>0</v>
      </c>
      <c r="L94" s="87">
        <v>0</v>
      </c>
      <c r="M94" s="87">
        <v>0</v>
      </c>
      <c r="N94" s="87">
        <v>0</v>
      </c>
      <c r="O94" s="87">
        <v>0</v>
      </c>
      <c r="P94" s="87">
        <v>0</v>
      </c>
      <c r="Q94" s="87">
        <v>1</v>
      </c>
      <c r="R94" s="87">
        <v>0</v>
      </c>
      <c r="S94" s="87">
        <v>0</v>
      </c>
      <c r="T94" s="87">
        <v>0</v>
      </c>
      <c r="U94" s="87">
        <v>0</v>
      </c>
      <c r="V94" s="87">
        <v>0</v>
      </c>
      <c r="W94" s="87">
        <v>0</v>
      </c>
      <c r="X94" s="87">
        <v>0</v>
      </c>
      <c r="Y94" s="87">
        <v>0</v>
      </c>
      <c r="Z94" s="87">
        <v>0</v>
      </c>
      <c r="AA94" s="87">
        <v>0</v>
      </c>
      <c r="AB94" s="87">
        <v>0</v>
      </c>
      <c r="AC94" s="87">
        <v>0</v>
      </c>
      <c r="AD94" s="87">
        <v>0</v>
      </c>
      <c r="AE94" s="87">
        <v>0</v>
      </c>
      <c r="AF94" s="87">
        <v>0</v>
      </c>
      <c r="AG94" s="87">
        <v>0</v>
      </c>
      <c r="AH94" s="87">
        <v>0</v>
      </c>
      <c r="AI94" s="87">
        <v>0</v>
      </c>
      <c r="AJ94" s="87">
        <v>0</v>
      </c>
      <c r="AK94" s="87">
        <v>0</v>
      </c>
      <c r="AL94" s="87">
        <v>0</v>
      </c>
      <c r="AM94" s="87">
        <v>0</v>
      </c>
      <c r="AN94" s="87">
        <v>0</v>
      </c>
      <c r="AO94" s="87">
        <v>0</v>
      </c>
      <c r="AP94" s="87">
        <v>0</v>
      </c>
      <c r="AQ94" s="87">
        <v>0</v>
      </c>
      <c r="AR94" s="87">
        <v>0</v>
      </c>
      <c r="AS94" s="87">
        <v>0</v>
      </c>
      <c r="AT94" s="87">
        <v>0</v>
      </c>
      <c r="AU94" s="87">
        <v>0</v>
      </c>
      <c r="AV94" s="87">
        <v>0</v>
      </c>
      <c r="AW94" s="87">
        <v>0</v>
      </c>
      <c r="AX94" s="87">
        <v>0</v>
      </c>
      <c r="AY94" s="87">
        <v>0</v>
      </c>
      <c r="AZ94" s="87">
        <v>0</v>
      </c>
      <c r="BA94" s="87">
        <v>0</v>
      </c>
      <c r="BB94" s="87">
        <v>0</v>
      </c>
      <c r="BC94" s="87">
        <v>0</v>
      </c>
      <c r="BD94" s="87">
        <v>0</v>
      </c>
      <c r="BE94" s="87">
        <v>0</v>
      </c>
      <c r="BF94" s="87">
        <v>0</v>
      </c>
      <c r="BG94" s="87">
        <v>0</v>
      </c>
      <c r="BH94" s="87">
        <v>0</v>
      </c>
      <c r="BI94" s="87">
        <v>0</v>
      </c>
      <c r="BJ94" s="87">
        <v>0</v>
      </c>
      <c r="BK94" s="87">
        <v>0</v>
      </c>
      <c r="BL94" s="87">
        <v>0</v>
      </c>
      <c r="BM94" s="87">
        <v>0</v>
      </c>
      <c r="BN94" s="87">
        <v>0</v>
      </c>
      <c r="BO94" s="87">
        <v>0</v>
      </c>
      <c r="BP94" s="87">
        <v>0</v>
      </c>
      <c r="BQ94" s="87">
        <v>0</v>
      </c>
      <c r="BR94" s="87">
        <v>0</v>
      </c>
      <c r="BS94" s="87">
        <v>0</v>
      </c>
      <c r="BW94">
        <f t="shared" si="4"/>
        <v>232672.48590733891</v>
      </c>
      <c r="BX94">
        <f t="shared" si="5"/>
        <v>34839.716621068001</v>
      </c>
      <c r="BY94">
        <f t="shared" si="6"/>
        <v>371094.06353103736</v>
      </c>
      <c r="BZ94">
        <f t="shared" si="7"/>
        <v>76179.776535406141</v>
      </c>
      <c r="CA94">
        <f t="shared" si="8"/>
        <v>15011.396028380053</v>
      </c>
      <c r="CB94">
        <f t="shared" si="9"/>
        <v>51551.176130883803</v>
      </c>
      <c r="CC94">
        <f t="shared" si="10"/>
        <v>177768.63125311004</v>
      </c>
      <c r="CD94">
        <f t="shared" si="11"/>
        <v>128259.05724192546</v>
      </c>
      <c r="CE94">
        <f t="shared" si="12"/>
        <v>278847.59643141937</v>
      </c>
      <c r="CF94">
        <f t="shared" si="13"/>
        <v>119292.47302789842</v>
      </c>
      <c r="CG94">
        <f t="shared" si="14"/>
        <v>83770.04231671372</v>
      </c>
      <c r="CH94">
        <f t="shared" si="15"/>
        <v>300092.07254081866</v>
      </c>
      <c r="CI94">
        <f t="shared" si="16"/>
        <v>239004.30542355054</v>
      </c>
      <c r="CJ94">
        <f t="shared" si="17"/>
        <v>373508.54190304613</v>
      </c>
      <c r="CK94">
        <f t="shared" si="18"/>
        <v>335805.16136012977</v>
      </c>
      <c r="CL94">
        <f t="shared" si="19"/>
        <v>78625.343120143414</v>
      </c>
      <c r="CM94">
        <f t="shared" si="20"/>
        <v>243781.44385618682</v>
      </c>
      <c r="CN94">
        <f t="shared" si="21"/>
        <v>548861.54802201549</v>
      </c>
      <c r="CO94">
        <f t="shared" si="22"/>
        <v>143806.93864198707</v>
      </c>
      <c r="CP94">
        <f t="shared" si="23"/>
        <v>465205.04703729611</v>
      </c>
      <c r="CQ94">
        <f t="shared" si="24"/>
        <v>342340.40920507541</v>
      </c>
      <c r="CR94">
        <f t="shared" si="25"/>
        <v>216877.32727484047</v>
      </c>
      <c r="CS94">
        <f t="shared" si="26"/>
        <v>202257.42757550368</v>
      </c>
      <c r="CT94">
        <f t="shared" si="27"/>
        <v>45234.347346962793</v>
      </c>
      <c r="CU94">
        <f t="shared" si="28"/>
        <v>46567.357189394708</v>
      </c>
      <c r="CV94">
        <f t="shared" si="29"/>
        <v>174837.79805898081</v>
      </c>
      <c r="CW94">
        <f t="shared" si="30"/>
        <v>280799.51465892419</v>
      </c>
      <c r="CX94">
        <f t="shared" si="31"/>
        <v>535023.54635062267</v>
      </c>
      <c r="CY94">
        <f t="shared" si="32"/>
        <v>559587.29484140966</v>
      </c>
      <c r="CZ94">
        <f t="shared" si="33"/>
        <v>895036.38006964535</v>
      </c>
      <c r="DA94">
        <f t="shared" si="34"/>
        <v>396678.46605921059</v>
      </c>
      <c r="DB94">
        <f t="shared" si="35"/>
        <v>234239.97799612756</v>
      </c>
      <c r="DC94">
        <f t="shared" si="36"/>
        <v>473059.82230215718</v>
      </c>
      <c r="DD94">
        <f t="shared" si="37"/>
        <v>287782.4716443739</v>
      </c>
      <c r="DE94">
        <f t="shared" si="38"/>
        <v>16054.733336787096</v>
      </c>
      <c r="DF94">
        <f t="shared" si="39"/>
        <v>1286310.0508836138</v>
      </c>
      <c r="DG94">
        <f t="shared" si="40"/>
        <v>893143.98897724436</v>
      </c>
      <c r="DH94">
        <f t="shared" si="41"/>
        <v>1623548.423859294</v>
      </c>
      <c r="DI94">
        <f t="shared" si="42"/>
        <v>722831.67721237696</v>
      </c>
      <c r="DJ94">
        <f t="shared" si="43"/>
        <v>107926.25122295273</v>
      </c>
      <c r="DK94">
        <f t="shared" si="44"/>
        <v>242301.8182004696</v>
      </c>
      <c r="DL94">
        <f t="shared" si="45"/>
        <v>659312.97889831674</v>
      </c>
      <c r="DM94">
        <f t="shared" si="46"/>
        <v>524533.04434630182</v>
      </c>
      <c r="DN94">
        <f t="shared" si="47"/>
        <v>1075349.3540120444</v>
      </c>
      <c r="DO94">
        <f t="shared" si="48"/>
        <v>511028.73918927449</v>
      </c>
      <c r="DP94">
        <f t="shared" si="49"/>
        <v>407559.59327890177</v>
      </c>
      <c r="DQ94">
        <f t="shared" si="50"/>
        <v>1569650.1165033495</v>
      </c>
      <c r="DR94">
        <f t="shared" si="51"/>
        <v>957347.05206124531</v>
      </c>
      <c r="DS94">
        <f t="shared" si="52"/>
        <v>3083124.2803492225</v>
      </c>
      <c r="DT94">
        <f t="shared" si="53"/>
        <v>1424345.6888533481</v>
      </c>
      <c r="DU94">
        <f t="shared" si="54"/>
        <v>286432.00777863746</v>
      </c>
      <c r="DV94">
        <f t="shared" si="55"/>
        <v>821100.50361601345</v>
      </c>
      <c r="DW94">
        <f t="shared" si="56"/>
        <v>2299136.698331038</v>
      </c>
      <c r="DX94">
        <f t="shared" si="57"/>
        <v>293014.52491573431</v>
      </c>
      <c r="DY94">
        <f t="shared" si="58"/>
        <v>1915092.0855130535</v>
      </c>
      <c r="DZ94">
        <f t="shared" si="59"/>
        <v>1424598.8141382507</v>
      </c>
      <c r="EA94">
        <f t="shared" si="60"/>
        <v>893807.36194519117</v>
      </c>
      <c r="EB94">
        <f t="shared" si="61"/>
        <v>873045.10770683433</v>
      </c>
      <c r="EC94">
        <f t="shared" si="62"/>
        <v>172667.98047041756</v>
      </c>
      <c r="ED94">
        <f t="shared" si="63"/>
        <v>158275.61400955019</v>
      </c>
      <c r="EE94">
        <f t="shared" si="64"/>
        <v>339889.57649215817</v>
      </c>
      <c r="EF94">
        <f t="shared" si="65"/>
        <v>1066157.8740950515</v>
      </c>
      <c r="EG94">
        <f t="shared" si="66"/>
        <v>2400668.2565451581</v>
      </c>
      <c r="EH94">
        <f t="shared" si="67"/>
        <v>2048167.0876273166</v>
      </c>
      <c r="EI94">
        <f t="shared" si="68"/>
        <v>2607288.2817202033</v>
      </c>
      <c r="EJ94">
        <f t="shared" si="69"/>
        <v>2223661.2399123828</v>
      </c>
      <c r="EK94">
        <f t="shared" si="70"/>
        <v>572206.44202303689</v>
      </c>
      <c r="EL94">
        <f t="shared" si="71"/>
        <v>1331605.0107849902</v>
      </c>
      <c r="EM94">
        <f t="shared" si="72"/>
        <v>1055708.2325378691</v>
      </c>
      <c r="EN94">
        <f t="shared" si="73"/>
        <v>13763.763575251673</v>
      </c>
    </row>
    <row r="95" spans="2:144" x14ac:dyDescent="0.35">
      <c r="B95" s="87">
        <v>0</v>
      </c>
      <c r="C95" s="87">
        <v>0</v>
      </c>
      <c r="D95" s="87">
        <v>0</v>
      </c>
      <c r="E95" s="87">
        <v>0</v>
      </c>
      <c r="F95" s="87">
        <v>0</v>
      </c>
      <c r="G95" s="87">
        <v>0</v>
      </c>
      <c r="H95" s="87">
        <v>0</v>
      </c>
      <c r="I95" s="87">
        <v>0</v>
      </c>
      <c r="J95" s="87">
        <v>0</v>
      </c>
      <c r="K95" s="87">
        <v>0</v>
      </c>
      <c r="L95" s="87">
        <v>0</v>
      </c>
      <c r="M95" s="87">
        <v>0</v>
      </c>
      <c r="N95" s="87">
        <v>0</v>
      </c>
      <c r="O95" s="87">
        <v>0</v>
      </c>
      <c r="P95" s="87">
        <v>0</v>
      </c>
      <c r="Q95" s="87">
        <v>0</v>
      </c>
      <c r="R95" s="87">
        <v>1</v>
      </c>
      <c r="S95" s="87">
        <v>0</v>
      </c>
      <c r="T95" s="87">
        <v>0</v>
      </c>
      <c r="U95" s="87">
        <v>0</v>
      </c>
      <c r="V95" s="87">
        <v>0</v>
      </c>
      <c r="W95" s="87">
        <v>0</v>
      </c>
      <c r="X95" s="87">
        <v>0</v>
      </c>
      <c r="Y95" s="87">
        <v>0</v>
      </c>
      <c r="Z95" s="87">
        <v>0</v>
      </c>
      <c r="AA95" s="87">
        <v>0</v>
      </c>
      <c r="AB95" s="87">
        <v>0</v>
      </c>
      <c r="AC95" s="87">
        <v>0</v>
      </c>
      <c r="AD95" s="87">
        <v>0</v>
      </c>
      <c r="AE95" s="87">
        <v>0</v>
      </c>
      <c r="AF95" s="87">
        <v>0</v>
      </c>
      <c r="AG95" s="87">
        <v>0</v>
      </c>
      <c r="AH95" s="87">
        <v>0</v>
      </c>
      <c r="AI95" s="87">
        <v>0</v>
      </c>
      <c r="AJ95" s="87">
        <v>0</v>
      </c>
      <c r="AK95" s="87">
        <v>0</v>
      </c>
      <c r="AL95" s="87">
        <v>0</v>
      </c>
      <c r="AM95" s="87">
        <v>0</v>
      </c>
      <c r="AN95" s="87">
        <v>0</v>
      </c>
      <c r="AO95" s="87">
        <v>0</v>
      </c>
      <c r="AP95" s="87">
        <v>0</v>
      </c>
      <c r="AQ95" s="87">
        <v>0</v>
      </c>
      <c r="AR95" s="87">
        <v>0</v>
      </c>
      <c r="AS95" s="87">
        <v>0</v>
      </c>
      <c r="AT95" s="87">
        <v>0</v>
      </c>
      <c r="AU95" s="87">
        <v>0</v>
      </c>
      <c r="AV95" s="87">
        <v>0</v>
      </c>
      <c r="AW95" s="87">
        <v>0</v>
      </c>
      <c r="AX95" s="87">
        <v>0</v>
      </c>
      <c r="AY95" s="87">
        <v>0</v>
      </c>
      <c r="AZ95" s="87">
        <v>0</v>
      </c>
      <c r="BA95" s="87">
        <v>0</v>
      </c>
      <c r="BB95" s="87">
        <v>0</v>
      </c>
      <c r="BC95" s="87">
        <v>0</v>
      </c>
      <c r="BD95" s="87">
        <v>0</v>
      </c>
      <c r="BE95" s="87">
        <v>0</v>
      </c>
      <c r="BF95" s="87">
        <v>0</v>
      </c>
      <c r="BG95" s="87">
        <v>0</v>
      </c>
      <c r="BH95" s="87">
        <v>0</v>
      </c>
      <c r="BI95" s="87">
        <v>0</v>
      </c>
      <c r="BJ95" s="87">
        <v>0</v>
      </c>
      <c r="BK95" s="87">
        <v>0</v>
      </c>
      <c r="BL95" s="87">
        <v>0</v>
      </c>
      <c r="BM95" s="87">
        <v>0</v>
      </c>
      <c r="BN95" s="87">
        <v>0</v>
      </c>
      <c r="BO95" s="87">
        <v>0</v>
      </c>
      <c r="BP95" s="87">
        <v>0</v>
      </c>
      <c r="BQ95" s="87">
        <v>0</v>
      </c>
      <c r="BR95" s="87">
        <v>0</v>
      </c>
      <c r="BS95" s="87">
        <v>0</v>
      </c>
      <c r="BW95">
        <f t="shared" si="4"/>
        <v>232672.48590733891</v>
      </c>
      <c r="BX95">
        <f t="shared" si="5"/>
        <v>34839.716621068001</v>
      </c>
      <c r="BY95">
        <f t="shared" si="6"/>
        <v>371094.06353103736</v>
      </c>
      <c r="BZ95">
        <f t="shared" si="7"/>
        <v>76179.776535406141</v>
      </c>
      <c r="CA95">
        <f t="shared" si="8"/>
        <v>15011.396028380053</v>
      </c>
      <c r="CB95">
        <f t="shared" si="9"/>
        <v>51551.176130883803</v>
      </c>
      <c r="CC95">
        <f t="shared" si="10"/>
        <v>177768.63125311004</v>
      </c>
      <c r="CD95">
        <f t="shared" si="11"/>
        <v>128259.05724192546</v>
      </c>
      <c r="CE95">
        <f t="shared" si="12"/>
        <v>278847.59643141937</v>
      </c>
      <c r="CF95">
        <f t="shared" si="13"/>
        <v>119292.47302789842</v>
      </c>
      <c r="CG95">
        <f t="shared" si="14"/>
        <v>83770.04231671372</v>
      </c>
      <c r="CH95">
        <f t="shared" si="15"/>
        <v>300092.07254081866</v>
      </c>
      <c r="CI95">
        <f t="shared" si="16"/>
        <v>239004.30542355054</v>
      </c>
      <c r="CJ95">
        <f t="shared" si="17"/>
        <v>373508.54190304613</v>
      </c>
      <c r="CK95">
        <f t="shared" si="18"/>
        <v>335805.16136012977</v>
      </c>
      <c r="CL95">
        <f t="shared" si="19"/>
        <v>78625.343120143414</v>
      </c>
      <c r="CM95">
        <f t="shared" si="20"/>
        <v>243781.44385618682</v>
      </c>
      <c r="CN95">
        <f t="shared" si="21"/>
        <v>548861.54802201549</v>
      </c>
      <c r="CO95">
        <f t="shared" si="22"/>
        <v>143806.93864198707</v>
      </c>
      <c r="CP95">
        <f t="shared" si="23"/>
        <v>465205.04703729611</v>
      </c>
      <c r="CQ95">
        <f t="shared" si="24"/>
        <v>342340.40920507541</v>
      </c>
      <c r="CR95">
        <f t="shared" si="25"/>
        <v>216877.32727484047</v>
      </c>
      <c r="CS95">
        <f t="shared" si="26"/>
        <v>202257.42757550368</v>
      </c>
      <c r="CT95">
        <f t="shared" si="27"/>
        <v>45234.347346962793</v>
      </c>
      <c r="CU95">
        <f t="shared" si="28"/>
        <v>46567.357189394708</v>
      </c>
      <c r="CV95">
        <f t="shared" si="29"/>
        <v>174837.79805898081</v>
      </c>
      <c r="CW95">
        <f t="shared" si="30"/>
        <v>280799.51465892419</v>
      </c>
      <c r="CX95">
        <f t="shared" si="31"/>
        <v>535023.54635062267</v>
      </c>
      <c r="CY95">
        <f t="shared" si="32"/>
        <v>559587.29484140966</v>
      </c>
      <c r="CZ95">
        <f t="shared" si="33"/>
        <v>895036.38006964535</v>
      </c>
      <c r="DA95">
        <f t="shared" si="34"/>
        <v>396678.46605921059</v>
      </c>
      <c r="DB95">
        <f t="shared" si="35"/>
        <v>234239.97799612756</v>
      </c>
      <c r="DC95">
        <f t="shared" si="36"/>
        <v>473059.82230215718</v>
      </c>
      <c r="DD95">
        <f t="shared" si="37"/>
        <v>287782.4716443739</v>
      </c>
      <c r="DE95">
        <f t="shared" si="38"/>
        <v>16054.733336787096</v>
      </c>
      <c r="DF95">
        <f t="shared" si="39"/>
        <v>1286310.0508836138</v>
      </c>
      <c r="DG95">
        <f t="shared" si="40"/>
        <v>893143.98897724436</v>
      </c>
      <c r="DH95">
        <f t="shared" si="41"/>
        <v>1623548.423859294</v>
      </c>
      <c r="DI95">
        <f t="shared" si="42"/>
        <v>722831.67721237696</v>
      </c>
      <c r="DJ95">
        <f t="shared" si="43"/>
        <v>107926.25122295273</v>
      </c>
      <c r="DK95">
        <f t="shared" si="44"/>
        <v>242301.8182004696</v>
      </c>
      <c r="DL95">
        <f t="shared" si="45"/>
        <v>659312.97889831674</v>
      </c>
      <c r="DM95">
        <f t="shared" si="46"/>
        <v>524533.04434630182</v>
      </c>
      <c r="DN95">
        <f t="shared" si="47"/>
        <v>1075349.3540120444</v>
      </c>
      <c r="DO95">
        <f t="shared" si="48"/>
        <v>511028.73918927449</v>
      </c>
      <c r="DP95">
        <f t="shared" si="49"/>
        <v>407559.59327890177</v>
      </c>
      <c r="DQ95">
        <f t="shared" si="50"/>
        <v>1569650.1165033495</v>
      </c>
      <c r="DR95">
        <f t="shared" si="51"/>
        <v>957347.05206124531</v>
      </c>
      <c r="DS95">
        <f t="shared" si="52"/>
        <v>3083124.2803492225</v>
      </c>
      <c r="DT95">
        <f t="shared" si="53"/>
        <v>1424345.6888533481</v>
      </c>
      <c r="DU95">
        <f t="shared" si="54"/>
        <v>286432.00777863746</v>
      </c>
      <c r="DV95">
        <f t="shared" si="55"/>
        <v>821100.50361601345</v>
      </c>
      <c r="DW95">
        <f t="shared" si="56"/>
        <v>2299136.698331038</v>
      </c>
      <c r="DX95">
        <f t="shared" si="57"/>
        <v>293014.52491573431</v>
      </c>
      <c r="DY95">
        <f t="shared" si="58"/>
        <v>1915092.0855130535</v>
      </c>
      <c r="DZ95">
        <f t="shared" si="59"/>
        <v>1424598.8141382507</v>
      </c>
      <c r="EA95">
        <f t="shared" si="60"/>
        <v>893807.36194519117</v>
      </c>
      <c r="EB95">
        <f t="shared" si="61"/>
        <v>873045.10770683433</v>
      </c>
      <c r="EC95">
        <f t="shared" si="62"/>
        <v>172667.98047041756</v>
      </c>
      <c r="ED95">
        <f t="shared" si="63"/>
        <v>158275.61400955019</v>
      </c>
      <c r="EE95">
        <f t="shared" si="64"/>
        <v>339889.57649215817</v>
      </c>
      <c r="EF95">
        <f t="shared" si="65"/>
        <v>1066157.8740950515</v>
      </c>
      <c r="EG95">
        <f t="shared" si="66"/>
        <v>2400668.2565451581</v>
      </c>
      <c r="EH95">
        <f t="shared" si="67"/>
        <v>2048167.0876273166</v>
      </c>
      <c r="EI95">
        <f t="shared" si="68"/>
        <v>2607288.2817202033</v>
      </c>
      <c r="EJ95">
        <f t="shared" si="69"/>
        <v>2223661.2399123828</v>
      </c>
      <c r="EK95">
        <f t="shared" si="70"/>
        <v>572206.44202303689</v>
      </c>
      <c r="EL95">
        <f t="shared" si="71"/>
        <v>1331605.0107849902</v>
      </c>
      <c r="EM95">
        <f t="shared" si="72"/>
        <v>1055708.2325378691</v>
      </c>
      <c r="EN95">
        <f t="shared" si="73"/>
        <v>13763.763575251673</v>
      </c>
    </row>
    <row r="96" spans="2:144" x14ac:dyDescent="0.35">
      <c r="B96" s="87">
        <v>0</v>
      </c>
      <c r="C96" s="87">
        <v>0</v>
      </c>
      <c r="D96" s="87">
        <v>0</v>
      </c>
      <c r="E96" s="87">
        <v>0</v>
      </c>
      <c r="F96" s="87">
        <v>0</v>
      </c>
      <c r="G96" s="87">
        <v>0</v>
      </c>
      <c r="H96" s="87">
        <v>0</v>
      </c>
      <c r="I96" s="87">
        <v>0</v>
      </c>
      <c r="J96" s="87">
        <v>0</v>
      </c>
      <c r="K96" s="87">
        <v>0</v>
      </c>
      <c r="L96" s="87">
        <v>0</v>
      </c>
      <c r="M96" s="87">
        <v>0</v>
      </c>
      <c r="N96" s="87">
        <v>0</v>
      </c>
      <c r="O96" s="87">
        <v>0</v>
      </c>
      <c r="P96" s="87">
        <v>0</v>
      </c>
      <c r="Q96" s="87">
        <v>0</v>
      </c>
      <c r="R96" s="87">
        <v>0</v>
      </c>
      <c r="S96" s="87">
        <v>1</v>
      </c>
      <c r="T96" s="87">
        <v>0</v>
      </c>
      <c r="U96" s="87">
        <v>0</v>
      </c>
      <c r="V96" s="87">
        <v>0</v>
      </c>
      <c r="W96" s="87">
        <v>0</v>
      </c>
      <c r="X96" s="87">
        <v>0</v>
      </c>
      <c r="Y96" s="87">
        <v>0</v>
      </c>
      <c r="Z96" s="87">
        <v>0</v>
      </c>
      <c r="AA96" s="87">
        <v>0</v>
      </c>
      <c r="AB96" s="87">
        <v>0</v>
      </c>
      <c r="AC96" s="87">
        <v>0</v>
      </c>
      <c r="AD96" s="87">
        <v>0</v>
      </c>
      <c r="AE96" s="87">
        <v>0</v>
      </c>
      <c r="AF96" s="87">
        <v>0</v>
      </c>
      <c r="AG96" s="87">
        <v>0</v>
      </c>
      <c r="AH96" s="87">
        <v>0</v>
      </c>
      <c r="AI96" s="87">
        <v>0</v>
      </c>
      <c r="AJ96" s="87">
        <v>0</v>
      </c>
      <c r="AK96" s="87">
        <v>0</v>
      </c>
      <c r="AL96" s="87">
        <v>0</v>
      </c>
      <c r="AM96" s="87">
        <v>0</v>
      </c>
      <c r="AN96" s="87">
        <v>0</v>
      </c>
      <c r="AO96" s="87">
        <v>0</v>
      </c>
      <c r="AP96" s="87">
        <v>0</v>
      </c>
      <c r="AQ96" s="87">
        <v>0</v>
      </c>
      <c r="AR96" s="87">
        <v>0</v>
      </c>
      <c r="AS96" s="87">
        <v>0</v>
      </c>
      <c r="AT96" s="87">
        <v>0</v>
      </c>
      <c r="AU96" s="87">
        <v>0</v>
      </c>
      <c r="AV96" s="87">
        <v>0</v>
      </c>
      <c r="AW96" s="87">
        <v>0</v>
      </c>
      <c r="AX96" s="87">
        <v>0</v>
      </c>
      <c r="AY96" s="87">
        <v>0</v>
      </c>
      <c r="AZ96" s="87">
        <v>0</v>
      </c>
      <c r="BA96" s="87">
        <v>0</v>
      </c>
      <c r="BB96" s="87">
        <v>0</v>
      </c>
      <c r="BC96" s="87">
        <v>0</v>
      </c>
      <c r="BD96" s="87">
        <v>0</v>
      </c>
      <c r="BE96" s="87">
        <v>0</v>
      </c>
      <c r="BF96" s="87">
        <v>0</v>
      </c>
      <c r="BG96" s="87">
        <v>0</v>
      </c>
      <c r="BH96" s="87">
        <v>0</v>
      </c>
      <c r="BI96" s="87">
        <v>0</v>
      </c>
      <c r="BJ96" s="87">
        <v>0</v>
      </c>
      <c r="BK96" s="87">
        <v>0</v>
      </c>
      <c r="BL96" s="87">
        <v>0</v>
      </c>
      <c r="BM96" s="87">
        <v>0</v>
      </c>
      <c r="BN96" s="87">
        <v>0</v>
      </c>
      <c r="BO96" s="87">
        <v>0</v>
      </c>
      <c r="BP96" s="87">
        <v>0</v>
      </c>
      <c r="BQ96" s="87">
        <v>0</v>
      </c>
      <c r="BR96" s="87">
        <v>0</v>
      </c>
      <c r="BS96" s="87">
        <v>0</v>
      </c>
      <c r="BW96">
        <f t="shared" si="4"/>
        <v>232672.48590733891</v>
      </c>
      <c r="BX96">
        <f t="shared" si="5"/>
        <v>34839.716621068001</v>
      </c>
      <c r="BY96">
        <f t="shared" si="6"/>
        <v>371094.06353103736</v>
      </c>
      <c r="BZ96">
        <f t="shared" si="7"/>
        <v>76179.776535406141</v>
      </c>
      <c r="CA96">
        <f t="shared" si="8"/>
        <v>15011.396028380053</v>
      </c>
      <c r="CB96">
        <f t="shared" si="9"/>
        <v>51551.176130883803</v>
      </c>
      <c r="CC96">
        <f t="shared" si="10"/>
        <v>177768.63125311004</v>
      </c>
      <c r="CD96">
        <f t="shared" si="11"/>
        <v>128259.05724192546</v>
      </c>
      <c r="CE96">
        <f t="shared" si="12"/>
        <v>278847.59643141937</v>
      </c>
      <c r="CF96">
        <f t="shared" si="13"/>
        <v>119292.47302789842</v>
      </c>
      <c r="CG96">
        <f t="shared" si="14"/>
        <v>83770.04231671372</v>
      </c>
      <c r="CH96">
        <f t="shared" si="15"/>
        <v>300092.07254081866</v>
      </c>
      <c r="CI96">
        <f t="shared" si="16"/>
        <v>239004.30542355054</v>
      </c>
      <c r="CJ96">
        <f t="shared" si="17"/>
        <v>373508.54190304613</v>
      </c>
      <c r="CK96">
        <f t="shared" si="18"/>
        <v>335805.16136012977</v>
      </c>
      <c r="CL96">
        <f t="shared" si="19"/>
        <v>78625.343120143414</v>
      </c>
      <c r="CM96">
        <f t="shared" si="20"/>
        <v>243781.44385618682</v>
      </c>
      <c r="CN96">
        <f t="shared" si="21"/>
        <v>548861.54802201549</v>
      </c>
      <c r="CO96">
        <f t="shared" si="22"/>
        <v>143806.93864198707</v>
      </c>
      <c r="CP96">
        <f t="shared" si="23"/>
        <v>465205.04703729611</v>
      </c>
      <c r="CQ96">
        <f t="shared" si="24"/>
        <v>342340.40920507541</v>
      </c>
      <c r="CR96">
        <f t="shared" si="25"/>
        <v>216877.32727484047</v>
      </c>
      <c r="CS96">
        <f t="shared" si="26"/>
        <v>202257.42757550368</v>
      </c>
      <c r="CT96">
        <f t="shared" si="27"/>
        <v>45234.347346962793</v>
      </c>
      <c r="CU96">
        <f t="shared" si="28"/>
        <v>46567.357189394708</v>
      </c>
      <c r="CV96">
        <f t="shared" si="29"/>
        <v>174837.79805898081</v>
      </c>
      <c r="CW96">
        <f t="shared" si="30"/>
        <v>280799.51465892419</v>
      </c>
      <c r="CX96">
        <f t="shared" si="31"/>
        <v>535023.54635062267</v>
      </c>
      <c r="CY96">
        <f t="shared" si="32"/>
        <v>559587.29484140966</v>
      </c>
      <c r="CZ96">
        <f t="shared" si="33"/>
        <v>895036.38006964535</v>
      </c>
      <c r="DA96">
        <f t="shared" si="34"/>
        <v>396678.46605921059</v>
      </c>
      <c r="DB96">
        <f t="shared" si="35"/>
        <v>234239.97799612756</v>
      </c>
      <c r="DC96">
        <f t="shared" si="36"/>
        <v>473059.82230215718</v>
      </c>
      <c r="DD96">
        <f t="shared" si="37"/>
        <v>287782.4716443739</v>
      </c>
      <c r="DE96">
        <f t="shared" si="38"/>
        <v>16054.733336787096</v>
      </c>
      <c r="DF96">
        <f t="shared" si="39"/>
        <v>1286310.0508836138</v>
      </c>
      <c r="DG96">
        <f t="shared" si="40"/>
        <v>893143.98897724436</v>
      </c>
      <c r="DH96">
        <f t="shared" si="41"/>
        <v>1623548.423859294</v>
      </c>
      <c r="DI96">
        <f t="shared" si="42"/>
        <v>722831.67721237696</v>
      </c>
      <c r="DJ96">
        <f t="shared" si="43"/>
        <v>107926.25122295273</v>
      </c>
      <c r="DK96">
        <f t="shared" si="44"/>
        <v>242301.8182004696</v>
      </c>
      <c r="DL96">
        <f t="shared" si="45"/>
        <v>659312.97889831674</v>
      </c>
      <c r="DM96">
        <f t="shared" si="46"/>
        <v>524533.04434630182</v>
      </c>
      <c r="DN96">
        <f t="shared" si="47"/>
        <v>1075349.3540120444</v>
      </c>
      <c r="DO96">
        <f t="shared" si="48"/>
        <v>511028.73918927449</v>
      </c>
      <c r="DP96">
        <f t="shared" si="49"/>
        <v>407559.59327890177</v>
      </c>
      <c r="DQ96">
        <f t="shared" si="50"/>
        <v>1569650.1165033495</v>
      </c>
      <c r="DR96">
        <f t="shared" si="51"/>
        <v>957347.05206124531</v>
      </c>
      <c r="DS96">
        <f t="shared" si="52"/>
        <v>3083124.2803492225</v>
      </c>
      <c r="DT96">
        <f t="shared" si="53"/>
        <v>1424345.6888533481</v>
      </c>
      <c r="DU96">
        <f t="shared" si="54"/>
        <v>286432.00777863746</v>
      </c>
      <c r="DV96">
        <f t="shared" si="55"/>
        <v>821100.50361601345</v>
      </c>
      <c r="DW96">
        <f t="shared" si="56"/>
        <v>2299136.698331038</v>
      </c>
      <c r="DX96">
        <f t="shared" si="57"/>
        <v>293014.52491573431</v>
      </c>
      <c r="DY96">
        <f t="shared" si="58"/>
        <v>1915092.0855130535</v>
      </c>
      <c r="DZ96">
        <f t="shared" si="59"/>
        <v>1424598.8141382507</v>
      </c>
      <c r="EA96">
        <f t="shared" si="60"/>
        <v>893807.36194519117</v>
      </c>
      <c r="EB96">
        <f t="shared" si="61"/>
        <v>873045.10770683433</v>
      </c>
      <c r="EC96">
        <f t="shared" si="62"/>
        <v>172667.98047041756</v>
      </c>
      <c r="ED96">
        <f t="shared" si="63"/>
        <v>158275.61400955019</v>
      </c>
      <c r="EE96">
        <f t="shared" si="64"/>
        <v>339889.57649215817</v>
      </c>
      <c r="EF96">
        <f t="shared" si="65"/>
        <v>1066157.8740950515</v>
      </c>
      <c r="EG96">
        <f t="shared" si="66"/>
        <v>2400668.2565451581</v>
      </c>
      <c r="EH96">
        <f t="shared" si="67"/>
        <v>2048167.0876273166</v>
      </c>
      <c r="EI96">
        <f t="shared" si="68"/>
        <v>2607288.2817202033</v>
      </c>
      <c r="EJ96">
        <f t="shared" si="69"/>
        <v>2223661.2399123828</v>
      </c>
      <c r="EK96">
        <f t="shared" si="70"/>
        <v>572206.44202303689</v>
      </c>
      <c r="EL96">
        <f t="shared" si="71"/>
        <v>1331605.0107849902</v>
      </c>
      <c r="EM96">
        <f t="shared" si="72"/>
        <v>1055708.2325378691</v>
      </c>
      <c r="EN96">
        <f t="shared" si="73"/>
        <v>13763.763575251673</v>
      </c>
    </row>
    <row r="97" spans="2:144" x14ac:dyDescent="0.35">
      <c r="B97" s="87">
        <v>0</v>
      </c>
      <c r="C97" s="87">
        <v>0</v>
      </c>
      <c r="D97" s="87">
        <v>0</v>
      </c>
      <c r="E97" s="87">
        <v>0</v>
      </c>
      <c r="F97" s="87">
        <v>0</v>
      </c>
      <c r="G97" s="87">
        <v>0</v>
      </c>
      <c r="H97" s="87">
        <v>0</v>
      </c>
      <c r="I97" s="87">
        <v>0</v>
      </c>
      <c r="J97" s="87">
        <v>0</v>
      </c>
      <c r="K97" s="87">
        <v>0</v>
      </c>
      <c r="L97" s="87">
        <v>0</v>
      </c>
      <c r="M97" s="87">
        <v>0</v>
      </c>
      <c r="N97" s="87">
        <v>0</v>
      </c>
      <c r="O97" s="87">
        <v>0</v>
      </c>
      <c r="P97" s="87">
        <v>0</v>
      </c>
      <c r="Q97" s="87">
        <v>0</v>
      </c>
      <c r="R97" s="87">
        <v>0</v>
      </c>
      <c r="S97" s="87">
        <v>0</v>
      </c>
      <c r="T97" s="87">
        <v>1</v>
      </c>
      <c r="U97" s="87">
        <v>0</v>
      </c>
      <c r="V97" s="87">
        <v>0</v>
      </c>
      <c r="W97" s="87">
        <v>0</v>
      </c>
      <c r="X97" s="87">
        <v>0</v>
      </c>
      <c r="Y97" s="87">
        <v>0</v>
      </c>
      <c r="Z97" s="87">
        <v>0</v>
      </c>
      <c r="AA97" s="87">
        <v>0</v>
      </c>
      <c r="AB97" s="87">
        <v>0</v>
      </c>
      <c r="AC97" s="87">
        <v>0</v>
      </c>
      <c r="AD97" s="87">
        <v>0</v>
      </c>
      <c r="AE97" s="87">
        <v>0</v>
      </c>
      <c r="AF97" s="87">
        <v>0</v>
      </c>
      <c r="AG97" s="87">
        <v>0</v>
      </c>
      <c r="AH97" s="87">
        <v>0</v>
      </c>
      <c r="AI97" s="87">
        <v>0</v>
      </c>
      <c r="AJ97" s="87">
        <v>0</v>
      </c>
      <c r="AK97" s="87">
        <v>0</v>
      </c>
      <c r="AL97" s="87">
        <v>0</v>
      </c>
      <c r="AM97" s="87">
        <v>0</v>
      </c>
      <c r="AN97" s="87">
        <v>0</v>
      </c>
      <c r="AO97" s="87">
        <v>0</v>
      </c>
      <c r="AP97" s="87">
        <v>0</v>
      </c>
      <c r="AQ97" s="87">
        <v>0</v>
      </c>
      <c r="AR97" s="87">
        <v>0</v>
      </c>
      <c r="AS97" s="87">
        <v>0</v>
      </c>
      <c r="AT97" s="87">
        <v>0</v>
      </c>
      <c r="AU97" s="87">
        <v>0</v>
      </c>
      <c r="AV97" s="87">
        <v>0</v>
      </c>
      <c r="AW97" s="87">
        <v>0</v>
      </c>
      <c r="AX97" s="87">
        <v>0</v>
      </c>
      <c r="AY97" s="87">
        <v>0</v>
      </c>
      <c r="AZ97" s="87">
        <v>0</v>
      </c>
      <c r="BA97" s="87">
        <v>0</v>
      </c>
      <c r="BB97" s="87">
        <v>0</v>
      </c>
      <c r="BC97" s="87">
        <v>0</v>
      </c>
      <c r="BD97" s="87">
        <v>0</v>
      </c>
      <c r="BE97" s="87">
        <v>0</v>
      </c>
      <c r="BF97" s="87">
        <v>0</v>
      </c>
      <c r="BG97" s="87">
        <v>0</v>
      </c>
      <c r="BH97" s="87">
        <v>0</v>
      </c>
      <c r="BI97" s="87">
        <v>0</v>
      </c>
      <c r="BJ97" s="87">
        <v>0</v>
      </c>
      <c r="BK97" s="87">
        <v>0</v>
      </c>
      <c r="BL97" s="87">
        <v>0</v>
      </c>
      <c r="BM97" s="87">
        <v>0</v>
      </c>
      <c r="BN97" s="87">
        <v>0</v>
      </c>
      <c r="BO97" s="87">
        <v>0</v>
      </c>
      <c r="BP97" s="87">
        <v>0</v>
      </c>
      <c r="BQ97" s="87">
        <v>0</v>
      </c>
      <c r="BR97" s="87">
        <v>0</v>
      </c>
      <c r="BS97" s="87">
        <v>0</v>
      </c>
      <c r="BW97">
        <f t="shared" si="4"/>
        <v>232672.48590733891</v>
      </c>
      <c r="BX97">
        <f t="shared" si="5"/>
        <v>34839.716621068001</v>
      </c>
      <c r="BY97">
        <f t="shared" si="6"/>
        <v>371094.06353103736</v>
      </c>
      <c r="BZ97">
        <f t="shared" si="7"/>
        <v>76179.776535406141</v>
      </c>
      <c r="CA97">
        <f t="shared" si="8"/>
        <v>15011.396028380053</v>
      </c>
      <c r="CB97">
        <f t="shared" si="9"/>
        <v>51551.176130883803</v>
      </c>
      <c r="CC97">
        <f t="shared" si="10"/>
        <v>177768.63125311004</v>
      </c>
      <c r="CD97">
        <f t="shared" si="11"/>
        <v>128259.05724192546</v>
      </c>
      <c r="CE97">
        <f t="shared" si="12"/>
        <v>278847.59643141937</v>
      </c>
      <c r="CF97">
        <f t="shared" si="13"/>
        <v>119292.47302789842</v>
      </c>
      <c r="CG97">
        <f t="shared" si="14"/>
        <v>83770.04231671372</v>
      </c>
      <c r="CH97">
        <f t="shared" si="15"/>
        <v>300092.07254081866</v>
      </c>
      <c r="CI97">
        <f t="shared" si="16"/>
        <v>239004.30542355054</v>
      </c>
      <c r="CJ97">
        <f t="shared" si="17"/>
        <v>373508.54190304613</v>
      </c>
      <c r="CK97">
        <f t="shared" si="18"/>
        <v>335805.16136012977</v>
      </c>
      <c r="CL97">
        <f t="shared" si="19"/>
        <v>78625.343120143414</v>
      </c>
      <c r="CM97">
        <f t="shared" si="20"/>
        <v>243781.44385618682</v>
      </c>
      <c r="CN97">
        <f t="shared" si="21"/>
        <v>548861.54802201549</v>
      </c>
      <c r="CO97">
        <f t="shared" si="22"/>
        <v>143806.93864198707</v>
      </c>
      <c r="CP97">
        <f t="shared" si="23"/>
        <v>465205.04703729611</v>
      </c>
      <c r="CQ97">
        <f t="shared" si="24"/>
        <v>342340.40920507541</v>
      </c>
      <c r="CR97">
        <f t="shared" si="25"/>
        <v>216877.32727484047</v>
      </c>
      <c r="CS97">
        <f t="shared" si="26"/>
        <v>202257.42757550368</v>
      </c>
      <c r="CT97">
        <f t="shared" si="27"/>
        <v>45234.347346962793</v>
      </c>
      <c r="CU97">
        <f t="shared" si="28"/>
        <v>46567.357189394708</v>
      </c>
      <c r="CV97">
        <f t="shared" si="29"/>
        <v>174837.79805898081</v>
      </c>
      <c r="CW97">
        <f t="shared" si="30"/>
        <v>280799.51465892419</v>
      </c>
      <c r="CX97">
        <f t="shared" si="31"/>
        <v>535023.54635062267</v>
      </c>
      <c r="CY97">
        <f t="shared" si="32"/>
        <v>559587.29484140966</v>
      </c>
      <c r="CZ97">
        <f t="shared" si="33"/>
        <v>895036.38006964535</v>
      </c>
      <c r="DA97">
        <f t="shared" si="34"/>
        <v>396678.46605921059</v>
      </c>
      <c r="DB97">
        <f t="shared" si="35"/>
        <v>234239.97799612756</v>
      </c>
      <c r="DC97">
        <f t="shared" si="36"/>
        <v>473059.82230215718</v>
      </c>
      <c r="DD97">
        <f t="shared" si="37"/>
        <v>287782.4716443739</v>
      </c>
      <c r="DE97">
        <f t="shared" si="38"/>
        <v>16054.733336787096</v>
      </c>
      <c r="DF97">
        <f t="shared" si="39"/>
        <v>1286310.0508836138</v>
      </c>
      <c r="DG97">
        <f t="shared" si="40"/>
        <v>893143.98897724436</v>
      </c>
      <c r="DH97">
        <f t="shared" si="41"/>
        <v>1623548.423859294</v>
      </c>
      <c r="DI97">
        <f t="shared" si="42"/>
        <v>722831.67721237696</v>
      </c>
      <c r="DJ97">
        <f t="shared" si="43"/>
        <v>107926.25122295273</v>
      </c>
      <c r="DK97">
        <f t="shared" si="44"/>
        <v>242301.8182004696</v>
      </c>
      <c r="DL97">
        <f t="shared" si="45"/>
        <v>659312.97889831674</v>
      </c>
      <c r="DM97">
        <f t="shared" si="46"/>
        <v>524533.04434630182</v>
      </c>
      <c r="DN97">
        <f t="shared" si="47"/>
        <v>1075349.3540120444</v>
      </c>
      <c r="DO97">
        <f t="shared" si="48"/>
        <v>511028.73918927449</v>
      </c>
      <c r="DP97">
        <f t="shared" si="49"/>
        <v>407559.59327890177</v>
      </c>
      <c r="DQ97">
        <f t="shared" si="50"/>
        <v>1569650.1165033495</v>
      </c>
      <c r="DR97">
        <f t="shared" si="51"/>
        <v>957347.05206124531</v>
      </c>
      <c r="DS97">
        <f t="shared" si="52"/>
        <v>3083124.2803492225</v>
      </c>
      <c r="DT97">
        <f t="shared" si="53"/>
        <v>1424345.6888533481</v>
      </c>
      <c r="DU97">
        <f t="shared" si="54"/>
        <v>286432.00777863746</v>
      </c>
      <c r="DV97">
        <f t="shared" si="55"/>
        <v>821100.50361601345</v>
      </c>
      <c r="DW97">
        <f t="shared" si="56"/>
        <v>2299136.698331038</v>
      </c>
      <c r="DX97">
        <f t="shared" si="57"/>
        <v>293014.52491573431</v>
      </c>
      <c r="DY97">
        <f t="shared" si="58"/>
        <v>1915092.0855130535</v>
      </c>
      <c r="DZ97">
        <f t="shared" si="59"/>
        <v>1424598.8141382507</v>
      </c>
      <c r="EA97">
        <f t="shared" si="60"/>
        <v>893807.36194519117</v>
      </c>
      <c r="EB97">
        <f t="shared" si="61"/>
        <v>873045.10770683433</v>
      </c>
      <c r="EC97">
        <f t="shared" si="62"/>
        <v>172667.98047041756</v>
      </c>
      <c r="ED97">
        <f t="shared" si="63"/>
        <v>158275.61400955019</v>
      </c>
      <c r="EE97">
        <f t="shared" si="64"/>
        <v>339889.57649215817</v>
      </c>
      <c r="EF97">
        <f t="shared" si="65"/>
        <v>1066157.8740950515</v>
      </c>
      <c r="EG97">
        <f t="shared" si="66"/>
        <v>2400668.2565451581</v>
      </c>
      <c r="EH97">
        <f t="shared" si="67"/>
        <v>2048167.0876273166</v>
      </c>
      <c r="EI97">
        <f t="shared" si="68"/>
        <v>2607288.2817202033</v>
      </c>
      <c r="EJ97">
        <f t="shared" si="69"/>
        <v>2223661.2399123828</v>
      </c>
      <c r="EK97">
        <f t="shared" si="70"/>
        <v>572206.44202303689</v>
      </c>
      <c r="EL97">
        <f t="shared" si="71"/>
        <v>1331605.0107849902</v>
      </c>
      <c r="EM97">
        <f t="shared" si="72"/>
        <v>1055708.2325378691</v>
      </c>
      <c r="EN97">
        <f t="shared" si="73"/>
        <v>13763.763575251673</v>
      </c>
    </row>
    <row r="98" spans="2:144" x14ac:dyDescent="0.35">
      <c r="B98" s="87">
        <v>0</v>
      </c>
      <c r="C98" s="87">
        <v>0</v>
      </c>
      <c r="D98" s="87">
        <v>0</v>
      </c>
      <c r="E98" s="87">
        <v>0</v>
      </c>
      <c r="F98" s="87">
        <v>0</v>
      </c>
      <c r="G98" s="87">
        <v>0</v>
      </c>
      <c r="H98" s="87">
        <v>0</v>
      </c>
      <c r="I98" s="87">
        <v>0</v>
      </c>
      <c r="J98" s="87">
        <v>0</v>
      </c>
      <c r="K98" s="87">
        <v>0</v>
      </c>
      <c r="L98" s="87">
        <v>0</v>
      </c>
      <c r="M98" s="87">
        <v>0</v>
      </c>
      <c r="N98" s="87">
        <v>0</v>
      </c>
      <c r="O98" s="87">
        <v>0</v>
      </c>
      <c r="P98" s="87">
        <v>0</v>
      </c>
      <c r="Q98" s="87">
        <v>0</v>
      </c>
      <c r="R98" s="87">
        <v>0</v>
      </c>
      <c r="S98" s="87">
        <v>0</v>
      </c>
      <c r="T98" s="87">
        <v>0</v>
      </c>
      <c r="U98" s="87">
        <v>1</v>
      </c>
      <c r="V98" s="87">
        <v>0</v>
      </c>
      <c r="W98" s="87">
        <v>0</v>
      </c>
      <c r="X98" s="87">
        <v>0</v>
      </c>
      <c r="Y98" s="87">
        <v>0</v>
      </c>
      <c r="Z98" s="87">
        <v>0</v>
      </c>
      <c r="AA98" s="87">
        <v>0</v>
      </c>
      <c r="AB98" s="87">
        <v>0</v>
      </c>
      <c r="AC98" s="87">
        <v>0</v>
      </c>
      <c r="AD98" s="87">
        <v>0</v>
      </c>
      <c r="AE98" s="87">
        <v>0</v>
      </c>
      <c r="AF98" s="87">
        <v>0</v>
      </c>
      <c r="AG98" s="87">
        <v>0</v>
      </c>
      <c r="AH98" s="87">
        <v>0</v>
      </c>
      <c r="AI98" s="87">
        <v>0</v>
      </c>
      <c r="AJ98" s="87">
        <v>0</v>
      </c>
      <c r="AK98" s="87">
        <v>0</v>
      </c>
      <c r="AL98" s="87">
        <v>0</v>
      </c>
      <c r="AM98" s="87">
        <v>0</v>
      </c>
      <c r="AN98" s="87">
        <v>0</v>
      </c>
      <c r="AO98" s="87">
        <v>0</v>
      </c>
      <c r="AP98" s="87">
        <v>0</v>
      </c>
      <c r="AQ98" s="87">
        <v>0</v>
      </c>
      <c r="AR98" s="87">
        <v>0</v>
      </c>
      <c r="AS98" s="87">
        <v>0</v>
      </c>
      <c r="AT98" s="87">
        <v>0</v>
      </c>
      <c r="AU98" s="87">
        <v>0</v>
      </c>
      <c r="AV98" s="87">
        <v>0</v>
      </c>
      <c r="AW98" s="87">
        <v>0</v>
      </c>
      <c r="AX98" s="87">
        <v>0</v>
      </c>
      <c r="AY98" s="87">
        <v>0</v>
      </c>
      <c r="AZ98" s="87">
        <v>0</v>
      </c>
      <c r="BA98" s="87">
        <v>0</v>
      </c>
      <c r="BB98" s="87">
        <v>0</v>
      </c>
      <c r="BC98" s="87">
        <v>0</v>
      </c>
      <c r="BD98" s="87">
        <v>0</v>
      </c>
      <c r="BE98" s="87">
        <v>0</v>
      </c>
      <c r="BF98" s="87">
        <v>0</v>
      </c>
      <c r="BG98" s="87">
        <v>0</v>
      </c>
      <c r="BH98" s="87">
        <v>0</v>
      </c>
      <c r="BI98" s="87">
        <v>0</v>
      </c>
      <c r="BJ98" s="87">
        <v>0</v>
      </c>
      <c r="BK98" s="87">
        <v>0</v>
      </c>
      <c r="BL98" s="87">
        <v>0</v>
      </c>
      <c r="BM98" s="87">
        <v>0</v>
      </c>
      <c r="BN98" s="87">
        <v>0</v>
      </c>
      <c r="BO98" s="87">
        <v>0</v>
      </c>
      <c r="BP98" s="87">
        <v>0</v>
      </c>
      <c r="BQ98" s="87">
        <v>0</v>
      </c>
      <c r="BR98" s="87">
        <v>0</v>
      </c>
      <c r="BS98" s="87">
        <v>0</v>
      </c>
      <c r="BW98">
        <f t="shared" si="4"/>
        <v>232672.48590733891</v>
      </c>
      <c r="BX98">
        <f t="shared" si="5"/>
        <v>34839.716621068001</v>
      </c>
      <c r="BY98">
        <f t="shared" si="6"/>
        <v>371094.06353103736</v>
      </c>
      <c r="BZ98">
        <f t="shared" si="7"/>
        <v>76179.776535406141</v>
      </c>
      <c r="CA98">
        <f t="shared" si="8"/>
        <v>15011.396028380053</v>
      </c>
      <c r="CB98">
        <f t="shared" si="9"/>
        <v>51551.176130883803</v>
      </c>
      <c r="CC98">
        <f t="shared" si="10"/>
        <v>177768.63125311004</v>
      </c>
      <c r="CD98">
        <f t="shared" si="11"/>
        <v>128259.05724192546</v>
      </c>
      <c r="CE98">
        <f t="shared" si="12"/>
        <v>278847.59643141937</v>
      </c>
      <c r="CF98">
        <f t="shared" si="13"/>
        <v>119292.47302789842</v>
      </c>
      <c r="CG98">
        <f t="shared" si="14"/>
        <v>83770.04231671372</v>
      </c>
      <c r="CH98">
        <f t="shared" si="15"/>
        <v>300092.07254081866</v>
      </c>
      <c r="CI98">
        <f t="shared" si="16"/>
        <v>239004.30542355054</v>
      </c>
      <c r="CJ98">
        <f t="shared" si="17"/>
        <v>373508.54190304613</v>
      </c>
      <c r="CK98">
        <f t="shared" si="18"/>
        <v>335805.16136012977</v>
      </c>
      <c r="CL98">
        <f t="shared" si="19"/>
        <v>78625.343120143414</v>
      </c>
      <c r="CM98">
        <f t="shared" si="20"/>
        <v>243781.44385618682</v>
      </c>
      <c r="CN98">
        <f t="shared" si="21"/>
        <v>548861.54802201549</v>
      </c>
      <c r="CO98">
        <f t="shared" si="22"/>
        <v>143806.93864198707</v>
      </c>
      <c r="CP98">
        <f t="shared" si="23"/>
        <v>465205.04703729611</v>
      </c>
      <c r="CQ98">
        <f t="shared" si="24"/>
        <v>342340.40920507541</v>
      </c>
      <c r="CR98">
        <f t="shared" si="25"/>
        <v>216877.32727484047</v>
      </c>
      <c r="CS98">
        <f t="shared" si="26"/>
        <v>202257.42757550368</v>
      </c>
      <c r="CT98">
        <f t="shared" si="27"/>
        <v>45234.347346962793</v>
      </c>
      <c r="CU98">
        <f t="shared" si="28"/>
        <v>46567.357189394708</v>
      </c>
      <c r="CV98">
        <f t="shared" si="29"/>
        <v>174837.79805898081</v>
      </c>
      <c r="CW98">
        <f t="shared" si="30"/>
        <v>280799.51465892419</v>
      </c>
      <c r="CX98">
        <f t="shared" si="31"/>
        <v>535023.54635062267</v>
      </c>
      <c r="CY98">
        <f t="shared" si="32"/>
        <v>559587.29484140966</v>
      </c>
      <c r="CZ98">
        <f t="shared" si="33"/>
        <v>895036.38006964535</v>
      </c>
      <c r="DA98">
        <f t="shared" si="34"/>
        <v>396678.46605921059</v>
      </c>
      <c r="DB98">
        <f t="shared" si="35"/>
        <v>234239.97799612756</v>
      </c>
      <c r="DC98">
        <f t="shared" si="36"/>
        <v>473059.82230215718</v>
      </c>
      <c r="DD98">
        <f t="shared" si="37"/>
        <v>287782.4716443739</v>
      </c>
      <c r="DE98">
        <f t="shared" si="38"/>
        <v>16054.733336787096</v>
      </c>
      <c r="DF98">
        <f t="shared" si="39"/>
        <v>1286310.0508836138</v>
      </c>
      <c r="DG98">
        <f t="shared" si="40"/>
        <v>893143.98897724436</v>
      </c>
      <c r="DH98">
        <f t="shared" si="41"/>
        <v>1623548.423859294</v>
      </c>
      <c r="DI98">
        <f t="shared" si="42"/>
        <v>722831.67721237696</v>
      </c>
      <c r="DJ98">
        <f t="shared" si="43"/>
        <v>107926.25122295273</v>
      </c>
      <c r="DK98">
        <f t="shared" si="44"/>
        <v>242301.8182004696</v>
      </c>
      <c r="DL98">
        <f t="shared" si="45"/>
        <v>659312.97889831674</v>
      </c>
      <c r="DM98">
        <f t="shared" si="46"/>
        <v>524533.04434630182</v>
      </c>
      <c r="DN98">
        <f t="shared" si="47"/>
        <v>1075349.3540120444</v>
      </c>
      <c r="DO98">
        <f t="shared" si="48"/>
        <v>511028.73918927449</v>
      </c>
      <c r="DP98">
        <f t="shared" si="49"/>
        <v>407559.59327890177</v>
      </c>
      <c r="DQ98">
        <f t="shared" si="50"/>
        <v>1569650.1165033495</v>
      </c>
      <c r="DR98">
        <f t="shared" si="51"/>
        <v>957347.05206124531</v>
      </c>
      <c r="DS98">
        <f t="shared" si="52"/>
        <v>3083124.2803492225</v>
      </c>
      <c r="DT98">
        <f t="shared" si="53"/>
        <v>1424345.6888533481</v>
      </c>
      <c r="DU98">
        <f t="shared" si="54"/>
        <v>286432.00777863746</v>
      </c>
      <c r="DV98">
        <f t="shared" si="55"/>
        <v>821100.50361601345</v>
      </c>
      <c r="DW98">
        <f t="shared" si="56"/>
        <v>2299136.698331038</v>
      </c>
      <c r="DX98">
        <f t="shared" si="57"/>
        <v>293014.52491573431</v>
      </c>
      <c r="DY98">
        <f t="shared" si="58"/>
        <v>1915092.0855130535</v>
      </c>
      <c r="DZ98">
        <f t="shared" si="59"/>
        <v>1424598.8141382507</v>
      </c>
      <c r="EA98">
        <f t="shared" si="60"/>
        <v>893807.36194519117</v>
      </c>
      <c r="EB98">
        <f t="shared" si="61"/>
        <v>873045.10770683433</v>
      </c>
      <c r="EC98">
        <f t="shared" si="62"/>
        <v>172667.98047041756</v>
      </c>
      <c r="ED98">
        <f t="shared" si="63"/>
        <v>158275.61400955019</v>
      </c>
      <c r="EE98">
        <f t="shared" si="64"/>
        <v>339889.57649215817</v>
      </c>
      <c r="EF98">
        <f t="shared" si="65"/>
        <v>1066157.8740950515</v>
      </c>
      <c r="EG98">
        <f t="shared" si="66"/>
        <v>2400668.2565451581</v>
      </c>
      <c r="EH98">
        <f t="shared" si="67"/>
        <v>2048167.0876273166</v>
      </c>
      <c r="EI98">
        <f t="shared" si="68"/>
        <v>2607288.2817202033</v>
      </c>
      <c r="EJ98">
        <f t="shared" si="69"/>
        <v>2223661.2399123828</v>
      </c>
      <c r="EK98">
        <f t="shared" si="70"/>
        <v>572206.44202303689</v>
      </c>
      <c r="EL98">
        <f t="shared" si="71"/>
        <v>1331605.0107849902</v>
      </c>
      <c r="EM98">
        <f t="shared" si="72"/>
        <v>1055708.2325378691</v>
      </c>
      <c r="EN98">
        <f t="shared" si="73"/>
        <v>13763.763575251673</v>
      </c>
    </row>
    <row r="99" spans="2:144" x14ac:dyDescent="0.35">
      <c r="B99" s="87">
        <v>0</v>
      </c>
      <c r="C99" s="87">
        <v>0</v>
      </c>
      <c r="D99" s="87">
        <v>0</v>
      </c>
      <c r="E99" s="87">
        <v>0</v>
      </c>
      <c r="F99" s="87">
        <v>0</v>
      </c>
      <c r="G99" s="87">
        <v>0</v>
      </c>
      <c r="H99" s="87">
        <v>0</v>
      </c>
      <c r="I99" s="87">
        <v>0</v>
      </c>
      <c r="J99" s="87">
        <v>0</v>
      </c>
      <c r="K99" s="87">
        <v>0</v>
      </c>
      <c r="L99" s="87">
        <v>0</v>
      </c>
      <c r="M99" s="87">
        <v>0</v>
      </c>
      <c r="N99" s="87">
        <v>0</v>
      </c>
      <c r="O99" s="87">
        <v>0</v>
      </c>
      <c r="P99" s="87">
        <v>0</v>
      </c>
      <c r="Q99" s="87">
        <v>0</v>
      </c>
      <c r="R99" s="87">
        <v>0</v>
      </c>
      <c r="S99" s="87">
        <v>0</v>
      </c>
      <c r="T99" s="87">
        <v>0</v>
      </c>
      <c r="U99" s="87">
        <v>0</v>
      </c>
      <c r="V99" s="87">
        <v>1</v>
      </c>
      <c r="W99" s="87">
        <v>0</v>
      </c>
      <c r="X99" s="87">
        <v>0</v>
      </c>
      <c r="Y99" s="87">
        <v>0</v>
      </c>
      <c r="Z99" s="87">
        <v>0</v>
      </c>
      <c r="AA99" s="87">
        <v>0</v>
      </c>
      <c r="AB99" s="87">
        <v>0</v>
      </c>
      <c r="AC99" s="87">
        <v>0</v>
      </c>
      <c r="AD99" s="87">
        <v>0</v>
      </c>
      <c r="AE99" s="87">
        <v>0</v>
      </c>
      <c r="AF99" s="87">
        <v>0</v>
      </c>
      <c r="AG99" s="87">
        <v>0</v>
      </c>
      <c r="AH99" s="87">
        <v>0</v>
      </c>
      <c r="AI99" s="87">
        <v>0</v>
      </c>
      <c r="AJ99" s="87">
        <v>0</v>
      </c>
      <c r="AK99" s="87">
        <v>0</v>
      </c>
      <c r="AL99" s="87">
        <v>0</v>
      </c>
      <c r="AM99" s="87">
        <v>0</v>
      </c>
      <c r="AN99" s="87">
        <v>0</v>
      </c>
      <c r="AO99" s="87">
        <v>0</v>
      </c>
      <c r="AP99" s="87">
        <v>0</v>
      </c>
      <c r="AQ99" s="87">
        <v>0</v>
      </c>
      <c r="AR99" s="87">
        <v>0</v>
      </c>
      <c r="AS99" s="87">
        <v>0</v>
      </c>
      <c r="AT99" s="87">
        <v>0</v>
      </c>
      <c r="AU99" s="87">
        <v>0</v>
      </c>
      <c r="AV99" s="87">
        <v>0</v>
      </c>
      <c r="AW99" s="87">
        <v>0</v>
      </c>
      <c r="AX99" s="87">
        <v>0</v>
      </c>
      <c r="AY99" s="87">
        <v>0</v>
      </c>
      <c r="AZ99" s="87">
        <v>0</v>
      </c>
      <c r="BA99" s="87">
        <v>0</v>
      </c>
      <c r="BB99" s="87">
        <v>0</v>
      </c>
      <c r="BC99" s="87">
        <v>0</v>
      </c>
      <c r="BD99" s="87">
        <v>0</v>
      </c>
      <c r="BE99" s="87">
        <v>0</v>
      </c>
      <c r="BF99" s="87">
        <v>0</v>
      </c>
      <c r="BG99" s="87">
        <v>0</v>
      </c>
      <c r="BH99" s="87">
        <v>0</v>
      </c>
      <c r="BI99" s="87">
        <v>0</v>
      </c>
      <c r="BJ99" s="87">
        <v>0</v>
      </c>
      <c r="BK99" s="87">
        <v>0</v>
      </c>
      <c r="BL99" s="87">
        <v>0</v>
      </c>
      <c r="BM99" s="87">
        <v>0</v>
      </c>
      <c r="BN99" s="87">
        <v>0</v>
      </c>
      <c r="BO99" s="87">
        <v>0</v>
      </c>
      <c r="BP99" s="87">
        <v>0</v>
      </c>
      <c r="BQ99" s="87">
        <v>0</v>
      </c>
      <c r="BR99" s="87">
        <v>0</v>
      </c>
      <c r="BS99" s="87">
        <v>0</v>
      </c>
      <c r="BW99">
        <f t="shared" si="4"/>
        <v>232672.48590733891</v>
      </c>
      <c r="BX99">
        <f t="shared" si="5"/>
        <v>34839.716621068001</v>
      </c>
      <c r="BY99">
        <f t="shared" si="6"/>
        <v>371094.06353103736</v>
      </c>
      <c r="BZ99">
        <f t="shared" si="7"/>
        <v>76179.776535406141</v>
      </c>
      <c r="CA99">
        <f t="shared" si="8"/>
        <v>15011.396028380053</v>
      </c>
      <c r="CB99">
        <f t="shared" si="9"/>
        <v>51551.176130883803</v>
      </c>
      <c r="CC99">
        <f t="shared" si="10"/>
        <v>177768.63125311004</v>
      </c>
      <c r="CD99">
        <f t="shared" si="11"/>
        <v>128259.05724192546</v>
      </c>
      <c r="CE99">
        <f t="shared" si="12"/>
        <v>278847.59643141937</v>
      </c>
      <c r="CF99">
        <f t="shared" si="13"/>
        <v>119292.47302789842</v>
      </c>
      <c r="CG99">
        <f t="shared" si="14"/>
        <v>83770.04231671372</v>
      </c>
      <c r="CH99">
        <f t="shared" si="15"/>
        <v>300092.07254081866</v>
      </c>
      <c r="CI99">
        <f t="shared" si="16"/>
        <v>239004.30542355054</v>
      </c>
      <c r="CJ99">
        <f t="shared" si="17"/>
        <v>373508.54190304613</v>
      </c>
      <c r="CK99">
        <f t="shared" si="18"/>
        <v>335805.16136012977</v>
      </c>
      <c r="CL99">
        <f t="shared" si="19"/>
        <v>78625.343120143414</v>
      </c>
      <c r="CM99">
        <f t="shared" si="20"/>
        <v>243781.44385618682</v>
      </c>
      <c r="CN99">
        <f t="shared" si="21"/>
        <v>548861.54802201549</v>
      </c>
      <c r="CO99">
        <f t="shared" si="22"/>
        <v>143806.93864198707</v>
      </c>
      <c r="CP99">
        <f t="shared" si="23"/>
        <v>465205.04703729611</v>
      </c>
      <c r="CQ99">
        <f t="shared" si="24"/>
        <v>342340.40920507541</v>
      </c>
      <c r="CR99">
        <f t="shared" si="25"/>
        <v>216877.32727484047</v>
      </c>
      <c r="CS99">
        <f t="shared" si="26"/>
        <v>202257.42757550368</v>
      </c>
      <c r="CT99">
        <f t="shared" si="27"/>
        <v>45234.347346962793</v>
      </c>
      <c r="CU99">
        <f t="shared" si="28"/>
        <v>46567.357189394708</v>
      </c>
      <c r="CV99">
        <f t="shared" si="29"/>
        <v>174837.79805898081</v>
      </c>
      <c r="CW99">
        <f t="shared" si="30"/>
        <v>280799.51465892419</v>
      </c>
      <c r="CX99">
        <f t="shared" si="31"/>
        <v>535023.54635062267</v>
      </c>
      <c r="CY99">
        <f t="shared" si="32"/>
        <v>559587.29484140966</v>
      </c>
      <c r="CZ99">
        <f t="shared" si="33"/>
        <v>895036.38006964535</v>
      </c>
      <c r="DA99">
        <f t="shared" si="34"/>
        <v>396678.46605921059</v>
      </c>
      <c r="DB99">
        <f t="shared" si="35"/>
        <v>234239.97799612756</v>
      </c>
      <c r="DC99">
        <f t="shared" si="36"/>
        <v>473059.82230215718</v>
      </c>
      <c r="DD99">
        <f t="shared" si="37"/>
        <v>287782.4716443739</v>
      </c>
      <c r="DE99">
        <f t="shared" si="38"/>
        <v>16054.733336787096</v>
      </c>
      <c r="DF99">
        <f t="shared" si="39"/>
        <v>1286310.0508836138</v>
      </c>
      <c r="DG99">
        <f t="shared" si="40"/>
        <v>893143.98897724436</v>
      </c>
      <c r="DH99">
        <f t="shared" si="41"/>
        <v>1623548.423859294</v>
      </c>
      <c r="DI99">
        <f t="shared" si="42"/>
        <v>722831.67721237696</v>
      </c>
      <c r="DJ99">
        <f t="shared" si="43"/>
        <v>107926.25122295273</v>
      </c>
      <c r="DK99">
        <f t="shared" si="44"/>
        <v>242301.8182004696</v>
      </c>
      <c r="DL99">
        <f t="shared" si="45"/>
        <v>659312.97889831674</v>
      </c>
      <c r="DM99">
        <f t="shared" si="46"/>
        <v>524533.04434630182</v>
      </c>
      <c r="DN99">
        <f t="shared" si="47"/>
        <v>1075349.3540120444</v>
      </c>
      <c r="DO99">
        <f t="shared" si="48"/>
        <v>511028.73918927449</v>
      </c>
      <c r="DP99">
        <f t="shared" si="49"/>
        <v>407559.59327890177</v>
      </c>
      <c r="DQ99">
        <f t="shared" si="50"/>
        <v>1569650.1165033495</v>
      </c>
      <c r="DR99">
        <f t="shared" si="51"/>
        <v>957347.05206124531</v>
      </c>
      <c r="DS99">
        <f t="shared" si="52"/>
        <v>3083124.2803492225</v>
      </c>
      <c r="DT99">
        <f t="shared" si="53"/>
        <v>1424345.6888533481</v>
      </c>
      <c r="DU99">
        <f t="shared" si="54"/>
        <v>286432.00777863746</v>
      </c>
      <c r="DV99">
        <f t="shared" si="55"/>
        <v>821100.50361601345</v>
      </c>
      <c r="DW99">
        <f t="shared" si="56"/>
        <v>2299136.698331038</v>
      </c>
      <c r="DX99">
        <f t="shared" si="57"/>
        <v>293014.52491573431</v>
      </c>
      <c r="DY99">
        <f t="shared" si="58"/>
        <v>1915092.0855130535</v>
      </c>
      <c r="DZ99">
        <f t="shared" si="59"/>
        <v>1424598.8141382507</v>
      </c>
      <c r="EA99">
        <f t="shared" si="60"/>
        <v>893807.36194519117</v>
      </c>
      <c r="EB99">
        <f t="shared" si="61"/>
        <v>873045.10770683433</v>
      </c>
      <c r="EC99">
        <f t="shared" si="62"/>
        <v>172667.98047041756</v>
      </c>
      <c r="ED99">
        <f t="shared" si="63"/>
        <v>158275.61400955019</v>
      </c>
      <c r="EE99">
        <f t="shared" si="64"/>
        <v>339889.57649215817</v>
      </c>
      <c r="EF99">
        <f t="shared" si="65"/>
        <v>1066157.8740950515</v>
      </c>
      <c r="EG99">
        <f t="shared" si="66"/>
        <v>2400668.2565451581</v>
      </c>
      <c r="EH99">
        <f t="shared" si="67"/>
        <v>2048167.0876273166</v>
      </c>
      <c r="EI99">
        <f t="shared" si="68"/>
        <v>2607288.2817202033</v>
      </c>
      <c r="EJ99">
        <f t="shared" si="69"/>
        <v>2223661.2399123828</v>
      </c>
      <c r="EK99">
        <f t="shared" si="70"/>
        <v>572206.44202303689</v>
      </c>
      <c r="EL99">
        <f t="shared" si="71"/>
        <v>1331605.0107849902</v>
      </c>
      <c r="EM99">
        <f t="shared" si="72"/>
        <v>1055708.2325378691</v>
      </c>
      <c r="EN99">
        <f t="shared" si="73"/>
        <v>13763.763575251673</v>
      </c>
    </row>
    <row r="100" spans="2:144" x14ac:dyDescent="0.35">
      <c r="B100" s="87">
        <v>0</v>
      </c>
      <c r="C100" s="87">
        <v>0</v>
      </c>
      <c r="D100" s="87">
        <v>0</v>
      </c>
      <c r="E100" s="87">
        <v>0</v>
      </c>
      <c r="F100" s="87">
        <v>0</v>
      </c>
      <c r="G100" s="87">
        <v>0</v>
      </c>
      <c r="H100" s="87">
        <v>0</v>
      </c>
      <c r="I100" s="87">
        <v>0</v>
      </c>
      <c r="J100" s="87">
        <v>0</v>
      </c>
      <c r="K100" s="87">
        <v>0</v>
      </c>
      <c r="L100" s="87">
        <v>0</v>
      </c>
      <c r="M100" s="87">
        <v>0</v>
      </c>
      <c r="N100" s="87">
        <v>0</v>
      </c>
      <c r="O100" s="87">
        <v>0</v>
      </c>
      <c r="P100" s="87">
        <v>0</v>
      </c>
      <c r="Q100" s="87">
        <v>0</v>
      </c>
      <c r="R100" s="87">
        <v>0</v>
      </c>
      <c r="S100" s="87">
        <v>0</v>
      </c>
      <c r="T100" s="87">
        <v>0</v>
      </c>
      <c r="U100" s="87">
        <v>0</v>
      </c>
      <c r="V100" s="87">
        <v>0</v>
      </c>
      <c r="W100" s="87">
        <v>1</v>
      </c>
      <c r="X100" s="87">
        <v>0</v>
      </c>
      <c r="Y100" s="87">
        <v>0</v>
      </c>
      <c r="Z100" s="87">
        <v>0</v>
      </c>
      <c r="AA100" s="87">
        <v>0</v>
      </c>
      <c r="AB100" s="87">
        <v>0</v>
      </c>
      <c r="AC100" s="87">
        <v>0</v>
      </c>
      <c r="AD100" s="87">
        <v>0</v>
      </c>
      <c r="AE100" s="87">
        <v>0</v>
      </c>
      <c r="AF100" s="87">
        <v>0</v>
      </c>
      <c r="AG100" s="87">
        <v>0</v>
      </c>
      <c r="AH100" s="87">
        <v>0</v>
      </c>
      <c r="AI100" s="87">
        <v>0</v>
      </c>
      <c r="AJ100" s="87">
        <v>0</v>
      </c>
      <c r="AK100" s="87">
        <v>0</v>
      </c>
      <c r="AL100" s="87">
        <v>0</v>
      </c>
      <c r="AM100" s="87">
        <v>0</v>
      </c>
      <c r="AN100" s="87">
        <v>0</v>
      </c>
      <c r="AO100" s="87">
        <v>0</v>
      </c>
      <c r="AP100" s="87">
        <v>0</v>
      </c>
      <c r="AQ100" s="87">
        <v>0</v>
      </c>
      <c r="AR100" s="87">
        <v>0</v>
      </c>
      <c r="AS100" s="87">
        <v>0</v>
      </c>
      <c r="AT100" s="87">
        <v>0</v>
      </c>
      <c r="AU100" s="87">
        <v>0</v>
      </c>
      <c r="AV100" s="87">
        <v>0</v>
      </c>
      <c r="AW100" s="87">
        <v>0</v>
      </c>
      <c r="AX100" s="87">
        <v>0</v>
      </c>
      <c r="AY100" s="87">
        <v>0</v>
      </c>
      <c r="AZ100" s="87">
        <v>0</v>
      </c>
      <c r="BA100" s="87">
        <v>0</v>
      </c>
      <c r="BB100" s="87">
        <v>0</v>
      </c>
      <c r="BC100" s="87">
        <v>0</v>
      </c>
      <c r="BD100" s="87">
        <v>0</v>
      </c>
      <c r="BE100" s="87">
        <v>0</v>
      </c>
      <c r="BF100" s="87">
        <v>0</v>
      </c>
      <c r="BG100" s="87">
        <v>0</v>
      </c>
      <c r="BH100" s="87">
        <v>0</v>
      </c>
      <c r="BI100" s="87">
        <v>0</v>
      </c>
      <c r="BJ100" s="87">
        <v>0</v>
      </c>
      <c r="BK100" s="87">
        <v>0</v>
      </c>
      <c r="BL100" s="87">
        <v>0</v>
      </c>
      <c r="BM100" s="87">
        <v>0</v>
      </c>
      <c r="BN100" s="87">
        <v>0</v>
      </c>
      <c r="BO100" s="87">
        <v>0</v>
      </c>
      <c r="BP100" s="87">
        <v>0</v>
      </c>
      <c r="BQ100" s="87">
        <v>0</v>
      </c>
      <c r="BR100" s="87">
        <v>0</v>
      </c>
      <c r="BS100" s="87">
        <v>0</v>
      </c>
      <c r="BW100">
        <f t="shared" si="4"/>
        <v>232672.48590733891</v>
      </c>
      <c r="BX100">
        <f t="shared" si="5"/>
        <v>34839.716621068001</v>
      </c>
      <c r="BY100">
        <f t="shared" si="6"/>
        <v>371094.06353103736</v>
      </c>
      <c r="BZ100">
        <f t="shared" si="7"/>
        <v>76179.776535406141</v>
      </c>
      <c r="CA100">
        <f t="shared" si="8"/>
        <v>15011.396028380053</v>
      </c>
      <c r="CB100">
        <f t="shared" si="9"/>
        <v>51551.176130883803</v>
      </c>
      <c r="CC100">
        <f t="shared" si="10"/>
        <v>177768.63125311004</v>
      </c>
      <c r="CD100">
        <f t="shared" si="11"/>
        <v>128259.05724192546</v>
      </c>
      <c r="CE100">
        <f t="shared" si="12"/>
        <v>278847.59643141937</v>
      </c>
      <c r="CF100">
        <f t="shared" si="13"/>
        <v>119292.47302789842</v>
      </c>
      <c r="CG100">
        <f t="shared" si="14"/>
        <v>83770.04231671372</v>
      </c>
      <c r="CH100">
        <f t="shared" si="15"/>
        <v>300092.07254081866</v>
      </c>
      <c r="CI100">
        <f t="shared" si="16"/>
        <v>239004.30542355054</v>
      </c>
      <c r="CJ100">
        <f t="shared" si="17"/>
        <v>373508.54190304613</v>
      </c>
      <c r="CK100">
        <f t="shared" si="18"/>
        <v>335805.16136012977</v>
      </c>
      <c r="CL100">
        <f t="shared" si="19"/>
        <v>78625.343120143414</v>
      </c>
      <c r="CM100">
        <f t="shared" si="20"/>
        <v>243781.44385618682</v>
      </c>
      <c r="CN100">
        <f t="shared" si="21"/>
        <v>548861.54802201549</v>
      </c>
      <c r="CO100">
        <f t="shared" si="22"/>
        <v>143806.93864198707</v>
      </c>
      <c r="CP100">
        <f t="shared" si="23"/>
        <v>465205.04703729611</v>
      </c>
      <c r="CQ100">
        <f t="shared" si="24"/>
        <v>342340.40920507541</v>
      </c>
      <c r="CR100">
        <f t="shared" si="25"/>
        <v>216877.32727484047</v>
      </c>
      <c r="CS100">
        <f t="shared" si="26"/>
        <v>202257.42757550368</v>
      </c>
      <c r="CT100">
        <f t="shared" si="27"/>
        <v>45234.347346962793</v>
      </c>
      <c r="CU100">
        <f t="shared" si="28"/>
        <v>46567.357189394708</v>
      </c>
      <c r="CV100">
        <f t="shared" si="29"/>
        <v>174837.79805898081</v>
      </c>
      <c r="CW100">
        <f t="shared" si="30"/>
        <v>280799.51465892419</v>
      </c>
      <c r="CX100">
        <f t="shared" si="31"/>
        <v>535023.54635062267</v>
      </c>
      <c r="CY100">
        <f t="shared" si="32"/>
        <v>559587.29484140966</v>
      </c>
      <c r="CZ100">
        <f t="shared" si="33"/>
        <v>895036.38006964535</v>
      </c>
      <c r="DA100">
        <f t="shared" si="34"/>
        <v>396678.46605921059</v>
      </c>
      <c r="DB100">
        <f t="shared" si="35"/>
        <v>234239.97799612756</v>
      </c>
      <c r="DC100">
        <f t="shared" si="36"/>
        <v>473059.82230215718</v>
      </c>
      <c r="DD100">
        <f t="shared" si="37"/>
        <v>287782.4716443739</v>
      </c>
      <c r="DE100">
        <f t="shared" si="38"/>
        <v>16054.733336787096</v>
      </c>
      <c r="DF100">
        <f t="shared" si="39"/>
        <v>1286310.0508836138</v>
      </c>
      <c r="DG100">
        <f t="shared" si="40"/>
        <v>893143.98897724436</v>
      </c>
      <c r="DH100">
        <f t="shared" si="41"/>
        <v>1623548.423859294</v>
      </c>
      <c r="DI100">
        <f t="shared" si="42"/>
        <v>722831.67721237696</v>
      </c>
      <c r="DJ100">
        <f t="shared" si="43"/>
        <v>107926.25122295273</v>
      </c>
      <c r="DK100">
        <f t="shared" si="44"/>
        <v>242301.8182004696</v>
      </c>
      <c r="DL100">
        <f t="shared" si="45"/>
        <v>659312.97889831674</v>
      </c>
      <c r="DM100">
        <f t="shared" si="46"/>
        <v>524533.04434630182</v>
      </c>
      <c r="DN100">
        <f t="shared" si="47"/>
        <v>1075349.3540120444</v>
      </c>
      <c r="DO100">
        <f t="shared" si="48"/>
        <v>511028.73918927449</v>
      </c>
      <c r="DP100">
        <f t="shared" si="49"/>
        <v>407559.59327890177</v>
      </c>
      <c r="DQ100">
        <f t="shared" si="50"/>
        <v>1569650.1165033495</v>
      </c>
      <c r="DR100">
        <f t="shared" si="51"/>
        <v>957347.05206124531</v>
      </c>
      <c r="DS100">
        <f t="shared" si="52"/>
        <v>3083124.2803492225</v>
      </c>
      <c r="DT100">
        <f t="shared" si="53"/>
        <v>1424345.6888533481</v>
      </c>
      <c r="DU100">
        <f t="shared" si="54"/>
        <v>286432.00777863746</v>
      </c>
      <c r="DV100">
        <f t="shared" si="55"/>
        <v>821100.50361601345</v>
      </c>
      <c r="DW100">
        <f t="shared" si="56"/>
        <v>2299136.698331038</v>
      </c>
      <c r="DX100">
        <f t="shared" si="57"/>
        <v>293014.52491573431</v>
      </c>
      <c r="DY100">
        <f t="shared" si="58"/>
        <v>1915092.0855130535</v>
      </c>
      <c r="DZ100">
        <f t="shared" si="59"/>
        <v>1424598.8141382507</v>
      </c>
      <c r="EA100">
        <f t="shared" si="60"/>
        <v>893807.36194519117</v>
      </c>
      <c r="EB100">
        <f t="shared" si="61"/>
        <v>873045.10770683433</v>
      </c>
      <c r="EC100">
        <f t="shared" si="62"/>
        <v>172667.98047041756</v>
      </c>
      <c r="ED100">
        <f t="shared" si="63"/>
        <v>158275.61400955019</v>
      </c>
      <c r="EE100">
        <f t="shared" si="64"/>
        <v>339889.57649215817</v>
      </c>
      <c r="EF100">
        <f t="shared" si="65"/>
        <v>1066157.8740950515</v>
      </c>
      <c r="EG100">
        <f t="shared" si="66"/>
        <v>2400668.2565451581</v>
      </c>
      <c r="EH100">
        <f t="shared" si="67"/>
        <v>2048167.0876273166</v>
      </c>
      <c r="EI100">
        <f t="shared" si="68"/>
        <v>2607288.2817202033</v>
      </c>
      <c r="EJ100">
        <f t="shared" si="69"/>
        <v>2223661.2399123828</v>
      </c>
      <c r="EK100">
        <f t="shared" si="70"/>
        <v>572206.44202303689</v>
      </c>
      <c r="EL100">
        <f t="shared" si="71"/>
        <v>1331605.0107849902</v>
      </c>
      <c r="EM100">
        <f t="shared" si="72"/>
        <v>1055708.2325378691</v>
      </c>
      <c r="EN100">
        <f t="shared" si="73"/>
        <v>13763.763575251673</v>
      </c>
    </row>
    <row r="101" spans="2:144" x14ac:dyDescent="0.35">
      <c r="B101" s="87">
        <v>0</v>
      </c>
      <c r="C101" s="87">
        <v>0</v>
      </c>
      <c r="D101" s="87">
        <v>0</v>
      </c>
      <c r="E101" s="87">
        <v>0</v>
      </c>
      <c r="F101" s="87">
        <v>0</v>
      </c>
      <c r="G101" s="87">
        <v>0</v>
      </c>
      <c r="H101" s="87">
        <v>0</v>
      </c>
      <c r="I101" s="87">
        <v>0</v>
      </c>
      <c r="J101" s="87">
        <v>0</v>
      </c>
      <c r="K101" s="87">
        <v>0</v>
      </c>
      <c r="L101" s="87">
        <v>0</v>
      </c>
      <c r="M101" s="87">
        <v>0</v>
      </c>
      <c r="N101" s="87">
        <v>0</v>
      </c>
      <c r="O101" s="87">
        <v>0</v>
      </c>
      <c r="P101" s="87">
        <v>0</v>
      </c>
      <c r="Q101" s="87">
        <v>0</v>
      </c>
      <c r="R101" s="87">
        <v>0</v>
      </c>
      <c r="S101" s="87">
        <v>0</v>
      </c>
      <c r="T101" s="87">
        <v>0</v>
      </c>
      <c r="U101" s="87">
        <v>0</v>
      </c>
      <c r="V101" s="87">
        <v>0</v>
      </c>
      <c r="W101" s="87">
        <v>0</v>
      </c>
      <c r="X101" s="87">
        <v>1</v>
      </c>
      <c r="Y101" s="87">
        <v>0</v>
      </c>
      <c r="Z101" s="87">
        <v>0</v>
      </c>
      <c r="AA101" s="87">
        <v>0</v>
      </c>
      <c r="AB101" s="87">
        <v>0</v>
      </c>
      <c r="AC101" s="87">
        <v>0</v>
      </c>
      <c r="AD101" s="87">
        <v>0</v>
      </c>
      <c r="AE101" s="87">
        <v>0</v>
      </c>
      <c r="AF101" s="87">
        <v>0</v>
      </c>
      <c r="AG101" s="87">
        <v>0</v>
      </c>
      <c r="AH101" s="87">
        <v>0</v>
      </c>
      <c r="AI101" s="87">
        <v>0</v>
      </c>
      <c r="AJ101" s="87">
        <v>0</v>
      </c>
      <c r="AK101" s="87">
        <v>0</v>
      </c>
      <c r="AL101" s="87">
        <v>0</v>
      </c>
      <c r="AM101" s="87">
        <v>0</v>
      </c>
      <c r="AN101" s="87">
        <v>0</v>
      </c>
      <c r="AO101" s="87">
        <v>0</v>
      </c>
      <c r="AP101" s="87">
        <v>0</v>
      </c>
      <c r="AQ101" s="87">
        <v>0</v>
      </c>
      <c r="AR101" s="87">
        <v>0</v>
      </c>
      <c r="AS101" s="87">
        <v>0</v>
      </c>
      <c r="AT101" s="87">
        <v>0</v>
      </c>
      <c r="AU101" s="87">
        <v>0</v>
      </c>
      <c r="AV101" s="87">
        <v>0</v>
      </c>
      <c r="AW101" s="87">
        <v>0</v>
      </c>
      <c r="AX101" s="87">
        <v>0</v>
      </c>
      <c r="AY101" s="87">
        <v>0</v>
      </c>
      <c r="AZ101" s="87">
        <v>0</v>
      </c>
      <c r="BA101" s="87">
        <v>0</v>
      </c>
      <c r="BB101" s="87">
        <v>0</v>
      </c>
      <c r="BC101" s="87">
        <v>0</v>
      </c>
      <c r="BD101" s="87">
        <v>0</v>
      </c>
      <c r="BE101" s="87">
        <v>0</v>
      </c>
      <c r="BF101" s="87">
        <v>0</v>
      </c>
      <c r="BG101" s="87">
        <v>0</v>
      </c>
      <c r="BH101" s="87">
        <v>0</v>
      </c>
      <c r="BI101" s="87">
        <v>0</v>
      </c>
      <c r="BJ101" s="87">
        <v>0</v>
      </c>
      <c r="BK101" s="87">
        <v>0</v>
      </c>
      <c r="BL101" s="87">
        <v>0</v>
      </c>
      <c r="BM101" s="87">
        <v>0</v>
      </c>
      <c r="BN101" s="87">
        <v>0</v>
      </c>
      <c r="BO101" s="87">
        <v>0</v>
      </c>
      <c r="BP101" s="87">
        <v>0</v>
      </c>
      <c r="BQ101" s="87">
        <v>0</v>
      </c>
      <c r="BR101" s="87">
        <v>0</v>
      </c>
      <c r="BS101" s="87">
        <v>0</v>
      </c>
      <c r="BW101">
        <f t="shared" si="4"/>
        <v>232672.48590733891</v>
      </c>
      <c r="BX101">
        <f t="shared" si="5"/>
        <v>34839.716621068001</v>
      </c>
      <c r="BY101">
        <f t="shared" si="6"/>
        <v>371094.06353103736</v>
      </c>
      <c r="BZ101">
        <f t="shared" si="7"/>
        <v>76179.776535406141</v>
      </c>
      <c r="CA101">
        <f t="shared" si="8"/>
        <v>15011.396028380053</v>
      </c>
      <c r="CB101">
        <f t="shared" si="9"/>
        <v>51551.176130883803</v>
      </c>
      <c r="CC101">
        <f t="shared" si="10"/>
        <v>177768.63125311004</v>
      </c>
      <c r="CD101">
        <f t="shared" si="11"/>
        <v>128259.05724192546</v>
      </c>
      <c r="CE101">
        <f t="shared" si="12"/>
        <v>278847.59643141937</v>
      </c>
      <c r="CF101">
        <f t="shared" si="13"/>
        <v>119292.47302789842</v>
      </c>
      <c r="CG101">
        <f t="shared" si="14"/>
        <v>83770.04231671372</v>
      </c>
      <c r="CH101">
        <f t="shared" si="15"/>
        <v>300092.07254081866</v>
      </c>
      <c r="CI101">
        <f t="shared" si="16"/>
        <v>239004.30542355054</v>
      </c>
      <c r="CJ101">
        <f t="shared" si="17"/>
        <v>373508.54190304613</v>
      </c>
      <c r="CK101">
        <f t="shared" si="18"/>
        <v>335805.16136012977</v>
      </c>
      <c r="CL101">
        <f t="shared" si="19"/>
        <v>78625.343120143414</v>
      </c>
      <c r="CM101">
        <f t="shared" si="20"/>
        <v>243781.44385618682</v>
      </c>
      <c r="CN101">
        <f t="shared" si="21"/>
        <v>548861.54802201549</v>
      </c>
      <c r="CO101">
        <f t="shared" si="22"/>
        <v>143806.93864198707</v>
      </c>
      <c r="CP101">
        <f t="shared" si="23"/>
        <v>465205.04703729611</v>
      </c>
      <c r="CQ101">
        <f t="shared" si="24"/>
        <v>342340.40920507541</v>
      </c>
      <c r="CR101">
        <f t="shared" si="25"/>
        <v>216877.32727484047</v>
      </c>
      <c r="CS101">
        <f t="shared" si="26"/>
        <v>202257.42757550368</v>
      </c>
      <c r="CT101">
        <f t="shared" si="27"/>
        <v>45234.347346962793</v>
      </c>
      <c r="CU101">
        <f t="shared" si="28"/>
        <v>46567.357189394708</v>
      </c>
      <c r="CV101">
        <f t="shared" si="29"/>
        <v>174837.79805898081</v>
      </c>
      <c r="CW101">
        <f t="shared" si="30"/>
        <v>280799.51465892419</v>
      </c>
      <c r="CX101">
        <f t="shared" si="31"/>
        <v>535023.54635062267</v>
      </c>
      <c r="CY101">
        <f t="shared" si="32"/>
        <v>559587.29484140966</v>
      </c>
      <c r="CZ101">
        <f t="shared" si="33"/>
        <v>895036.38006964535</v>
      </c>
      <c r="DA101">
        <f t="shared" si="34"/>
        <v>396678.46605921059</v>
      </c>
      <c r="DB101">
        <f t="shared" si="35"/>
        <v>234239.97799612756</v>
      </c>
      <c r="DC101">
        <f t="shared" si="36"/>
        <v>473059.82230215718</v>
      </c>
      <c r="DD101">
        <f t="shared" si="37"/>
        <v>287782.4716443739</v>
      </c>
      <c r="DE101">
        <f t="shared" si="38"/>
        <v>16054.733336787096</v>
      </c>
      <c r="DF101">
        <f t="shared" si="39"/>
        <v>1286310.0508836138</v>
      </c>
      <c r="DG101">
        <f t="shared" si="40"/>
        <v>893143.98897724436</v>
      </c>
      <c r="DH101">
        <f t="shared" si="41"/>
        <v>1623548.423859294</v>
      </c>
      <c r="DI101">
        <f t="shared" si="42"/>
        <v>722831.67721237696</v>
      </c>
      <c r="DJ101">
        <f t="shared" si="43"/>
        <v>107926.25122295273</v>
      </c>
      <c r="DK101">
        <f t="shared" si="44"/>
        <v>242301.8182004696</v>
      </c>
      <c r="DL101">
        <f t="shared" si="45"/>
        <v>659312.97889831674</v>
      </c>
      <c r="DM101">
        <f t="shared" si="46"/>
        <v>524533.04434630182</v>
      </c>
      <c r="DN101">
        <f t="shared" si="47"/>
        <v>1075349.3540120444</v>
      </c>
      <c r="DO101">
        <f t="shared" si="48"/>
        <v>511028.73918927449</v>
      </c>
      <c r="DP101">
        <f t="shared" si="49"/>
        <v>407559.59327890177</v>
      </c>
      <c r="DQ101">
        <f t="shared" si="50"/>
        <v>1569650.1165033495</v>
      </c>
      <c r="DR101">
        <f t="shared" si="51"/>
        <v>957347.05206124531</v>
      </c>
      <c r="DS101">
        <f t="shared" si="52"/>
        <v>3083124.2803492225</v>
      </c>
      <c r="DT101">
        <f t="shared" si="53"/>
        <v>1424345.6888533481</v>
      </c>
      <c r="DU101">
        <f t="shared" si="54"/>
        <v>286432.00777863746</v>
      </c>
      <c r="DV101">
        <f t="shared" si="55"/>
        <v>821100.50361601345</v>
      </c>
      <c r="DW101">
        <f t="shared" si="56"/>
        <v>2299136.698331038</v>
      </c>
      <c r="DX101">
        <f t="shared" si="57"/>
        <v>293014.52491573431</v>
      </c>
      <c r="DY101">
        <f t="shared" si="58"/>
        <v>1915092.0855130535</v>
      </c>
      <c r="DZ101">
        <f t="shared" si="59"/>
        <v>1424598.8141382507</v>
      </c>
      <c r="EA101">
        <f t="shared" si="60"/>
        <v>893807.36194519117</v>
      </c>
      <c r="EB101">
        <f t="shared" si="61"/>
        <v>873045.10770683433</v>
      </c>
      <c r="EC101">
        <f t="shared" si="62"/>
        <v>172667.98047041756</v>
      </c>
      <c r="ED101">
        <f t="shared" si="63"/>
        <v>158275.61400955019</v>
      </c>
      <c r="EE101">
        <f t="shared" si="64"/>
        <v>339889.57649215817</v>
      </c>
      <c r="EF101">
        <f t="shared" si="65"/>
        <v>1066157.8740950515</v>
      </c>
      <c r="EG101">
        <f t="shared" si="66"/>
        <v>2400668.2565451581</v>
      </c>
      <c r="EH101">
        <f t="shared" si="67"/>
        <v>2048167.0876273166</v>
      </c>
      <c r="EI101">
        <f t="shared" si="68"/>
        <v>2607288.2817202033</v>
      </c>
      <c r="EJ101">
        <f t="shared" si="69"/>
        <v>2223661.2399123828</v>
      </c>
      <c r="EK101">
        <f t="shared" si="70"/>
        <v>572206.44202303689</v>
      </c>
      <c r="EL101">
        <f t="shared" si="71"/>
        <v>1331605.0107849902</v>
      </c>
      <c r="EM101">
        <f t="shared" si="72"/>
        <v>1055708.2325378691</v>
      </c>
      <c r="EN101">
        <f t="shared" si="73"/>
        <v>13763.763575251673</v>
      </c>
    </row>
    <row r="102" spans="2:144" x14ac:dyDescent="0.35">
      <c r="B102" s="87">
        <v>0</v>
      </c>
      <c r="C102" s="87">
        <v>0</v>
      </c>
      <c r="D102" s="87">
        <v>0</v>
      </c>
      <c r="E102" s="87">
        <v>0</v>
      </c>
      <c r="F102" s="87">
        <v>0</v>
      </c>
      <c r="G102" s="87">
        <v>0</v>
      </c>
      <c r="H102" s="87">
        <v>0</v>
      </c>
      <c r="I102" s="87">
        <v>0</v>
      </c>
      <c r="J102" s="87">
        <v>0</v>
      </c>
      <c r="K102" s="87">
        <v>0</v>
      </c>
      <c r="L102" s="87">
        <v>0</v>
      </c>
      <c r="M102" s="87">
        <v>0</v>
      </c>
      <c r="N102" s="87">
        <v>0</v>
      </c>
      <c r="O102" s="87">
        <v>0</v>
      </c>
      <c r="P102" s="87">
        <v>0</v>
      </c>
      <c r="Q102" s="87">
        <v>0</v>
      </c>
      <c r="R102" s="87">
        <v>0</v>
      </c>
      <c r="S102" s="87">
        <v>0</v>
      </c>
      <c r="T102" s="87">
        <v>0</v>
      </c>
      <c r="U102" s="87">
        <v>0</v>
      </c>
      <c r="V102" s="87">
        <v>0</v>
      </c>
      <c r="W102" s="87">
        <v>0</v>
      </c>
      <c r="X102" s="87">
        <v>0</v>
      </c>
      <c r="Y102" s="87">
        <v>1</v>
      </c>
      <c r="Z102" s="87">
        <v>0</v>
      </c>
      <c r="AA102" s="87">
        <v>0</v>
      </c>
      <c r="AB102" s="87">
        <v>0</v>
      </c>
      <c r="AC102" s="87">
        <v>0</v>
      </c>
      <c r="AD102" s="87">
        <v>0</v>
      </c>
      <c r="AE102" s="87">
        <v>0</v>
      </c>
      <c r="AF102" s="87">
        <v>0</v>
      </c>
      <c r="AG102" s="87">
        <v>0</v>
      </c>
      <c r="AH102" s="87">
        <v>0</v>
      </c>
      <c r="AI102" s="87">
        <v>0</v>
      </c>
      <c r="AJ102" s="87">
        <v>0</v>
      </c>
      <c r="AK102" s="87">
        <v>0</v>
      </c>
      <c r="AL102" s="87">
        <v>0</v>
      </c>
      <c r="AM102" s="87">
        <v>0</v>
      </c>
      <c r="AN102" s="87">
        <v>0</v>
      </c>
      <c r="AO102" s="87">
        <v>0</v>
      </c>
      <c r="AP102" s="87">
        <v>0</v>
      </c>
      <c r="AQ102" s="87">
        <v>0</v>
      </c>
      <c r="AR102" s="87">
        <v>0</v>
      </c>
      <c r="AS102" s="87">
        <v>0</v>
      </c>
      <c r="AT102" s="87">
        <v>0</v>
      </c>
      <c r="AU102" s="87">
        <v>0</v>
      </c>
      <c r="AV102" s="87">
        <v>0</v>
      </c>
      <c r="AW102" s="87">
        <v>0</v>
      </c>
      <c r="AX102" s="87">
        <v>0</v>
      </c>
      <c r="AY102" s="87">
        <v>0</v>
      </c>
      <c r="AZ102" s="87">
        <v>0</v>
      </c>
      <c r="BA102" s="87">
        <v>0</v>
      </c>
      <c r="BB102" s="87">
        <v>0</v>
      </c>
      <c r="BC102" s="87">
        <v>0</v>
      </c>
      <c r="BD102" s="87">
        <v>0</v>
      </c>
      <c r="BE102" s="87">
        <v>0</v>
      </c>
      <c r="BF102" s="87">
        <v>0</v>
      </c>
      <c r="BG102" s="87">
        <v>0</v>
      </c>
      <c r="BH102" s="87">
        <v>0</v>
      </c>
      <c r="BI102" s="87">
        <v>0</v>
      </c>
      <c r="BJ102" s="87">
        <v>0</v>
      </c>
      <c r="BK102" s="87">
        <v>0</v>
      </c>
      <c r="BL102" s="87">
        <v>0</v>
      </c>
      <c r="BM102" s="87">
        <v>0</v>
      </c>
      <c r="BN102" s="87">
        <v>0</v>
      </c>
      <c r="BO102" s="87">
        <v>0</v>
      </c>
      <c r="BP102" s="87">
        <v>0</v>
      </c>
      <c r="BQ102" s="87">
        <v>0</v>
      </c>
      <c r="BR102" s="87">
        <v>0</v>
      </c>
      <c r="BS102" s="87">
        <v>0</v>
      </c>
      <c r="BW102">
        <f t="shared" si="4"/>
        <v>232672.48590733891</v>
      </c>
      <c r="BX102">
        <f t="shared" si="5"/>
        <v>34839.716621068001</v>
      </c>
      <c r="BY102">
        <f t="shared" si="6"/>
        <v>371094.06353103736</v>
      </c>
      <c r="BZ102">
        <f t="shared" si="7"/>
        <v>76179.776535406141</v>
      </c>
      <c r="CA102">
        <f t="shared" si="8"/>
        <v>15011.396028380053</v>
      </c>
      <c r="CB102">
        <f t="shared" si="9"/>
        <v>51551.176130883803</v>
      </c>
      <c r="CC102">
        <f t="shared" si="10"/>
        <v>177768.63125311004</v>
      </c>
      <c r="CD102">
        <f t="shared" si="11"/>
        <v>128259.05724192546</v>
      </c>
      <c r="CE102">
        <f t="shared" si="12"/>
        <v>278847.59643141937</v>
      </c>
      <c r="CF102">
        <f t="shared" si="13"/>
        <v>119292.47302789842</v>
      </c>
      <c r="CG102">
        <f t="shared" si="14"/>
        <v>83770.04231671372</v>
      </c>
      <c r="CH102">
        <f t="shared" si="15"/>
        <v>300092.07254081866</v>
      </c>
      <c r="CI102">
        <f t="shared" si="16"/>
        <v>239004.30542355054</v>
      </c>
      <c r="CJ102">
        <f t="shared" si="17"/>
        <v>373508.54190304613</v>
      </c>
      <c r="CK102">
        <f t="shared" si="18"/>
        <v>335805.16136012977</v>
      </c>
      <c r="CL102">
        <f t="shared" si="19"/>
        <v>78625.343120143414</v>
      </c>
      <c r="CM102">
        <f t="shared" si="20"/>
        <v>243781.44385618682</v>
      </c>
      <c r="CN102">
        <f t="shared" si="21"/>
        <v>548861.54802201549</v>
      </c>
      <c r="CO102">
        <f t="shared" si="22"/>
        <v>143806.93864198707</v>
      </c>
      <c r="CP102">
        <f t="shared" si="23"/>
        <v>465205.04703729611</v>
      </c>
      <c r="CQ102">
        <f t="shared" si="24"/>
        <v>342340.40920507541</v>
      </c>
      <c r="CR102">
        <f t="shared" si="25"/>
        <v>216877.32727484047</v>
      </c>
      <c r="CS102">
        <f t="shared" si="26"/>
        <v>202257.42757550368</v>
      </c>
      <c r="CT102">
        <f t="shared" si="27"/>
        <v>45234.347346962793</v>
      </c>
      <c r="CU102">
        <f t="shared" si="28"/>
        <v>46567.357189394708</v>
      </c>
      <c r="CV102">
        <f t="shared" si="29"/>
        <v>174837.79805898081</v>
      </c>
      <c r="CW102">
        <f t="shared" si="30"/>
        <v>280799.51465892419</v>
      </c>
      <c r="CX102">
        <f t="shared" si="31"/>
        <v>535023.54635062267</v>
      </c>
      <c r="CY102">
        <f t="shared" si="32"/>
        <v>559587.29484140966</v>
      </c>
      <c r="CZ102">
        <f t="shared" si="33"/>
        <v>895036.38006964535</v>
      </c>
      <c r="DA102">
        <f t="shared" si="34"/>
        <v>396678.46605921059</v>
      </c>
      <c r="DB102">
        <f t="shared" si="35"/>
        <v>234239.97799612756</v>
      </c>
      <c r="DC102">
        <f t="shared" si="36"/>
        <v>473059.82230215718</v>
      </c>
      <c r="DD102">
        <f t="shared" si="37"/>
        <v>287782.4716443739</v>
      </c>
      <c r="DE102">
        <f t="shared" si="38"/>
        <v>16054.733336787096</v>
      </c>
      <c r="DF102">
        <f t="shared" si="39"/>
        <v>1286310.0508836138</v>
      </c>
      <c r="DG102">
        <f t="shared" si="40"/>
        <v>893143.98897724436</v>
      </c>
      <c r="DH102">
        <f t="shared" si="41"/>
        <v>1623548.423859294</v>
      </c>
      <c r="DI102">
        <f t="shared" si="42"/>
        <v>722831.67721237696</v>
      </c>
      <c r="DJ102">
        <f t="shared" si="43"/>
        <v>107926.25122295273</v>
      </c>
      <c r="DK102">
        <f t="shared" si="44"/>
        <v>242301.8182004696</v>
      </c>
      <c r="DL102">
        <f t="shared" si="45"/>
        <v>659312.97889831674</v>
      </c>
      <c r="DM102">
        <f t="shared" si="46"/>
        <v>524533.04434630182</v>
      </c>
      <c r="DN102">
        <f t="shared" si="47"/>
        <v>1075349.3540120444</v>
      </c>
      <c r="DO102">
        <f t="shared" si="48"/>
        <v>511028.73918927449</v>
      </c>
      <c r="DP102">
        <f t="shared" si="49"/>
        <v>407559.59327890177</v>
      </c>
      <c r="DQ102">
        <f t="shared" si="50"/>
        <v>1569650.1165033495</v>
      </c>
      <c r="DR102">
        <f t="shared" si="51"/>
        <v>957347.05206124531</v>
      </c>
      <c r="DS102">
        <f t="shared" si="52"/>
        <v>3083124.2803492225</v>
      </c>
      <c r="DT102">
        <f t="shared" si="53"/>
        <v>1424345.6888533481</v>
      </c>
      <c r="DU102">
        <f t="shared" si="54"/>
        <v>286432.00777863746</v>
      </c>
      <c r="DV102">
        <f t="shared" si="55"/>
        <v>821100.50361601345</v>
      </c>
      <c r="DW102">
        <f t="shared" si="56"/>
        <v>2299136.698331038</v>
      </c>
      <c r="DX102">
        <f t="shared" si="57"/>
        <v>293014.52491573431</v>
      </c>
      <c r="DY102">
        <f t="shared" si="58"/>
        <v>1915092.0855130535</v>
      </c>
      <c r="DZ102">
        <f t="shared" si="59"/>
        <v>1424598.8141382507</v>
      </c>
      <c r="EA102">
        <f t="shared" si="60"/>
        <v>893807.36194519117</v>
      </c>
      <c r="EB102">
        <f t="shared" si="61"/>
        <v>873045.10770683433</v>
      </c>
      <c r="EC102">
        <f t="shared" si="62"/>
        <v>172667.98047041756</v>
      </c>
      <c r="ED102">
        <f t="shared" si="63"/>
        <v>158275.61400955019</v>
      </c>
      <c r="EE102">
        <f t="shared" si="64"/>
        <v>339889.57649215817</v>
      </c>
      <c r="EF102">
        <f t="shared" si="65"/>
        <v>1066157.8740950515</v>
      </c>
      <c r="EG102">
        <f t="shared" si="66"/>
        <v>2400668.2565451581</v>
      </c>
      <c r="EH102">
        <f t="shared" si="67"/>
        <v>2048167.0876273166</v>
      </c>
      <c r="EI102">
        <f t="shared" si="68"/>
        <v>2607288.2817202033</v>
      </c>
      <c r="EJ102">
        <f t="shared" si="69"/>
        <v>2223661.2399123828</v>
      </c>
      <c r="EK102">
        <f t="shared" si="70"/>
        <v>572206.44202303689</v>
      </c>
      <c r="EL102">
        <f t="shared" si="71"/>
        <v>1331605.0107849902</v>
      </c>
      <c r="EM102">
        <f t="shared" si="72"/>
        <v>1055708.2325378691</v>
      </c>
      <c r="EN102">
        <f t="shared" si="73"/>
        <v>13763.763575251673</v>
      </c>
    </row>
    <row r="103" spans="2:144" x14ac:dyDescent="0.35">
      <c r="B103" s="87">
        <v>0</v>
      </c>
      <c r="C103" s="87">
        <v>0</v>
      </c>
      <c r="D103" s="87">
        <v>0</v>
      </c>
      <c r="E103" s="87">
        <v>0</v>
      </c>
      <c r="F103" s="87">
        <v>0</v>
      </c>
      <c r="G103" s="87">
        <v>0</v>
      </c>
      <c r="H103" s="87">
        <v>0</v>
      </c>
      <c r="I103" s="87">
        <v>0</v>
      </c>
      <c r="J103" s="87">
        <v>0</v>
      </c>
      <c r="K103" s="87">
        <v>0</v>
      </c>
      <c r="L103" s="87">
        <v>0</v>
      </c>
      <c r="M103" s="87">
        <v>0</v>
      </c>
      <c r="N103" s="87">
        <v>0</v>
      </c>
      <c r="O103" s="87">
        <v>0</v>
      </c>
      <c r="P103" s="87">
        <v>0</v>
      </c>
      <c r="Q103" s="87">
        <v>0</v>
      </c>
      <c r="R103" s="87">
        <v>0</v>
      </c>
      <c r="S103" s="87">
        <v>0</v>
      </c>
      <c r="T103" s="87">
        <v>0</v>
      </c>
      <c r="U103" s="87">
        <v>0</v>
      </c>
      <c r="V103" s="87">
        <v>0</v>
      </c>
      <c r="W103" s="87">
        <v>0</v>
      </c>
      <c r="X103" s="87">
        <v>0</v>
      </c>
      <c r="Y103" s="87">
        <v>0</v>
      </c>
      <c r="Z103" s="87">
        <v>1</v>
      </c>
      <c r="AA103" s="87">
        <v>0</v>
      </c>
      <c r="AB103" s="87">
        <v>0</v>
      </c>
      <c r="AC103" s="87">
        <v>0</v>
      </c>
      <c r="AD103" s="87">
        <v>0</v>
      </c>
      <c r="AE103" s="87">
        <v>0</v>
      </c>
      <c r="AF103" s="87">
        <v>0</v>
      </c>
      <c r="AG103" s="87">
        <v>0</v>
      </c>
      <c r="AH103" s="87">
        <v>0</v>
      </c>
      <c r="AI103" s="87">
        <v>0</v>
      </c>
      <c r="AJ103" s="87">
        <v>0</v>
      </c>
      <c r="AK103" s="87">
        <v>0</v>
      </c>
      <c r="AL103" s="87">
        <v>0</v>
      </c>
      <c r="AM103" s="87">
        <v>0</v>
      </c>
      <c r="AN103" s="87">
        <v>0</v>
      </c>
      <c r="AO103" s="87">
        <v>0</v>
      </c>
      <c r="AP103" s="87">
        <v>0</v>
      </c>
      <c r="AQ103" s="87">
        <v>0</v>
      </c>
      <c r="AR103" s="87">
        <v>0</v>
      </c>
      <c r="AS103" s="87">
        <v>0</v>
      </c>
      <c r="AT103" s="87">
        <v>0</v>
      </c>
      <c r="AU103" s="87">
        <v>0</v>
      </c>
      <c r="AV103" s="87">
        <v>0</v>
      </c>
      <c r="AW103" s="87">
        <v>0</v>
      </c>
      <c r="AX103" s="87">
        <v>0</v>
      </c>
      <c r="AY103" s="87">
        <v>0</v>
      </c>
      <c r="AZ103" s="87">
        <v>0</v>
      </c>
      <c r="BA103" s="87">
        <v>0</v>
      </c>
      <c r="BB103" s="87">
        <v>0</v>
      </c>
      <c r="BC103" s="87">
        <v>0</v>
      </c>
      <c r="BD103" s="87">
        <v>0</v>
      </c>
      <c r="BE103" s="87">
        <v>0</v>
      </c>
      <c r="BF103" s="87">
        <v>0</v>
      </c>
      <c r="BG103" s="87">
        <v>0</v>
      </c>
      <c r="BH103" s="87">
        <v>0</v>
      </c>
      <c r="BI103" s="87">
        <v>0</v>
      </c>
      <c r="BJ103" s="87">
        <v>0</v>
      </c>
      <c r="BK103" s="87">
        <v>0</v>
      </c>
      <c r="BL103" s="87">
        <v>0</v>
      </c>
      <c r="BM103" s="87">
        <v>0</v>
      </c>
      <c r="BN103" s="87">
        <v>0</v>
      </c>
      <c r="BO103" s="87">
        <v>0</v>
      </c>
      <c r="BP103" s="87">
        <v>0</v>
      </c>
      <c r="BQ103" s="87">
        <v>0</v>
      </c>
      <c r="BR103" s="87">
        <v>0</v>
      </c>
      <c r="BS103" s="87">
        <v>0</v>
      </c>
      <c r="BW103">
        <f t="shared" si="4"/>
        <v>232672.48590733891</v>
      </c>
      <c r="BX103">
        <f t="shared" si="5"/>
        <v>34839.716621068001</v>
      </c>
      <c r="BY103">
        <f t="shared" si="6"/>
        <v>371094.06353103736</v>
      </c>
      <c r="BZ103">
        <f t="shared" si="7"/>
        <v>76179.776535406141</v>
      </c>
      <c r="CA103">
        <f t="shared" si="8"/>
        <v>15011.396028380053</v>
      </c>
      <c r="CB103">
        <f t="shared" si="9"/>
        <v>51551.176130883803</v>
      </c>
      <c r="CC103">
        <f t="shared" si="10"/>
        <v>177768.63125311004</v>
      </c>
      <c r="CD103">
        <f t="shared" si="11"/>
        <v>128259.05724192546</v>
      </c>
      <c r="CE103">
        <f t="shared" si="12"/>
        <v>278847.59643141937</v>
      </c>
      <c r="CF103">
        <f t="shared" si="13"/>
        <v>119292.47302789842</v>
      </c>
      <c r="CG103">
        <f t="shared" si="14"/>
        <v>83770.04231671372</v>
      </c>
      <c r="CH103">
        <f t="shared" si="15"/>
        <v>300092.07254081866</v>
      </c>
      <c r="CI103">
        <f t="shared" si="16"/>
        <v>239004.30542355054</v>
      </c>
      <c r="CJ103">
        <f t="shared" si="17"/>
        <v>373508.54190304613</v>
      </c>
      <c r="CK103">
        <f t="shared" si="18"/>
        <v>335805.16136012977</v>
      </c>
      <c r="CL103">
        <f t="shared" si="19"/>
        <v>78625.343120143414</v>
      </c>
      <c r="CM103">
        <f t="shared" si="20"/>
        <v>243781.44385618682</v>
      </c>
      <c r="CN103">
        <f t="shared" si="21"/>
        <v>548861.54802201549</v>
      </c>
      <c r="CO103">
        <f t="shared" si="22"/>
        <v>143806.93864198707</v>
      </c>
      <c r="CP103">
        <f t="shared" si="23"/>
        <v>465205.04703729611</v>
      </c>
      <c r="CQ103">
        <f t="shared" si="24"/>
        <v>342340.40920507541</v>
      </c>
      <c r="CR103">
        <f t="shared" si="25"/>
        <v>216877.32727484047</v>
      </c>
      <c r="CS103">
        <f t="shared" si="26"/>
        <v>202257.42757550368</v>
      </c>
      <c r="CT103">
        <f t="shared" si="27"/>
        <v>45234.347346962793</v>
      </c>
      <c r="CU103">
        <f t="shared" si="28"/>
        <v>46567.357189394708</v>
      </c>
      <c r="CV103">
        <f t="shared" si="29"/>
        <v>174837.79805898081</v>
      </c>
      <c r="CW103">
        <f t="shared" si="30"/>
        <v>280799.51465892419</v>
      </c>
      <c r="CX103">
        <f t="shared" si="31"/>
        <v>535023.54635062267</v>
      </c>
      <c r="CY103">
        <f t="shared" si="32"/>
        <v>559587.29484140966</v>
      </c>
      <c r="CZ103">
        <f t="shared" si="33"/>
        <v>895036.38006964535</v>
      </c>
      <c r="DA103">
        <f t="shared" si="34"/>
        <v>396678.46605921059</v>
      </c>
      <c r="DB103">
        <f t="shared" si="35"/>
        <v>234239.97799612756</v>
      </c>
      <c r="DC103">
        <f t="shared" si="36"/>
        <v>473059.82230215718</v>
      </c>
      <c r="DD103">
        <f t="shared" si="37"/>
        <v>287782.4716443739</v>
      </c>
      <c r="DE103">
        <f t="shared" si="38"/>
        <v>16054.733336787096</v>
      </c>
      <c r="DF103">
        <f t="shared" si="39"/>
        <v>1286310.0508836138</v>
      </c>
      <c r="DG103">
        <f t="shared" si="40"/>
        <v>893143.98897724436</v>
      </c>
      <c r="DH103">
        <f t="shared" si="41"/>
        <v>1623548.423859294</v>
      </c>
      <c r="DI103">
        <f t="shared" si="42"/>
        <v>722831.67721237696</v>
      </c>
      <c r="DJ103">
        <f t="shared" si="43"/>
        <v>107926.25122295273</v>
      </c>
      <c r="DK103">
        <f t="shared" si="44"/>
        <v>242301.8182004696</v>
      </c>
      <c r="DL103">
        <f t="shared" si="45"/>
        <v>659312.97889831674</v>
      </c>
      <c r="DM103">
        <f t="shared" si="46"/>
        <v>524533.04434630182</v>
      </c>
      <c r="DN103">
        <f t="shared" si="47"/>
        <v>1075349.3540120444</v>
      </c>
      <c r="DO103">
        <f t="shared" si="48"/>
        <v>511028.73918927449</v>
      </c>
      <c r="DP103">
        <f t="shared" si="49"/>
        <v>407559.59327890177</v>
      </c>
      <c r="DQ103">
        <f t="shared" si="50"/>
        <v>1569650.1165033495</v>
      </c>
      <c r="DR103">
        <f t="shared" si="51"/>
        <v>957347.05206124531</v>
      </c>
      <c r="DS103">
        <f t="shared" si="52"/>
        <v>3083124.2803492225</v>
      </c>
      <c r="DT103">
        <f t="shared" si="53"/>
        <v>1424345.6888533481</v>
      </c>
      <c r="DU103">
        <f t="shared" si="54"/>
        <v>286432.00777863746</v>
      </c>
      <c r="DV103">
        <f t="shared" si="55"/>
        <v>821100.50361601345</v>
      </c>
      <c r="DW103">
        <f t="shared" si="56"/>
        <v>2299136.698331038</v>
      </c>
      <c r="DX103">
        <f t="shared" si="57"/>
        <v>293014.52491573431</v>
      </c>
      <c r="DY103">
        <f t="shared" si="58"/>
        <v>1915092.0855130535</v>
      </c>
      <c r="DZ103">
        <f t="shared" si="59"/>
        <v>1424598.8141382507</v>
      </c>
      <c r="EA103">
        <f t="shared" si="60"/>
        <v>893807.36194519117</v>
      </c>
      <c r="EB103">
        <f t="shared" si="61"/>
        <v>873045.10770683433</v>
      </c>
      <c r="EC103">
        <f t="shared" si="62"/>
        <v>172667.98047041756</v>
      </c>
      <c r="ED103">
        <f t="shared" si="63"/>
        <v>158275.61400955019</v>
      </c>
      <c r="EE103">
        <f t="shared" si="64"/>
        <v>339889.57649215817</v>
      </c>
      <c r="EF103">
        <f t="shared" si="65"/>
        <v>1066157.8740950515</v>
      </c>
      <c r="EG103">
        <f t="shared" si="66"/>
        <v>2400668.2565451581</v>
      </c>
      <c r="EH103">
        <f t="shared" si="67"/>
        <v>2048167.0876273166</v>
      </c>
      <c r="EI103">
        <f t="shared" si="68"/>
        <v>2607288.2817202033</v>
      </c>
      <c r="EJ103">
        <f t="shared" si="69"/>
        <v>2223661.2399123828</v>
      </c>
      <c r="EK103">
        <f t="shared" si="70"/>
        <v>572206.44202303689</v>
      </c>
      <c r="EL103">
        <f t="shared" si="71"/>
        <v>1331605.0107849902</v>
      </c>
      <c r="EM103">
        <f t="shared" si="72"/>
        <v>1055708.2325378691</v>
      </c>
      <c r="EN103">
        <f t="shared" si="73"/>
        <v>13763.763575251673</v>
      </c>
    </row>
    <row r="104" spans="2:144" x14ac:dyDescent="0.35">
      <c r="B104" s="87">
        <v>0</v>
      </c>
      <c r="C104" s="87">
        <v>0</v>
      </c>
      <c r="D104" s="87">
        <v>0</v>
      </c>
      <c r="E104" s="87">
        <v>0</v>
      </c>
      <c r="F104" s="87">
        <v>0</v>
      </c>
      <c r="G104" s="87">
        <v>0</v>
      </c>
      <c r="H104" s="87">
        <v>0</v>
      </c>
      <c r="I104" s="87">
        <v>0</v>
      </c>
      <c r="J104" s="87">
        <v>0</v>
      </c>
      <c r="K104" s="87">
        <v>0</v>
      </c>
      <c r="L104" s="87">
        <v>0</v>
      </c>
      <c r="M104" s="87">
        <v>0</v>
      </c>
      <c r="N104" s="87">
        <v>0</v>
      </c>
      <c r="O104" s="87">
        <v>0</v>
      </c>
      <c r="P104" s="87">
        <v>0</v>
      </c>
      <c r="Q104" s="87">
        <v>0</v>
      </c>
      <c r="R104" s="87">
        <v>0</v>
      </c>
      <c r="S104" s="87">
        <v>0</v>
      </c>
      <c r="T104" s="87">
        <v>0</v>
      </c>
      <c r="U104" s="87">
        <v>0</v>
      </c>
      <c r="V104" s="87">
        <v>0</v>
      </c>
      <c r="W104" s="87">
        <v>0</v>
      </c>
      <c r="X104" s="87">
        <v>0</v>
      </c>
      <c r="Y104" s="87">
        <v>0</v>
      </c>
      <c r="Z104" s="87">
        <v>0</v>
      </c>
      <c r="AA104" s="87">
        <v>1</v>
      </c>
      <c r="AB104" s="87">
        <v>0</v>
      </c>
      <c r="AC104" s="87">
        <v>0</v>
      </c>
      <c r="AD104" s="87">
        <v>0</v>
      </c>
      <c r="AE104" s="87">
        <v>0</v>
      </c>
      <c r="AF104" s="87">
        <v>0</v>
      </c>
      <c r="AG104" s="87">
        <v>0</v>
      </c>
      <c r="AH104" s="87">
        <v>0</v>
      </c>
      <c r="AI104" s="87">
        <v>0</v>
      </c>
      <c r="AJ104" s="87">
        <v>0</v>
      </c>
      <c r="AK104" s="87">
        <v>0</v>
      </c>
      <c r="AL104" s="87">
        <v>0</v>
      </c>
      <c r="AM104" s="87">
        <v>0</v>
      </c>
      <c r="AN104" s="87">
        <v>0</v>
      </c>
      <c r="AO104" s="87">
        <v>0</v>
      </c>
      <c r="AP104" s="87">
        <v>0</v>
      </c>
      <c r="AQ104" s="87">
        <v>0</v>
      </c>
      <c r="AR104" s="87">
        <v>0</v>
      </c>
      <c r="AS104" s="87">
        <v>0</v>
      </c>
      <c r="AT104" s="87">
        <v>0</v>
      </c>
      <c r="AU104" s="87">
        <v>0</v>
      </c>
      <c r="AV104" s="87">
        <v>0</v>
      </c>
      <c r="AW104" s="87">
        <v>0</v>
      </c>
      <c r="AX104" s="87">
        <v>0</v>
      </c>
      <c r="AY104" s="87">
        <v>0</v>
      </c>
      <c r="AZ104" s="87">
        <v>0</v>
      </c>
      <c r="BA104" s="87">
        <v>0</v>
      </c>
      <c r="BB104" s="87">
        <v>0</v>
      </c>
      <c r="BC104" s="87">
        <v>0</v>
      </c>
      <c r="BD104" s="87">
        <v>0</v>
      </c>
      <c r="BE104" s="87">
        <v>0</v>
      </c>
      <c r="BF104" s="87">
        <v>0</v>
      </c>
      <c r="BG104" s="87">
        <v>0</v>
      </c>
      <c r="BH104" s="87">
        <v>0</v>
      </c>
      <c r="BI104" s="87">
        <v>0</v>
      </c>
      <c r="BJ104" s="87">
        <v>0</v>
      </c>
      <c r="BK104" s="87">
        <v>0</v>
      </c>
      <c r="BL104" s="87">
        <v>0</v>
      </c>
      <c r="BM104" s="87">
        <v>0</v>
      </c>
      <c r="BN104" s="87">
        <v>0</v>
      </c>
      <c r="BO104" s="87">
        <v>0</v>
      </c>
      <c r="BP104" s="87">
        <v>0</v>
      </c>
      <c r="BQ104" s="87">
        <v>0</v>
      </c>
      <c r="BR104" s="87">
        <v>0</v>
      </c>
      <c r="BS104" s="87">
        <v>0</v>
      </c>
      <c r="BW104">
        <f t="shared" si="4"/>
        <v>232672.48590733891</v>
      </c>
      <c r="BX104">
        <f t="shared" si="5"/>
        <v>34839.716621068001</v>
      </c>
      <c r="BY104">
        <f t="shared" si="6"/>
        <v>371094.06353103736</v>
      </c>
      <c r="BZ104">
        <f t="shared" si="7"/>
        <v>76179.776535406141</v>
      </c>
      <c r="CA104">
        <f t="shared" si="8"/>
        <v>15011.396028380053</v>
      </c>
      <c r="CB104">
        <f t="shared" si="9"/>
        <v>51551.176130883803</v>
      </c>
      <c r="CC104">
        <f t="shared" si="10"/>
        <v>177768.63125311004</v>
      </c>
      <c r="CD104">
        <f t="shared" si="11"/>
        <v>128259.05724192546</v>
      </c>
      <c r="CE104">
        <f t="shared" si="12"/>
        <v>278847.59643141937</v>
      </c>
      <c r="CF104">
        <f t="shared" si="13"/>
        <v>119292.47302789842</v>
      </c>
      <c r="CG104">
        <f t="shared" si="14"/>
        <v>83770.04231671372</v>
      </c>
      <c r="CH104">
        <f t="shared" si="15"/>
        <v>300092.07254081866</v>
      </c>
      <c r="CI104">
        <f t="shared" si="16"/>
        <v>239004.30542355054</v>
      </c>
      <c r="CJ104">
        <f t="shared" si="17"/>
        <v>373508.54190304613</v>
      </c>
      <c r="CK104">
        <f t="shared" si="18"/>
        <v>335805.16136012977</v>
      </c>
      <c r="CL104">
        <f t="shared" si="19"/>
        <v>78625.343120143414</v>
      </c>
      <c r="CM104">
        <f t="shared" si="20"/>
        <v>243781.44385618682</v>
      </c>
      <c r="CN104">
        <f t="shared" si="21"/>
        <v>548861.54802201549</v>
      </c>
      <c r="CO104">
        <f t="shared" si="22"/>
        <v>143806.93864198707</v>
      </c>
      <c r="CP104">
        <f t="shared" si="23"/>
        <v>465205.04703729611</v>
      </c>
      <c r="CQ104">
        <f t="shared" si="24"/>
        <v>342340.40920507541</v>
      </c>
      <c r="CR104">
        <f t="shared" si="25"/>
        <v>216877.32727484047</v>
      </c>
      <c r="CS104">
        <f t="shared" si="26"/>
        <v>202257.42757550368</v>
      </c>
      <c r="CT104">
        <f t="shared" si="27"/>
        <v>45234.347346962793</v>
      </c>
      <c r="CU104">
        <f t="shared" si="28"/>
        <v>46567.357189394708</v>
      </c>
      <c r="CV104">
        <f t="shared" si="29"/>
        <v>174837.79805898081</v>
      </c>
      <c r="CW104">
        <f t="shared" si="30"/>
        <v>280799.51465892419</v>
      </c>
      <c r="CX104">
        <f t="shared" si="31"/>
        <v>535023.54635062267</v>
      </c>
      <c r="CY104">
        <f t="shared" si="32"/>
        <v>559587.29484140966</v>
      </c>
      <c r="CZ104">
        <f t="shared" si="33"/>
        <v>895036.38006964535</v>
      </c>
      <c r="DA104">
        <f t="shared" si="34"/>
        <v>396678.46605921059</v>
      </c>
      <c r="DB104">
        <f t="shared" si="35"/>
        <v>234239.97799612756</v>
      </c>
      <c r="DC104">
        <f t="shared" si="36"/>
        <v>473059.82230215718</v>
      </c>
      <c r="DD104">
        <f t="shared" si="37"/>
        <v>287782.4716443739</v>
      </c>
      <c r="DE104">
        <f t="shared" si="38"/>
        <v>16054.733336787096</v>
      </c>
      <c r="DF104">
        <f t="shared" si="39"/>
        <v>1286310.0508836138</v>
      </c>
      <c r="DG104">
        <f t="shared" si="40"/>
        <v>893143.98897724436</v>
      </c>
      <c r="DH104">
        <f t="shared" si="41"/>
        <v>1623548.423859294</v>
      </c>
      <c r="DI104">
        <f t="shared" si="42"/>
        <v>722831.67721237696</v>
      </c>
      <c r="DJ104">
        <f t="shared" si="43"/>
        <v>107926.25122295273</v>
      </c>
      <c r="DK104">
        <f t="shared" si="44"/>
        <v>242301.8182004696</v>
      </c>
      <c r="DL104">
        <f t="shared" si="45"/>
        <v>659312.97889831674</v>
      </c>
      <c r="DM104">
        <f t="shared" si="46"/>
        <v>524533.04434630182</v>
      </c>
      <c r="DN104">
        <f t="shared" si="47"/>
        <v>1075349.3540120444</v>
      </c>
      <c r="DO104">
        <f t="shared" si="48"/>
        <v>511028.73918927449</v>
      </c>
      <c r="DP104">
        <f t="shared" si="49"/>
        <v>407559.59327890177</v>
      </c>
      <c r="DQ104">
        <f t="shared" si="50"/>
        <v>1569650.1165033495</v>
      </c>
      <c r="DR104">
        <f t="shared" si="51"/>
        <v>957347.05206124531</v>
      </c>
      <c r="DS104">
        <f t="shared" si="52"/>
        <v>3083124.2803492225</v>
      </c>
      <c r="DT104">
        <f t="shared" si="53"/>
        <v>1424345.6888533481</v>
      </c>
      <c r="DU104">
        <f t="shared" si="54"/>
        <v>286432.00777863746</v>
      </c>
      <c r="DV104">
        <f t="shared" si="55"/>
        <v>821100.50361601345</v>
      </c>
      <c r="DW104">
        <f t="shared" si="56"/>
        <v>2299136.698331038</v>
      </c>
      <c r="DX104">
        <f t="shared" si="57"/>
        <v>293014.52491573431</v>
      </c>
      <c r="DY104">
        <f t="shared" si="58"/>
        <v>1915092.0855130535</v>
      </c>
      <c r="DZ104">
        <f t="shared" si="59"/>
        <v>1424598.8141382507</v>
      </c>
      <c r="EA104">
        <f t="shared" si="60"/>
        <v>893807.36194519117</v>
      </c>
      <c r="EB104">
        <f t="shared" si="61"/>
        <v>873045.10770683433</v>
      </c>
      <c r="EC104">
        <f t="shared" si="62"/>
        <v>172667.98047041756</v>
      </c>
      <c r="ED104">
        <f t="shared" si="63"/>
        <v>158275.61400955019</v>
      </c>
      <c r="EE104">
        <f t="shared" si="64"/>
        <v>339889.57649215817</v>
      </c>
      <c r="EF104">
        <f t="shared" si="65"/>
        <v>1066157.8740950515</v>
      </c>
      <c r="EG104">
        <f t="shared" si="66"/>
        <v>2400668.2565451581</v>
      </c>
      <c r="EH104">
        <f t="shared" si="67"/>
        <v>2048167.0876273166</v>
      </c>
      <c r="EI104">
        <f t="shared" si="68"/>
        <v>2607288.2817202033</v>
      </c>
      <c r="EJ104">
        <f t="shared" si="69"/>
        <v>2223661.2399123828</v>
      </c>
      <c r="EK104">
        <f t="shared" si="70"/>
        <v>572206.44202303689</v>
      </c>
      <c r="EL104">
        <f t="shared" si="71"/>
        <v>1331605.0107849902</v>
      </c>
      <c r="EM104">
        <f t="shared" si="72"/>
        <v>1055708.2325378691</v>
      </c>
      <c r="EN104">
        <f t="shared" si="73"/>
        <v>13763.763575251673</v>
      </c>
    </row>
    <row r="105" spans="2:144" x14ac:dyDescent="0.35">
      <c r="B105" s="87">
        <v>0</v>
      </c>
      <c r="C105" s="87">
        <v>0</v>
      </c>
      <c r="D105" s="87">
        <v>0</v>
      </c>
      <c r="E105" s="87">
        <v>0</v>
      </c>
      <c r="F105" s="87">
        <v>0</v>
      </c>
      <c r="G105" s="87">
        <v>0</v>
      </c>
      <c r="H105" s="87">
        <v>0</v>
      </c>
      <c r="I105" s="87">
        <v>0</v>
      </c>
      <c r="J105" s="87">
        <v>0</v>
      </c>
      <c r="K105" s="87">
        <v>0</v>
      </c>
      <c r="L105" s="87">
        <v>0</v>
      </c>
      <c r="M105" s="87">
        <v>0</v>
      </c>
      <c r="N105" s="87">
        <v>0</v>
      </c>
      <c r="O105" s="87">
        <v>0</v>
      </c>
      <c r="P105" s="87">
        <v>0</v>
      </c>
      <c r="Q105" s="87">
        <v>0</v>
      </c>
      <c r="R105" s="87">
        <v>0</v>
      </c>
      <c r="S105" s="87">
        <v>0</v>
      </c>
      <c r="T105" s="87">
        <v>0</v>
      </c>
      <c r="U105" s="87">
        <v>0</v>
      </c>
      <c r="V105" s="87">
        <v>0</v>
      </c>
      <c r="W105" s="87">
        <v>0</v>
      </c>
      <c r="X105" s="87">
        <v>0</v>
      </c>
      <c r="Y105" s="87">
        <v>0</v>
      </c>
      <c r="Z105" s="87">
        <v>0</v>
      </c>
      <c r="AA105" s="87">
        <v>0</v>
      </c>
      <c r="AB105" s="87">
        <v>1</v>
      </c>
      <c r="AC105" s="87">
        <v>0</v>
      </c>
      <c r="AD105" s="87">
        <v>0</v>
      </c>
      <c r="AE105" s="87">
        <v>0</v>
      </c>
      <c r="AF105" s="87">
        <v>0</v>
      </c>
      <c r="AG105" s="87">
        <v>0</v>
      </c>
      <c r="AH105" s="87">
        <v>0</v>
      </c>
      <c r="AI105" s="87">
        <v>0</v>
      </c>
      <c r="AJ105" s="87">
        <v>0</v>
      </c>
      <c r="AK105" s="87">
        <v>0</v>
      </c>
      <c r="AL105" s="87">
        <v>0</v>
      </c>
      <c r="AM105" s="87">
        <v>0</v>
      </c>
      <c r="AN105" s="87">
        <v>0</v>
      </c>
      <c r="AO105" s="87">
        <v>0</v>
      </c>
      <c r="AP105" s="87">
        <v>0</v>
      </c>
      <c r="AQ105" s="87">
        <v>0</v>
      </c>
      <c r="AR105" s="87">
        <v>0</v>
      </c>
      <c r="AS105" s="87">
        <v>0</v>
      </c>
      <c r="AT105" s="87">
        <v>0</v>
      </c>
      <c r="AU105" s="87">
        <v>0</v>
      </c>
      <c r="AV105" s="87">
        <v>0</v>
      </c>
      <c r="AW105" s="87">
        <v>0</v>
      </c>
      <c r="AX105" s="87">
        <v>0</v>
      </c>
      <c r="AY105" s="87">
        <v>0</v>
      </c>
      <c r="AZ105" s="87">
        <v>0</v>
      </c>
      <c r="BA105" s="87">
        <v>0</v>
      </c>
      <c r="BB105" s="87">
        <v>0</v>
      </c>
      <c r="BC105" s="87">
        <v>0</v>
      </c>
      <c r="BD105" s="87">
        <v>0</v>
      </c>
      <c r="BE105" s="87">
        <v>0</v>
      </c>
      <c r="BF105" s="87">
        <v>0</v>
      </c>
      <c r="BG105" s="87">
        <v>0</v>
      </c>
      <c r="BH105" s="87">
        <v>0</v>
      </c>
      <c r="BI105" s="87">
        <v>0</v>
      </c>
      <c r="BJ105" s="87">
        <v>0</v>
      </c>
      <c r="BK105" s="87">
        <v>0</v>
      </c>
      <c r="BL105" s="87">
        <v>0</v>
      </c>
      <c r="BM105" s="87">
        <v>0</v>
      </c>
      <c r="BN105" s="87">
        <v>0</v>
      </c>
      <c r="BO105" s="87">
        <v>0</v>
      </c>
      <c r="BP105" s="87">
        <v>0</v>
      </c>
      <c r="BQ105" s="87">
        <v>0</v>
      </c>
      <c r="BR105" s="87">
        <v>0</v>
      </c>
      <c r="BS105" s="87">
        <v>0</v>
      </c>
      <c r="BW105">
        <f t="shared" si="4"/>
        <v>232672.48590733891</v>
      </c>
      <c r="BX105">
        <f t="shared" si="5"/>
        <v>34839.716621068001</v>
      </c>
      <c r="BY105">
        <f t="shared" si="6"/>
        <v>371094.06353103736</v>
      </c>
      <c r="BZ105">
        <f t="shared" si="7"/>
        <v>76179.776535406141</v>
      </c>
      <c r="CA105">
        <f t="shared" si="8"/>
        <v>15011.396028380053</v>
      </c>
      <c r="CB105">
        <f t="shared" si="9"/>
        <v>51551.176130883803</v>
      </c>
      <c r="CC105">
        <f t="shared" si="10"/>
        <v>177768.63125311004</v>
      </c>
      <c r="CD105">
        <f t="shared" si="11"/>
        <v>128259.05724192546</v>
      </c>
      <c r="CE105">
        <f t="shared" si="12"/>
        <v>278847.59643141937</v>
      </c>
      <c r="CF105">
        <f t="shared" si="13"/>
        <v>119292.47302789842</v>
      </c>
      <c r="CG105">
        <f t="shared" si="14"/>
        <v>83770.04231671372</v>
      </c>
      <c r="CH105">
        <f t="shared" si="15"/>
        <v>300092.07254081866</v>
      </c>
      <c r="CI105">
        <f t="shared" si="16"/>
        <v>239004.30542355054</v>
      </c>
      <c r="CJ105">
        <f t="shared" si="17"/>
        <v>373508.54190304613</v>
      </c>
      <c r="CK105">
        <f t="shared" si="18"/>
        <v>335805.16136012977</v>
      </c>
      <c r="CL105">
        <f t="shared" si="19"/>
        <v>78625.343120143414</v>
      </c>
      <c r="CM105">
        <f t="shared" si="20"/>
        <v>243781.44385618682</v>
      </c>
      <c r="CN105">
        <f t="shared" si="21"/>
        <v>548861.54802201549</v>
      </c>
      <c r="CO105">
        <f t="shared" si="22"/>
        <v>143806.93864198707</v>
      </c>
      <c r="CP105">
        <f t="shared" si="23"/>
        <v>465205.04703729611</v>
      </c>
      <c r="CQ105">
        <f t="shared" si="24"/>
        <v>342340.40920507541</v>
      </c>
      <c r="CR105">
        <f t="shared" si="25"/>
        <v>216877.32727484047</v>
      </c>
      <c r="CS105">
        <f t="shared" si="26"/>
        <v>202257.42757550368</v>
      </c>
      <c r="CT105">
        <f t="shared" si="27"/>
        <v>45234.347346962793</v>
      </c>
      <c r="CU105">
        <f t="shared" si="28"/>
        <v>46567.357189394708</v>
      </c>
      <c r="CV105">
        <f t="shared" si="29"/>
        <v>174837.79805898081</v>
      </c>
      <c r="CW105">
        <f t="shared" si="30"/>
        <v>280799.51465892419</v>
      </c>
      <c r="CX105">
        <f t="shared" si="31"/>
        <v>535023.54635062267</v>
      </c>
      <c r="CY105">
        <f t="shared" si="32"/>
        <v>559587.29484140966</v>
      </c>
      <c r="CZ105">
        <f t="shared" si="33"/>
        <v>895036.38006964535</v>
      </c>
      <c r="DA105">
        <f t="shared" si="34"/>
        <v>396678.46605921059</v>
      </c>
      <c r="DB105">
        <f t="shared" si="35"/>
        <v>234239.97799612756</v>
      </c>
      <c r="DC105">
        <f t="shared" si="36"/>
        <v>473059.82230215718</v>
      </c>
      <c r="DD105">
        <f t="shared" si="37"/>
        <v>287782.4716443739</v>
      </c>
      <c r="DE105">
        <f t="shared" si="38"/>
        <v>16054.733336787096</v>
      </c>
      <c r="DF105">
        <f t="shared" si="39"/>
        <v>1286310.0508836138</v>
      </c>
      <c r="DG105">
        <f t="shared" si="40"/>
        <v>893143.98897724436</v>
      </c>
      <c r="DH105">
        <f t="shared" si="41"/>
        <v>1623548.423859294</v>
      </c>
      <c r="DI105">
        <f t="shared" si="42"/>
        <v>722831.67721237696</v>
      </c>
      <c r="DJ105">
        <f t="shared" si="43"/>
        <v>107926.25122295273</v>
      </c>
      <c r="DK105">
        <f t="shared" si="44"/>
        <v>242301.8182004696</v>
      </c>
      <c r="DL105">
        <f t="shared" si="45"/>
        <v>659312.97889831674</v>
      </c>
      <c r="DM105">
        <f t="shared" si="46"/>
        <v>524533.04434630182</v>
      </c>
      <c r="DN105">
        <f t="shared" si="47"/>
        <v>1075349.3540120444</v>
      </c>
      <c r="DO105">
        <f t="shared" si="48"/>
        <v>511028.73918927449</v>
      </c>
      <c r="DP105">
        <f t="shared" si="49"/>
        <v>407559.59327890177</v>
      </c>
      <c r="DQ105">
        <f t="shared" si="50"/>
        <v>1569650.1165033495</v>
      </c>
      <c r="DR105">
        <f t="shared" si="51"/>
        <v>957347.05206124531</v>
      </c>
      <c r="DS105">
        <f t="shared" si="52"/>
        <v>3083124.2803492225</v>
      </c>
      <c r="DT105">
        <f t="shared" si="53"/>
        <v>1424345.6888533481</v>
      </c>
      <c r="DU105">
        <f t="shared" si="54"/>
        <v>286432.00777863746</v>
      </c>
      <c r="DV105">
        <f t="shared" si="55"/>
        <v>821100.50361601345</v>
      </c>
      <c r="DW105">
        <f t="shared" si="56"/>
        <v>2299136.698331038</v>
      </c>
      <c r="DX105">
        <f t="shared" si="57"/>
        <v>293014.52491573431</v>
      </c>
      <c r="DY105">
        <f t="shared" si="58"/>
        <v>1915092.0855130535</v>
      </c>
      <c r="DZ105">
        <f t="shared" si="59"/>
        <v>1424598.8141382507</v>
      </c>
      <c r="EA105">
        <f t="shared" si="60"/>
        <v>893807.36194519117</v>
      </c>
      <c r="EB105">
        <f t="shared" si="61"/>
        <v>873045.10770683433</v>
      </c>
      <c r="EC105">
        <f t="shared" si="62"/>
        <v>172667.98047041756</v>
      </c>
      <c r="ED105">
        <f t="shared" si="63"/>
        <v>158275.61400955019</v>
      </c>
      <c r="EE105">
        <f t="shared" si="64"/>
        <v>339889.57649215817</v>
      </c>
      <c r="EF105">
        <f t="shared" si="65"/>
        <v>1066157.8740950515</v>
      </c>
      <c r="EG105">
        <f t="shared" si="66"/>
        <v>2400668.2565451581</v>
      </c>
      <c r="EH105">
        <f t="shared" si="67"/>
        <v>2048167.0876273166</v>
      </c>
      <c r="EI105">
        <f t="shared" si="68"/>
        <v>2607288.2817202033</v>
      </c>
      <c r="EJ105">
        <f t="shared" si="69"/>
        <v>2223661.2399123828</v>
      </c>
      <c r="EK105">
        <f t="shared" si="70"/>
        <v>572206.44202303689</v>
      </c>
      <c r="EL105">
        <f t="shared" si="71"/>
        <v>1331605.0107849902</v>
      </c>
      <c r="EM105">
        <f t="shared" si="72"/>
        <v>1055708.2325378691</v>
      </c>
      <c r="EN105">
        <f t="shared" si="73"/>
        <v>13763.763575251673</v>
      </c>
    </row>
    <row r="106" spans="2:144" x14ac:dyDescent="0.35">
      <c r="B106" s="87">
        <v>0</v>
      </c>
      <c r="C106" s="87">
        <v>0</v>
      </c>
      <c r="D106" s="87">
        <v>0</v>
      </c>
      <c r="E106" s="87">
        <v>0</v>
      </c>
      <c r="F106" s="87">
        <v>0</v>
      </c>
      <c r="G106" s="87">
        <v>0</v>
      </c>
      <c r="H106" s="87">
        <v>0</v>
      </c>
      <c r="I106" s="87">
        <v>0</v>
      </c>
      <c r="J106" s="87">
        <v>0</v>
      </c>
      <c r="K106" s="87">
        <v>0</v>
      </c>
      <c r="L106" s="87">
        <v>0</v>
      </c>
      <c r="M106" s="87">
        <v>0</v>
      </c>
      <c r="N106" s="87">
        <v>0</v>
      </c>
      <c r="O106" s="87">
        <v>0</v>
      </c>
      <c r="P106" s="87">
        <v>0</v>
      </c>
      <c r="Q106" s="87">
        <v>0</v>
      </c>
      <c r="R106" s="87">
        <v>0</v>
      </c>
      <c r="S106" s="87">
        <v>0</v>
      </c>
      <c r="T106" s="87">
        <v>0</v>
      </c>
      <c r="U106" s="87">
        <v>0</v>
      </c>
      <c r="V106" s="87">
        <v>0</v>
      </c>
      <c r="W106" s="87">
        <v>0</v>
      </c>
      <c r="X106" s="87">
        <v>0</v>
      </c>
      <c r="Y106" s="87">
        <v>0</v>
      </c>
      <c r="Z106" s="87">
        <v>0</v>
      </c>
      <c r="AA106" s="87">
        <v>0</v>
      </c>
      <c r="AB106" s="87">
        <v>0</v>
      </c>
      <c r="AC106" s="87">
        <v>1</v>
      </c>
      <c r="AD106" s="87">
        <v>0</v>
      </c>
      <c r="AE106" s="87">
        <v>0</v>
      </c>
      <c r="AF106" s="87">
        <v>0</v>
      </c>
      <c r="AG106" s="87">
        <v>0</v>
      </c>
      <c r="AH106" s="87">
        <v>0</v>
      </c>
      <c r="AI106" s="87">
        <v>0</v>
      </c>
      <c r="AJ106" s="87">
        <v>0</v>
      </c>
      <c r="AK106" s="87">
        <v>0</v>
      </c>
      <c r="AL106" s="87">
        <v>0</v>
      </c>
      <c r="AM106" s="87">
        <v>0</v>
      </c>
      <c r="AN106" s="87">
        <v>0</v>
      </c>
      <c r="AO106" s="87">
        <v>0</v>
      </c>
      <c r="AP106" s="87">
        <v>0</v>
      </c>
      <c r="AQ106" s="87">
        <v>0</v>
      </c>
      <c r="AR106" s="87">
        <v>0</v>
      </c>
      <c r="AS106" s="87">
        <v>0</v>
      </c>
      <c r="AT106" s="87">
        <v>0</v>
      </c>
      <c r="AU106" s="87">
        <v>0</v>
      </c>
      <c r="AV106" s="87">
        <v>0</v>
      </c>
      <c r="AW106" s="87">
        <v>0</v>
      </c>
      <c r="AX106" s="87">
        <v>0</v>
      </c>
      <c r="AY106" s="87">
        <v>0</v>
      </c>
      <c r="AZ106" s="87">
        <v>0</v>
      </c>
      <c r="BA106" s="87">
        <v>0</v>
      </c>
      <c r="BB106" s="87">
        <v>0</v>
      </c>
      <c r="BC106" s="87">
        <v>0</v>
      </c>
      <c r="BD106" s="87">
        <v>0</v>
      </c>
      <c r="BE106" s="87">
        <v>0</v>
      </c>
      <c r="BF106" s="87">
        <v>0</v>
      </c>
      <c r="BG106" s="87">
        <v>0</v>
      </c>
      <c r="BH106" s="87">
        <v>0</v>
      </c>
      <c r="BI106" s="87">
        <v>0</v>
      </c>
      <c r="BJ106" s="87">
        <v>0</v>
      </c>
      <c r="BK106" s="87">
        <v>0</v>
      </c>
      <c r="BL106" s="87">
        <v>0</v>
      </c>
      <c r="BM106" s="87">
        <v>0</v>
      </c>
      <c r="BN106" s="87">
        <v>0</v>
      </c>
      <c r="BO106" s="87">
        <v>0</v>
      </c>
      <c r="BP106" s="87">
        <v>0</v>
      </c>
      <c r="BQ106" s="87">
        <v>0</v>
      </c>
      <c r="BR106" s="87">
        <v>0</v>
      </c>
      <c r="BS106" s="87">
        <v>0</v>
      </c>
      <c r="BW106">
        <f t="shared" si="4"/>
        <v>232672.48590733891</v>
      </c>
      <c r="BX106">
        <f t="shared" si="5"/>
        <v>34839.716621068001</v>
      </c>
      <c r="BY106">
        <f t="shared" si="6"/>
        <v>371094.06353103736</v>
      </c>
      <c r="BZ106">
        <f t="shared" si="7"/>
        <v>76179.776535406141</v>
      </c>
      <c r="CA106">
        <f t="shared" si="8"/>
        <v>15011.396028380053</v>
      </c>
      <c r="CB106">
        <f t="shared" si="9"/>
        <v>51551.176130883803</v>
      </c>
      <c r="CC106">
        <f t="shared" si="10"/>
        <v>177768.63125311004</v>
      </c>
      <c r="CD106">
        <f t="shared" si="11"/>
        <v>128259.05724192546</v>
      </c>
      <c r="CE106">
        <f t="shared" si="12"/>
        <v>278847.59643141937</v>
      </c>
      <c r="CF106">
        <f t="shared" si="13"/>
        <v>119292.47302789842</v>
      </c>
      <c r="CG106">
        <f t="shared" si="14"/>
        <v>83770.04231671372</v>
      </c>
      <c r="CH106">
        <f t="shared" si="15"/>
        <v>300092.07254081866</v>
      </c>
      <c r="CI106">
        <f t="shared" si="16"/>
        <v>239004.30542355054</v>
      </c>
      <c r="CJ106">
        <f t="shared" si="17"/>
        <v>373508.54190304613</v>
      </c>
      <c r="CK106">
        <f t="shared" si="18"/>
        <v>335805.16136012977</v>
      </c>
      <c r="CL106">
        <f t="shared" si="19"/>
        <v>78625.343120143414</v>
      </c>
      <c r="CM106">
        <f t="shared" si="20"/>
        <v>243781.44385618682</v>
      </c>
      <c r="CN106">
        <f t="shared" si="21"/>
        <v>548861.54802201549</v>
      </c>
      <c r="CO106">
        <f t="shared" si="22"/>
        <v>143806.93864198707</v>
      </c>
      <c r="CP106">
        <f t="shared" si="23"/>
        <v>465205.04703729611</v>
      </c>
      <c r="CQ106">
        <f t="shared" si="24"/>
        <v>342340.40920507541</v>
      </c>
      <c r="CR106">
        <f t="shared" si="25"/>
        <v>216877.32727484047</v>
      </c>
      <c r="CS106">
        <f t="shared" si="26"/>
        <v>202257.42757550368</v>
      </c>
      <c r="CT106">
        <f t="shared" si="27"/>
        <v>45234.347346962793</v>
      </c>
      <c r="CU106">
        <f t="shared" si="28"/>
        <v>46567.357189394708</v>
      </c>
      <c r="CV106">
        <f t="shared" si="29"/>
        <v>174837.79805898081</v>
      </c>
      <c r="CW106">
        <f t="shared" si="30"/>
        <v>280799.51465892419</v>
      </c>
      <c r="CX106">
        <f t="shared" si="31"/>
        <v>535023.54635062267</v>
      </c>
      <c r="CY106">
        <f t="shared" si="32"/>
        <v>559587.29484140966</v>
      </c>
      <c r="CZ106">
        <f t="shared" si="33"/>
        <v>895036.38006964535</v>
      </c>
      <c r="DA106">
        <f t="shared" si="34"/>
        <v>396678.46605921059</v>
      </c>
      <c r="DB106">
        <f t="shared" si="35"/>
        <v>234239.97799612756</v>
      </c>
      <c r="DC106">
        <f t="shared" si="36"/>
        <v>473059.82230215718</v>
      </c>
      <c r="DD106">
        <f t="shared" si="37"/>
        <v>287782.4716443739</v>
      </c>
      <c r="DE106">
        <f t="shared" si="38"/>
        <v>16054.733336787096</v>
      </c>
      <c r="DF106">
        <f t="shared" si="39"/>
        <v>1286310.0508836138</v>
      </c>
      <c r="DG106">
        <f t="shared" si="40"/>
        <v>893143.98897724436</v>
      </c>
      <c r="DH106">
        <f t="shared" si="41"/>
        <v>1623548.423859294</v>
      </c>
      <c r="DI106">
        <f t="shared" si="42"/>
        <v>722831.67721237696</v>
      </c>
      <c r="DJ106">
        <f t="shared" si="43"/>
        <v>107926.25122295273</v>
      </c>
      <c r="DK106">
        <f t="shared" si="44"/>
        <v>242301.8182004696</v>
      </c>
      <c r="DL106">
        <f t="shared" si="45"/>
        <v>659312.97889831674</v>
      </c>
      <c r="DM106">
        <f t="shared" si="46"/>
        <v>524533.04434630182</v>
      </c>
      <c r="DN106">
        <f t="shared" si="47"/>
        <v>1075349.3540120444</v>
      </c>
      <c r="DO106">
        <f t="shared" si="48"/>
        <v>511028.73918927449</v>
      </c>
      <c r="DP106">
        <f t="shared" si="49"/>
        <v>407559.59327890177</v>
      </c>
      <c r="DQ106">
        <f t="shared" si="50"/>
        <v>1569650.1165033495</v>
      </c>
      <c r="DR106">
        <f t="shared" si="51"/>
        <v>957347.05206124531</v>
      </c>
      <c r="DS106">
        <f t="shared" si="52"/>
        <v>3083124.2803492225</v>
      </c>
      <c r="DT106">
        <f t="shared" si="53"/>
        <v>1424345.6888533481</v>
      </c>
      <c r="DU106">
        <f t="shared" si="54"/>
        <v>286432.00777863746</v>
      </c>
      <c r="DV106">
        <f t="shared" si="55"/>
        <v>821100.50361601345</v>
      </c>
      <c r="DW106">
        <f t="shared" si="56"/>
        <v>2299136.698331038</v>
      </c>
      <c r="DX106">
        <f t="shared" si="57"/>
        <v>293014.52491573431</v>
      </c>
      <c r="DY106">
        <f t="shared" si="58"/>
        <v>1915092.0855130535</v>
      </c>
      <c r="DZ106">
        <f t="shared" si="59"/>
        <v>1424598.8141382507</v>
      </c>
      <c r="EA106">
        <f t="shared" si="60"/>
        <v>893807.36194519117</v>
      </c>
      <c r="EB106">
        <f t="shared" si="61"/>
        <v>873045.10770683433</v>
      </c>
      <c r="EC106">
        <f t="shared" si="62"/>
        <v>172667.98047041756</v>
      </c>
      <c r="ED106">
        <f t="shared" si="63"/>
        <v>158275.61400955019</v>
      </c>
      <c r="EE106">
        <f t="shared" si="64"/>
        <v>339889.57649215817</v>
      </c>
      <c r="EF106">
        <f t="shared" si="65"/>
        <v>1066157.8740950515</v>
      </c>
      <c r="EG106">
        <f t="shared" si="66"/>
        <v>2400668.2565451581</v>
      </c>
      <c r="EH106">
        <f t="shared" si="67"/>
        <v>2048167.0876273166</v>
      </c>
      <c r="EI106">
        <f t="shared" si="68"/>
        <v>2607288.2817202033</v>
      </c>
      <c r="EJ106">
        <f t="shared" si="69"/>
        <v>2223661.2399123828</v>
      </c>
      <c r="EK106">
        <f t="shared" si="70"/>
        <v>572206.44202303689</v>
      </c>
      <c r="EL106">
        <f t="shared" si="71"/>
        <v>1331605.0107849902</v>
      </c>
      <c r="EM106">
        <f t="shared" si="72"/>
        <v>1055708.2325378691</v>
      </c>
      <c r="EN106">
        <f t="shared" si="73"/>
        <v>13763.763575251673</v>
      </c>
    </row>
    <row r="107" spans="2:144" x14ac:dyDescent="0.35">
      <c r="B107" s="87">
        <v>0</v>
      </c>
      <c r="C107" s="87">
        <v>0</v>
      </c>
      <c r="D107" s="87">
        <v>0</v>
      </c>
      <c r="E107" s="87">
        <v>0</v>
      </c>
      <c r="F107" s="87">
        <v>0</v>
      </c>
      <c r="G107" s="87">
        <v>0</v>
      </c>
      <c r="H107" s="87">
        <v>0</v>
      </c>
      <c r="I107" s="87">
        <v>0</v>
      </c>
      <c r="J107" s="87">
        <v>0</v>
      </c>
      <c r="K107" s="87">
        <v>0</v>
      </c>
      <c r="L107" s="87">
        <v>0</v>
      </c>
      <c r="M107" s="87">
        <v>0</v>
      </c>
      <c r="N107" s="87">
        <v>0</v>
      </c>
      <c r="O107" s="87">
        <v>0</v>
      </c>
      <c r="P107" s="87">
        <v>0</v>
      </c>
      <c r="Q107" s="87">
        <v>0</v>
      </c>
      <c r="R107" s="87">
        <v>0</v>
      </c>
      <c r="S107" s="87">
        <v>0</v>
      </c>
      <c r="T107" s="87">
        <v>0</v>
      </c>
      <c r="U107" s="87">
        <v>0</v>
      </c>
      <c r="V107" s="87">
        <v>0</v>
      </c>
      <c r="W107" s="87">
        <v>0</v>
      </c>
      <c r="X107" s="87">
        <v>0</v>
      </c>
      <c r="Y107" s="87">
        <v>0</v>
      </c>
      <c r="Z107" s="87">
        <v>0</v>
      </c>
      <c r="AA107" s="87">
        <v>0</v>
      </c>
      <c r="AB107" s="87">
        <v>0</v>
      </c>
      <c r="AC107" s="87">
        <v>0</v>
      </c>
      <c r="AD107" s="87">
        <v>1</v>
      </c>
      <c r="AE107" s="87">
        <v>0</v>
      </c>
      <c r="AF107" s="87">
        <v>0</v>
      </c>
      <c r="AG107" s="87">
        <v>0</v>
      </c>
      <c r="AH107" s="87">
        <v>0</v>
      </c>
      <c r="AI107" s="87">
        <v>0</v>
      </c>
      <c r="AJ107" s="87">
        <v>0</v>
      </c>
      <c r="AK107" s="87">
        <v>0</v>
      </c>
      <c r="AL107" s="87">
        <v>0</v>
      </c>
      <c r="AM107" s="87">
        <v>0</v>
      </c>
      <c r="AN107" s="87">
        <v>0</v>
      </c>
      <c r="AO107" s="87">
        <v>0</v>
      </c>
      <c r="AP107" s="87">
        <v>0</v>
      </c>
      <c r="AQ107" s="87">
        <v>0</v>
      </c>
      <c r="AR107" s="87">
        <v>0</v>
      </c>
      <c r="AS107" s="87">
        <v>0</v>
      </c>
      <c r="AT107" s="87">
        <v>0</v>
      </c>
      <c r="AU107" s="87">
        <v>0</v>
      </c>
      <c r="AV107" s="87">
        <v>0</v>
      </c>
      <c r="AW107" s="87">
        <v>0</v>
      </c>
      <c r="AX107" s="87">
        <v>0</v>
      </c>
      <c r="AY107" s="87">
        <v>0</v>
      </c>
      <c r="AZ107" s="87">
        <v>0</v>
      </c>
      <c r="BA107" s="87">
        <v>0</v>
      </c>
      <c r="BB107" s="87">
        <v>0</v>
      </c>
      <c r="BC107" s="87">
        <v>0</v>
      </c>
      <c r="BD107" s="87">
        <v>0</v>
      </c>
      <c r="BE107" s="87">
        <v>0</v>
      </c>
      <c r="BF107" s="87">
        <v>0</v>
      </c>
      <c r="BG107" s="87">
        <v>0</v>
      </c>
      <c r="BH107" s="87">
        <v>0</v>
      </c>
      <c r="BI107" s="87">
        <v>0</v>
      </c>
      <c r="BJ107" s="87">
        <v>0</v>
      </c>
      <c r="BK107" s="87">
        <v>0</v>
      </c>
      <c r="BL107" s="87">
        <v>0</v>
      </c>
      <c r="BM107" s="87">
        <v>0</v>
      </c>
      <c r="BN107" s="87">
        <v>0</v>
      </c>
      <c r="BO107" s="87">
        <v>0</v>
      </c>
      <c r="BP107" s="87">
        <v>0</v>
      </c>
      <c r="BQ107" s="87">
        <v>0</v>
      </c>
      <c r="BR107" s="87">
        <v>0</v>
      </c>
      <c r="BS107" s="87">
        <v>0</v>
      </c>
      <c r="BW107">
        <f t="shared" si="4"/>
        <v>232672.48590733891</v>
      </c>
      <c r="BX107">
        <f t="shared" si="5"/>
        <v>34839.716621068001</v>
      </c>
      <c r="BY107">
        <f t="shared" si="6"/>
        <v>371094.06353103736</v>
      </c>
      <c r="BZ107">
        <f t="shared" si="7"/>
        <v>76179.776535406141</v>
      </c>
      <c r="CA107">
        <f t="shared" si="8"/>
        <v>15011.396028380053</v>
      </c>
      <c r="CB107">
        <f t="shared" si="9"/>
        <v>51551.176130883803</v>
      </c>
      <c r="CC107">
        <f t="shared" si="10"/>
        <v>177768.63125311004</v>
      </c>
      <c r="CD107">
        <f t="shared" si="11"/>
        <v>128259.05724192546</v>
      </c>
      <c r="CE107">
        <f t="shared" si="12"/>
        <v>278847.59643141937</v>
      </c>
      <c r="CF107">
        <f t="shared" si="13"/>
        <v>119292.47302789842</v>
      </c>
      <c r="CG107">
        <f t="shared" si="14"/>
        <v>83770.04231671372</v>
      </c>
      <c r="CH107">
        <f t="shared" si="15"/>
        <v>300092.07254081866</v>
      </c>
      <c r="CI107">
        <f t="shared" si="16"/>
        <v>239004.30542355054</v>
      </c>
      <c r="CJ107">
        <f t="shared" si="17"/>
        <v>373508.54190304613</v>
      </c>
      <c r="CK107">
        <f t="shared" si="18"/>
        <v>335805.16136012977</v>
      </c>
      <c r="CL107">
        <f t="shared" si="19"/>
        <v>78625.343120143414</v>
      </c>
      <c r="CM107">
        <f t="shared" si="20"/>
        <v>243781.44385618682</v>
      </c>
      <c r="CN107">
        <f t="shared" si="21"/>
        <v>548861.54802201549</v>
      </c>
      <c r="CO107">
        <f t="shared" si="22"/>
        <v>143806.93864198707</v>
      </c>
      <c r="CP107">
        <f t="shared" si="23"/>
        <v>465205.04703729611</v>
      </c>
      <c r="CQ107">
        <f t="shared" si="24"/>
        <v>342340.40920507541</v>
      </c>
      <c r="CR107">
        <f t="shared" si="25"/>
        <v>216877.32727484047</v>
      </c>
      <c r="CS107">
        <f t="shared" si="26"/>
        <v>202257.42757550368</v>
      </c>
      <c r="CT107">
        <f t="shared" si="27"/>
        <v>45234.347346962793</v>
      </c>
      <c r="CU107">
        <f t="shared" si="28"/>
        <v>46567.357189394708</v>
      </c>
      <c r="CV107">
        <f t="shared" si="29"/>
        <v>174837.79805898081</v>
      </c>
      <c r="CW107">
        <f t="shared" si="30"/>
        <v>280799.51465892419</v>
      </c>
      <c r="CX107">
        <f t="shared" si="31"/>
        <v>535023.54635062267</v>
      </c>
      <c r="CY107">
        <f t="shared" si="32"/>
        <v>559587.29484140966</v>
      </c>
      <c r="CZ107">
        <f t="shared" si="33"/>
        <v>895036.38006964535</v>
      </c>
      <c r="DA107">
        <f t="shared" si="34"/>
        <v>396678.46605921059</v>
      </c>
      <c r="DB107">
        <f t="shared" si="35"/>
        <v>234239.97799612756</v>
      </c>
      <c r="DC107">
        <f t="shared" si="36"/>
        <v>473059.82230215718</v>
      </c>
      <c r="DD107">
        <f t="shared" si="37"/>
        <v>287782.4716443739</v>
      </c>
      <c r="DE107">
        <f t="shared" si="38"/>
        <v>16054.733336787096</v>
      </c>
      <c r="DF107">
        <f t="shared" si="39"/>
        <v>1286310.0508836138</v>
      </c>
      <c r="DG107">
        <f t="shared" si="40"/>
        <v>893143.98897724436</v>
      </c>
      <c r="DH107">
        <f t="shared" si="41"/>
        <v>1623548.423859294</v>
      </c>
      <c r="DI107">
        <f t="shared" si="42"/>
        <v>722831.67721237696</v>
      </c>
      <c r="DJ107">
        <f t="shared" si="43"/>
        <v>107926.25122295273</v>
      </c>
      <c r="DK107">
        <f t="shared" si="44"/>
        <v>242301.8182004696</v>
      </c>
      <c r="DL107">
        <f t="shared" si="45"/>
        <v>659312.97889831674</v>
      </c>
      <c r="DM107">
        <f t="shared" si="46"/>
        <v>524533.04434630182</v>
      </c>
      <c r="DN107">
        <f t="shared" si="47"/>
        <v>1075349.3540120444</v>
      </c>
      <c r="DO107">
        <f t="shared" si="48"/>
        <v>511028.73918927449</v>
      </c>
      <c r="DP107">
        <f t="shared" si="49"/>
        <v>407559.59327890177</v>
      </c>
      <c r="DQ107">
        <f t="shared" si="50"/>
        <v>1569650.1165033495</v>
      </c>
      <c r="DR107">
        <f t="shared" si="51"/>
        <v>957347.05206124531</v>
      </c>
      <c r="DS107">
        <f t="shared" si="52"/>
        <v>3083124.2803492225</v>
      </c>
      <c r="DT107">
        <f t="shared" si="53"/>
        <v>1424345.6888533481</v>
      </c>
      <c r="DU107">
        <f t="shared" si="54"/>
        <v>286432.00777863746</v>
      </c>
      <c r="DV107">
        <f t="shared" si="55"/>
        <v>821100.50361601345</v>
      </c>
      <c r="DW107">
        <f t="shared" si="56"/>
        <v>2299136.698331038</v>
      </c>
      <c r="DX107">
        <f t="shared" si="57"/>
        <v>293014.52491573431</v>
      </c>
      <c r="DY107">
        <f t="shared" si="58"/>
        <v>1915092.0855130535</v>
      </c>
      <c r="DZ107">
        <f t="shared" si="59"/>
        <v>1424598.8141382507</v>
      </c>
      <c r="EA107">
        <f t="shared" si="60"/>
        <v>893807.36194519117</v>
      </c>
      <c r="EB107">
        <f t="shared" si="61"/>
        <v>873045.10770683433</v>
      </c>
      <c r="EC107">
        <f t="shared" si="62"/>
        <v>172667.98047041756</v>
      </c>
      <c r="ED107">
        <f t="shared" si="63"/>
        <v>158275.61400955019</v>
      </c>
      <c r="EE107">
        <f t="shared" si="64"/>
        <v>339889.57649215817</v>
      </c>
      <c r="EF107">
        <f t="shared" si="65"/>
        <v>1066157.8740950515</v>
      </c>
      <c r="EG107">
        <f t="shared" si="66"/>
        <v>2400668.2565451581</v>
      </c>
      <c r="EH107">
        <f t="shared" si="67"/>
        <v>2048167.0876273166</v>
      </c>
      <c r="EI107">
        <f t="shared" si="68"/>
        <v>2607288.2817202033</v>
      </c>
      <c r="EJ107">
        <f t="shared" si="69"/>
        <v>2223661.2399123828</v>
      </c>
      <c r="EK107">
        <f t="shared" si="70"/>
        <v>572206.44202303689</v>
      </c>
      <c r="EL107">
        <f t="shared" si="71"/>
        <v>1331605.0107849902</v>
      </c>
      <c r="EM107">
        <f t="shared" si="72"/>
        <v>1055708.2325378691</v>
      </c>
      <c r="EN107">
        <f t="shared" si="73"/>
        <v>13763.763575251673</v>
      </c>
    </row>
    <row r="108" spans="2:144" x14ac:dyDescent="0.35">
      <c r="B108" s="87">
        <v>0</v>
      </c>
      <c r="C108" s="87">
        <v>0</v>
      </c>
      <c r="D108" s="87">
        <v>0</v>
      </c>
      <c r="E108" s="87">
        <v>0</v>
      </c>
      <c r="F108" s="87">
        <v>0</v>
      </c>
      <c r="G108" s="87">
        <v>0</v>
      </c>
      <c r="H108" s="87">
        <v>0</v>
      </c>
      <c r="I108" s="87">
        <v>0</v>
      </c>
      <c r="J108" s="87">
        <v>0</v>
      </c>
      <c r="K108" s="87">
        <v>0</v>
      </c>
      <c r="L108" s="87">
        <v>0</v>
      </c>
      <c r="M108" s="87">
        <v>0</v>
      </c>
      <c r="N108" s="87">
        <v>0</v>
      </c>
      <c r="O108" s="87">
        <v>0</v>
      </c>
      <c r="P108" s="87">
        <v>0</v>
      </c>
      <c r="Q108" s="87">
        <v>0</v>
      </c>
      <c r="R108" s="87">
        <v>0</v>
      </c>
      <c r="S108" s="87">
        <v>0</v>
      </c>
      <c r="T108" s="87">
        <v>0</v>
      </c>
      <c r="U108" s="87">
        <v>0</v>
      </c>
      <c r="V108" s="87">
        <v>0</v>
      </c>
      <c r="W108" s="87">
        <v>0</v>
      </c>
      <c r="X108" s="87">
        <v>0</v>
      </c>
      <c r="Y108" s="87">
        <v>0</v>
      </c>
      <c r="Z108" s="87">
        <v>0</v>
      </c>
      <c r="AA108" s="87">
        <v>0</v>
      </c>
      <c r="AB108" s="87">
        <v>0</v>
      </c>
      <c r="AC108" s="87">
        <v>0</v>
      </c>
      <c r="AD108" s="87">
        <v>0</v>
      </c>
      <c r="AE108" s="87">
        <v>1</v>
      </c>
      <c r="AF108" s="87">
        <v>0</v>
      </c>
      <c r="AG108" s="87">
        <v>0</v>
      </c>
      <c r="AH108" s="87">
        <v>0</v>
      </c>
      <c r="AI108" s="87">
        <v>0</v>
      </c>
      <c r="AJ108" s="87">
        <v>0</v>
      </c>
      <c r="AK108" s="87">
        <v>0</v>
      </c>
      <c r="AL108" s="87">
        <v>0</v>
      </c>
      <c r="AM108" s="87">
        <v>0</v>
      </c>
      <c r="AN108" s="87">
        <v>0</v>
      </c>
      <c r="AO108" s="87">
        <v>0</v>
      </c>
      <c r="AP108" s="87">
        <v>0</v>
      </c>
      <c r="AQ108" s="87">
        <v>0</v>
      </c>
      <c r="AR108" s="87">
        <v>0</v>
      </c>
      <c r="AS108" s="87">
        <v>0</v>
      </c>
      <c r="AT108" s="87">
        <v>0</v>
      </c>
      <c r="AU108" s="87">
        <v>0</v>
      </c>
      <c r="AV108" s="87">
        <v>0</v>
      </c>
      <c r="AW108" s="87">
        <v>0</v>
      </c>
      <c r="AX108" s="87">
        <v>0</v>
      </c>
      <c r="AY108" s="87">
        <v>0</v>
      </c>
      <c r="AZ108" s="87">
        <v>0</v>
      </c>
      <c r="BA108" s="87">
        <v>0</v>
      </c>
      <c r="BB108" s="87">
        <v>0</v>
      </c>
      <c r="BC108" s="87">
        <v>0</v>
      </c>
      <c r="BD108" s="87">
        <v>0</v>
      </c>
      <c r="BE108" s="87">
        <v>0</v>
      </c>
      <c r="BF108" s="87">
        <v>0</v>
      </c>
      <c r="BG108" s="87">
        <v>0</v>
      </c>
      <c r="BH108" s="87">
        <v>0</v>
      </c>
      <c r="BI108" s="87">
        <v>0</v>
      </c>
      <c r="BJ108" s="87">
        <v>0</v>
      </c>
      <c r="BK108" s="87">
        <v>0</v>
      </c>
      <c r="BL108" s="87">
        <v>0</v>
      </c>
      <c r="BM108" s="87">
        <v>0</v>
      </c>
      <c r="BN108" s="87">
        <v>0</v>
      </c>
      <c r="BO108" s="87">
        <v>0</v>
      </c>
      <c r="BP108" s="87">
        <v>0</v>
      </c>
      <c r="BQ108" s="87">
        <v>0</v>
      </c>
      <c r="BR108" s="87">
        <v>0</v>
      </c>
      <c r="BS108" s="87">
        <v>0</v>
      </c>
      <c r="BW108">
        <f t="shared" si="4"/>
        <v>232672.48590733891</v>
      </c>
      <c r="BX108">
        <f t="shared" si="5"/>
        <v>34839.716621068001</v>
      </c>
      <c r="BY108">
        <f t="shared" si="6"/>
        <v>371094.06353103736</v>
      </c>
      <c r="BZ108">
        <f t="shared" si="7"/>
        <v>76179.776535406141</v>
      </c>
      <c r="CA108">
        <f t="shared" si="8"/>
        <v>15011.396028380053</v>
      </c>
      <c r="CB108">
        <f t="shared" si="9"/>
        <v>51551.176130883803</v>
      </c>
      <c r="CC108">
        <f t="shared" si="10"/>
        <v>177768.63125311004</v>
      </c>
      <c r="CD108">
        <f t="shared" si="11"/>
        <v>128259.05724192546</v>
      </c>
      <c r="CE108">
        <f t="shared" si="12"/>
        <v>278847.59643141937</v>
      </c>
      <c r="CF108">
        <f t="shared" si="13"/>
        <v>119292.47302789842</v>
      </c>
      <c r="CG108">
        <f t="shared" si="14"/>
        <v>83770.04231671372</v>
      </c>
      <c r="CH108">
        <f t="shared" si="15"/>
        <v>300092.07254081866</v>
      </c>
      <c r="CI108">
        <f t="shared" si="16"/>
        <v>239004.30542355054</v>
      </c>
      <c r="CJ108">
        <f t="shared" si="17"/>
        <v>373508.54190304613</v>
      </c>
      <c r="CK108">
        <f t="shared" si="18"/>
        <v>335805.16136012977</v>
      </c>
      <c r="CL108">
        <f t="shared" si="19"/>
        <v>78625.343120143414</v>
      </c>
      <c r="CM108">
        <f t="shared" si="20"/>
        <v>243781.44385618682</v>
      </c>
      <c r="CN108">
        <f t="shared" si="21"/>
        <v>548861.54802201549</v>
      </c>
      <c r="CO108">
        <f t="shared" si="22"/>
        <v>143806.93864198707</v>
      </c>
      <c r="CP108">
        <f t="shared" si="23"/>
        <v>465205.04703729611</v>
      </c>
      <c r="CQ108">
        <f t="shared" si="24"/>
        <v>342340.40920507541</v>
      </c>
      <c r="CR108">
        <f t="shared" si="25"/>
        <v>216877.32727484047</v>
      </c>
      <c r="CS108">
        <f t="shared" si="26"/>
        <v>202257.42757550368</v>
      </c>
      <c r="CT108">
        <f t="shared" si="27"/>
        <v>45234.347346962793</v>
      </c>
      <c r="CU108">
        <f t="shared" si="28"/>
        <v>46567.357189394708</v>
      </c>
      <c r="CV108">
        <f t="shared" si="29"/>
        <v>174837.79805898081</v>
      </c>
      <c r="CW108">
        <f t="shared" si="30"/>
        <v>280799.51465892419</v>
      </c>
      <c r="CX108">
        <f t="shared" si="31"/>
        <v>535023.54635062267</v>
      </c>
      <c r="CY108">
        <f t="shared" si="32"/>
        <v>559587.29484140966</v>
      </c>
      <c r="CZ108">
        <f t="shared" si="33"/>
        <v>895036.38006964535</v>
      </c>
      <c r="DA108">
        <f t="shared" si="34"/>
        <v>396678.46605921059</v>
      </c>
      <c r="DB108">
        <f t="shared" si="35"/>
        <v>234239.97799612756</v>
      </c>
      <c r="DC108">
        <f t="shared" si="36"/>
        <v>473059.82230215718</v>
      </c>
      <c r="DD108">
        <f t="shared" si="37"/>
        <v>287782.4716443739</v>
      </c>
      <c r="DE108">
        <f t="shared" si="38"/>
        <v>16054.733336787096</v>
      </c>
      <c r="DF108">
        <f t="shared" si="39"/>
        <v>1286310.0508836138</v>
      </c>
      <c r="DG108">
        <f t="shared" si="40"/>
        <v>893143.98897724436</v>
      </c>
      <c r="DH108">
        <f t="shared" si="41"/>
        <v>1623548.423859294</v>
      </c>
      <c r="DI108">
        <f t="shared" si="42"/>
        <v>722831.67721237696</v>
      </c>
      <c r="DJ108">
        <f t="shared" si="43"/>
        <v>107926.25122295273</v>
      </c>
      <c r="DK108">
        <f t="shared" si="44"/>
        <v>242301.8182004696</v>
      </c>
      <c r="DL108">
        <f t="shared" si="45"/>
        <v>659312.97889831674</v>
      </c>
      <c r="DM108">
        <f t="shared" si="46"/>
        <v>524533.04434630182</v>
      </c>
      <c r="DN108">
        <f t="shared" si="47"/>
        <v>1075349.3540120444</v>
      </c>
      <c r="DO108">
        <f t="shared" si="48"/>
        <v>511028.73918927449</v>
      </c>
      <c r="DP108">
        <f t="shared" si="49"/>
        <v>407559.59327890177</v>
      </c>
      <c r="DQ108">
        <f t="shared" si="50"/>
        <v>1569650.1165033495</v>
      </c>
      <c r="DR108">
        <f t="shared" si="51"/>
        <v>957347.05206124531</v>
      </c>
      <c r="DS108">
        <f t="shared" si="52"/>
        <v>3083124.2803492225</v>
      </c>
      <c r="DT108">
        <f t="shared" si="53"/>
        <v>1424345.6888533481</v>
      </c>
      <c r="DU108">
        <f t="shared" si="54"/>
        <v>286432.00777863746</v>
      </c>
      <c r="DV108">
        <f t="shared" si="55"/>
        <v>821100.50361601345</v>
      </c>
      <c r="DW108">
        <f t="shared" si="56"/>
        <v>2299136.698331038</v>
      </c>
      <c r="DX108">
        <f t="shared" si="57"/>
        <v>293014.52491573431</v>
      </c>
      <c r="DY108">
        <f t="shared" si="58"/>
        <v>1915092.0855130535</v>
      </c>
      <c r="DZ108">
        <f t="shared" si="59"/>
        <v>1424598.8141382507</v>
      </c>
      <c r="EA108">
        <f t="shared" si="60"/>
        <v>893807.36194519117</v>
      </c>
      <c r="EB108">
        <f t="shared" si="61"/>
        <v>873045.10770683433</v>
      </c>
      <c r="EC108">
        <f t="shared" si="62"/>
        <v>172667.98047041756</v>
      </c>
      <c r="ED108">
        <f t="shared" si="63"/>
        <v>158275.61400955019</v>
      </c>
      <c r="EE108">
        <f t="shared" si="64"/>
        <v>339889.57649215817</v>
      </c>
      <c r="EF108">
        <f t="shared" si="65"/>
        <v>1066157.8740950515</v>
      </c>
      <c r="EG108">
        <f t="shared" si="66"/>
        <v>2400668.2565451581</v>
      </c>
      <c r="EH108">
        <f t="shared" si="67"/>
        <v>2048167.0876273166</v>
      </c>
      <c r="EI108">
        <f t="shared" si="68"/>
        <v>2607288.2817202033</v>
      </c>
      <c r="EJ108">
        <f t="shared" si="69"/>
        <v>2223661.2399123828</v>
      </c>
      <c r="EK108">
        <f t="shared" si="70"/>
        <v>572206.44202303689</v>
      </c>
      <c r="EL108">
        <f t="shared" si="71"/>
        <v>1331605.0107849902</v>
      </c>
      <c r="EM108">
        <f t="shared" si="72"/>
        <v>1055708.2325378691</v>
      </c>
      <c r="EN108">
        <f t="shared" si="73"/>
        <v>13763.763575251673</v>
      </c>
    </row>
    <row r="109" spans="2:144" x14ac:dyDescent="0.35">
      <c r="B109" s="87">
        <v>0</v>
      </c>
      <c r="C109" s="87">
        <v>0</v>
      </c>
      <c r="D109" s="87">
        <v>0</v>
      </c>
      <c r="E109" s="87">
        <v>0</v>
      </c>
      <c r="F109" s="87">
        <v>0</v>
      </c>
      <c r="G109" s="87">
        <v>0</v>
      </c>
      <c r="H109" s="87">
        <v>0</v>
      </c>
      <c r="I109" s="87">
        <v>0</v>
      </c>
      <c r="J109" s="87">
        <v>0</v>
      </c>
      <c r="K109" s="87">
        <v>0</v>
      </c>
      <c r="L109" s="87">
        <v>0</v>
      </c>
      <c r="M109" s="87">
        <v>0</v>
      </c>
      <c r="N109" s="87">
        <v>0</v>
      </c>
      <c r="O109" s="87">
        <v>0</v>
      </c>
      <c r="P109" s="87">
        <v>0</v>
      </c>
      <c r="Q109" s="87">
        <v>0</v>
      </c>
      <c r="R109" s="87">
        <v>0</v>
      </c>
      <c r="S109" s="87">
        <v>0</v>
      </c>
      <c r="T109" s="87">
        <v>0</v>
      </c>
      <c r="U109" s="87">
        <v>0</v>
      </c>
      <c r="V109" s="87">
        <v>0</v>
      </c>
      <c r="W109" s="87">
        <v>0</v>
      </c>
      <c r="X109" s="87">
        <v>0</v>
      </c>
      <c r="Y109" s="87">
        <v>0</v>
      </c>
      <c r="Z109" s="87">
        <v>0</v>
      </c>
      <c r="AA109" s="87">
        <v>0</v>
      </c>
      <c r="AB109" s="87">
        <v>0</v>
      </c>
      <c r="AC109" s="87">
        <v>0</v>
      </c>
      <c r="AD109" s="87">
        <v>0</v>
      </c>
      <c r="AE109" s="87">
        <v>0</v>
      </c>
      <c r="AF109" s="87">
        <v>1</v>
      </c>
      <c r="AG109" s="87">
        <v>0</v>
      </c>
      <c r="AH109" s="87">
        <v>0</v>
      </c>
      <c r="AI109" s="87">
        <v>0</v>
      </c>
      <c r="AJ109" s="87">
        <v>0</v>
      </c>
      <c r="AK109" s="87">
        <v>0</v>
      </c>
      <c r="AL109" s="87">
        <v>0</v>
      </c>
      <c r="AM109" s="87">
        <v>0</v>
      </c>
      <c r="AN109" s="87">
        <v>0</v>
      </c>
      <c r="AO109" s="87">
        <v>0</v>
      </c>
      <c r="AP109" s="87">
        <v>0</v>
      </c>
      <c r="AQ109" s="87">
        <v>0</v>
      </c>
      <c r="AR109" s="87">
        <v>0</v>
      </c>
      <c r="AS109" s="87">
        <v>0</v>
      </c>
      <c r="AT109" s="87">
        <v>0</v>
      </c>
      <c r="AU109" s="87">
        <v>0</v>
      </c>
      <c r="AV109" s="87">
        <v>0</v>
      </c>
      <c r="AW109" s="87">
        <v>0</v>
      </c>
      <c r="AX109" s="87">
        <v>0</v>
      </c>
      <c r="AY109" s="87">
        <v>0</v>
      </c>
      <c r="AZ109" s="87">
        <v>0</v>
      </c>
      <c r="BA109" s="87">
        <v>0</v>
      </c>
      <c r="BB109" s="87">
        <v>0</v>
      </c>
      <c r="BC109" s="87">
        <v>0</v>
      </c>
      <c r="BD109" s="87">
        <v>0</v>
      </c>
      <c r="BE109" s="87">
        <v>0</v>
      </c>
      <c r="BF109" s="87">
        <v>0</v>
      </c>
      <c r="BG109" s="87">
        <v>0</v>
      </c>
      <c r="BH109" s="87">
        <v>0</v>
      </c>
      <c r="BI109" s="87">
        <v>0</v>
      </c>
      <c r="BJ109" s="87">
        <v>0</v>
      </c>
      <c r="BK109" s="87">
        <v>0</v>
      </c>
      <c r="BL109" s="87">
        <v>0</v>
      </c>
      <c r="BM109" s="87">
        <v>0</v>
      </c>
      <c r="BN109" s="87">
        <v>0</v>
      </c>
      <c r="BO109" s="87">
        <v>0</v>
      </c>
      <c r="BP109" s="87">
        <v>0</v>
      </c>
      <c r="BQ109" s="87">
        <v>0</v>
      </c>
      <c r="BR109" s="87">
        <v>0</v>
      </c>
      <c r="BS109" s="87">
        <v>0</v>
      </c>
      <c r="BW109">
        <f t="shared" si="4"/>
        <v>232672.48590733891</v>
      </c>
      <c r="BX109">
        <f t="shared" si="5"/>
        <v>34839.716621068001</v>
      </c>
      <c r="BY109">
        <f t="shared" si="6"/>
        <v>371094.06353103736</v>
      </c>
      <c r="BZ109">
        <f t="shared" si="7"/>
        <v>76179.776535406141</v>
      </c>
      <c r="CA109">
        <f t="shared" si="8"/>
        <v>15011.396028380053</v>
      </c>
      <c r="CB109">
        <f t="shared" si="9"/>
        <v>51551.176130883803</v>
      </c>
      <c r="CC109">
        <f t="shared" si="10"/>
        <v>177768.63125311004</v>
      </c>
      <c r="CD109">
        <f t="shared" si="11"/>
        <v>128259.05724192546</v>
      </c>
      <c r="CE109">
        <f t="shared" si="12"/>
        <v>278847.59643141937</v>
      </c>
      <c r="CF109">
        <f t="shared" si="13"/>
        <v>119292.47302789842</v>
      </c>
      <c r="CG109">
        <f t="shared" si="14"/>
        <v>83770.04231671372</v>
      </c>
      <c r="CH109">
        <f t="shared" si="15"/>
        <v>300092.07254081866</v>
      </c>
      <c r="CI109">
        <f t="shared" si="16"/>
        <v>239004.30542355054</v>
      </c>
      <c r="CJ109">
        <f t="shared" si="17"/>
        <v>373508.54190304613</v>
      </c>
      <c r="CK109">
        <f t="shared" si="18"/>
        <v>335805.16136012977</v>
      </c>
      <c r="CL109">
        <f t="shared" si="19"/>
        <v>78625.343120143414</v>
      </c>
      <c r="CM109">
        <f t="shared" si="20"/>
        <v>243781.44385618682</v>
      </c>
      <c r="CN109">
        <f t="shared" si="21"/>
        <v>548861.54802201549</v>
      </c>
      <c r="CO109">
        <f t="shared" si="22"/>
        <v>143806.93864198707</v>
      </c>
      <c r="CP109">
        <f t="shared" si="23"/>
        <v>465205.04703729611</v>
      </c>
      <c r="CQ109">
        <f t="shared" si="24"/>
        <v>342340.40920507541</v>
      </c>
      <c r="CR109">
        <f t="shared" si="25"/>
        <v>216877.32727484047</v>
      </c>
      <c r="CS109">
        <f t="shared" si="26"/>
        <v>202257.42757550368</v>
      </c>
      <c r="CT109">
        <f t="shared" si="27"/>
        <v>45234.347346962793</v>
      </c>
      <c r="CU109">
        <f t="shared" si="28"/>
        <v>46567.357189394708</v>
      </c>
      <c r="CV109">
        <f t="shared" si="29"/>
        <v>174837.79805898081</v>
      </c>
      <c r="CW109">
        <f t="shared" si="30"/>
        <v>280799.51465892419</v>
      </c>
      <c r="CX109">
        <f t="shared" si="31"/>
        <v>535023.54635062267</v>
      </c>
      <c r="CY109">
        <f t="shared" si="32"/>
        <v>559587.29484140966</v>
      </c>
      <c r="CZ109">
        <f t="shared" si="33"/>
        <v>895036.38006964535</v>
      </c>
      <c r="DA109">
        <f t="shared" si="34"/>
        <v>396678.46605921059</v>
      </c>
      <c r="DB109">
        <f t="shared" si="35"/>
        <v>234239.97799612756</v>
      </c>
      <c r="DC109">
        <f t="shared" si="36"/>
        <v>473059.82230215718</v>
      </c>
      <c r="DD109">
        <f t="shared" si="37"/>
        <v>287782.4716443739</v>
      </c>
      <c r="DE109">
        <f t="shared" si="38"/>
        <v>16054.733336787096</v>
      </c>
      <c r="DF109">
        <f t="shared" si="39"/>
        <v>1286310.0508836138</v>
      </c>
      <c r="DG109">
        <f t="shared" si="40"/>
        <v>893143.98897724436</v>
      </c>
      <c r="DH109">
        <f t="shared" si="41"/>
        <v>1623548.423859294</v>
      </c>
      <c r="DI109">
        <f t="shared" si="42"/>
        <v>722831.67721237696</v>
      </c>
      <c r="DJ109">
        <f t="shared" si="43"/>
        <v>107926.25122295273</v>
      </c>
      <c r="DK109">
        <f t="shared" si="44"/>
        <v>242301.8182004696</v>
      </c>
      <c r="DL109">
        <f t="shared" si="45"/>
        <v>659312.97889831674</v>
      </c>
      <c r="DM109">
        <f t="shared" si="46"/>
        <v>524533.04434630182</v>
      </c>
      <c r="DN109">
        <f t="shared" si="47"/>
        <v>1075349.3540120444</v>
      </c>
      <c r="DO109">
        <f t="shared" si="48"/>
        <v>511028.73918927449</v>
      </c>
      <c r="DP109">
        <f t="shared" si="49"/>
        <v>407559.59327890177</v>
      </c>
      <c r="DQ109">
        <f t="shared" si="50"/>
        <v>1569650.1165033495</v>
      </c>
      <c r="DR109">
        <f t="shared" si="51"/>
        <v>957347.05206124531</v>
      </c>
      <c r="DS109">
        <f t="shared" si="52"/>
        <v>3083124.2803492225</v>
      </c>
      <c r="DT109">
        <f t="shared" si="53"/>
        <v>1424345.6888533481</v>
      </c>
      <c r="DU109">
        <f t="shared" si="54"/>
        <v>286432.00777863746</v>
      </c>
      <c r="DV109">
        <f t="shared" si="55"/>
        <v>821100.50361601345</v>
      </c>
      <c r="DW109">
        <f t="shared" si="56"/>
        <v>2299136.698331038</v>
      </c>
      <c r="DX109">
        <f t="shared" si="57"/>
        <v>293014.52491573431</v>
      </c>
      <c r="DY109">
        <f t="shared" si="58"/>
        <v>1915092.0855130535</v>
      </c>
      <c r="DZ109">
        <f t="shared" si="59"/>
        <v>1424598.8141382507</v>
      </c>
      <c r="EA109">
        <f t="shared" si="60"/>
        <v>893807.36194519117</v>
      </c>
      <c r="EB109">
        <f t="shared" si="61"/>
        <v>873045.10770683433</v>
      </c>
      <c r="EC109">
        <f t="shared" si="62"/>
        <v>172667.98047041756</v>
      </c>
      <c r="ED109">
        <f t="shared" si="63"/>
        <v>158275.61400955019</v>
      </c>
      <c r="EE109">
        <f t="shared" si="64"/>
        <v>339889.57649215817</v>
      </c>
      <c r="EF109">
        <f t="shared" si="65"/>
        <v>1066157.8740950515</v>
      </c>
      <c r="EG109">
        <f t="shared" si="66"/>
        <v>2400668.2565451581</v>
      </c>
      <c r="EH109">
        <f t="shared" si="67"/>
        <v>2048167.0876273166</v>
      </c>
      <c r="EI109">
        <f t="shared" si="68"/>
        <v>2607288.2817202033</v>
      </c>
      <c r="EJ109">
        <f t="shared" si="69"/>
        <v>2223661.2399123828</v>
      </c>
      <c r="EK109">
        <f t="shared" si="70"/>
        <v>572206.44202303689</v>
      </c>
      <c r="EL109">
        <f t="shared" si="71"/>
        <v>1331605.0107849902</v>
      </c>
      <c r="EM109">
        <f t="shared" si="72"/>
        <v>1055708.2325378691</v>
      </c>
      <c r="EN109">
        <f t="shared" si="73"/>
        <v>13763.763575251673</v>
      </c>
    </row>
    <row r="110" spans="2:144" x14ac:dyDescent="0.35">
      <c r="B110" s="87">
        <v>0</v>
      </c>
      <c r="C110" s="87">
        <v>0</v>
      </c>
      <c r="D110" s="87">
        <v>0</v>
      </c>
      <c r="E110" s="87">
        <v>0</v>
      </c>
      <c r="F110" s="87">
        <v>0</v>
      </c>
      <c r="G110" s="87">
        <v>0</v>
      </c>
      <c r="H110" s="87">
        <v>0</v>
      </c>
      <c r="I110" s="87">
        <v>0</v>
      </c>
      <c r="J110" s="87">
        <v>0</v>
      </c>
      <c r="K110" s="87">
        <v>0</v>
      </c>
      <c r="L110" s="87">
        <v>0</v>
      </c>
      <c r="M110" s="87">
        <v>0</v>
      </c>
      <c r="N110" s="87">
        <v>0</v>
      </c>
      <c r="O110" s="87">
        <v>0</v>
      </c>
      <c r="P110" s="87">
        <v>0</v>
      </c>
      <c r="Q110" s="87">
        <v>0</v>
      </c>
      <c r="R110" s="87">
        <v>0</v>
      </c>
      <c r="S110" s="87">
        <v>0</v>
      </c>
      <c r="T110" s="87">
        <v>0</v>
      </c>
      <c r="U110" s="87">
        <v>0</v>
      </c>
      <c r="V110" s="87">
        <v>0</v>
      </c>
      <c r="W110" s="87">
        <v>0</v>
      </c>
      <c r="X110" s="87">
        <v>0</v>
      </c>
      <c r="Y110" s="87">
        <v>0</v>
      </c>
      <c r="Z110" s="87">
        <v>0</v>
      </c>
      <c r="AA110" s="87">
        <v>0</v>
      </c>
      <c r="AB110" s="87">
        <v>0</v>
      </c>
      <c r="AC110" s="87">
        <v>0</v>
      </c>
      <c r="AD110" s="87">
        <v>0</v>
      </c>
      <c r="AE110" s="87">
        <v>0</v>
      </c>
      <c r="AF110" s="87">
        <v>0</v>
      </c>
      <c r="AG110" s="87">
        <v>1</v>
      </c>
      <c r="AH110" s="87">
        <v>0</v>
      </c>
      <c r="AI110" s="87">
        <v>0</v>
      </c>
      <c r="AJ110" s="87">
        <v>0</v>
      </c>
      <c r="AK110" s="87">
        <v>0</v>
      </c>
      <c r="AL110" s="87">
        <v>0</v>
      </c>
      <c r="AM110" s="87">
        <v>0</v>
      </c>
      <c r="AN110" s="87">
        <v>0</v>
      </c>
      <c r="AO110" s="87">
        <v>0</v>
      </c>
      <c r="AP110" s="87">
        <v>0</v>
      </c>
      <c r="AQ110" s="87">
        <v>0</v>
      </c>
      <c r="AR110" s="87">
        <v>0</v>
      </c>
      <c r="AS110" s="87">
        <v>0</v>
      </c>
      <c r="AT110" s="87">
        <v>0</v>
      </c>
      <c r="AU110" s="87">
        <v>0</v>
      </c>
      <c r="AV110" s="87">
        <v>0</v>
      </c>
      <c r="AW110" s="87">
        <v>0</v>
      </c>
      <c r="AX110" s="87">
        <v>0</v>
      </c>
      <c r="AY110" s="87">
        <v>0</v>
      </c>
      <c r="AZ110" s="87">
        <v>0</v>
      </c>
      <c r="BA110" s="87">
        <v>0</v>
      </c>
      <c r="BB110" s="87">
        <v>0</v>
      </c>
      <c r="BC110" s="87">
        <v>0</v>
      </c>
      <c r="BD110" s="87">
        <v>0</v>
      </c>
      <c r="BE110" s="87">
        <v>0</v>
      </c>
      <c r="BF110" s="87">
        <v>0</v>
      </c>
      <c r="BG110" s="87">
        <v>0</v>
      </c>
      <c r="BH110" s="87">
        <v>0</v>
      </c>
      <c r="BI110" s="87">
        <v>0</v>
      </c>
      <c r="BJ110" s="87">
        <v>0</v>
      </c>
      <c r="BK110" s="87">
        <v>0</v>
      </c>
      <c r="BL110" s="87">
        <v>0</v>
      </c>
      <c r="BM110" s="87">
        <v>0</v>
      </c>
      <c r="BN110" s="87">
        <v>0</v>
      </c>
      <c r="BO110" s="87">
        <v>0</v>
      </c>
      <c r="BP110" s="87">
        <v>0</v>
      </c>
      <c r="BQ110" s="87">
        <v>0</v>
      </c>
      <c r="BR110" s="87">
        <v>0</v>
      </c>
      <c r="BS110" s="87">
        <v>0</v>
      </c>
      <c r="BW110">
        <f t="shared" si="4"/>
        <v>232672.48590733891</v>
      </c>
      <c r="BX110">
        <f t="shared" si="5"/>
        <v>34839.716621068001</v>
      </c>
      <c r="BY110">
        <f t="shared" si="6"/>
        <v>371094.06353103736</v>
      </c>
      <c r="BZ110">
        <f t="shared" si="7"/>
        <v>76179.776535406141</v>
      </c>
      <c r="CA110">
        <f t="shared" si="8"/>
        <v>15011.396028380053</v>
      </c>
      <c r="CB110">
        <f t="shared" si="9"/>
        <v>51551.176130883803</v>
      </c>
      <c r="CC110">
        <f t="shared" si="10"/>
        <v>177768.63125311004</v>
      </c>
      <c r="CD110">
        <f t="shared" si="11"/>
        <v>128259.05724192546</v>
      </c>
      <c r="CE110">
        <f t="shared" si="12"/>
        <v>278847.59643141937</v>
      </c>
      <c r="CF110">
        <f t="shared" si="13"/>
        <v>119292.47302789842</v>
      </c>
      <c r="CG110">
        <f t="shared" si="14"/>
        <v>83770.04231671372</v>
      </c>
      <c r="CH110">
        <f t="shared" si="15"/>
        <v>300092.07254081866</v>
      </c>
      <c r="CI110">
        <f t="shared" si="16"/>
        <v>239004.30542355054</v>
      </c>
      <c r="CJ110">
        <f t="shared" si="17"/>
        <v>373508.54190304613</v>
      </c>
      <c r="CK110">
        <f t="shared" si="18"/>
        <v>335805.16136012977</v>
      </c>
      <c r="CL110">
        <f t="shared" si="19"/>
        <v>78625.343120143414</v>
      </c>
      <c r="CM110">
        <f t="shared" si="20"/>
        <v>243781.44385618682</v>
      </c>
      <c r="CN110">
        <f t="shared" si="21"/>
        <v>548861.54802201549</v>
      </c>
      <c r="CO110">
        <f t="shared" si="22"/>
        <v>143806.93864198707</v>
      </c>
      <c r="CP110">
        <f t="shared" si="23"/>
        <v>465205.04703729611</v>
      </c>
      <c r="CQ110">
        <f t="shared" si="24"/>
        <v>342340.40920507541</v>
      </c>
      <c r="CR110">
        <f t="shared" si="25"/>
        <v>216877.32727484047</v>
      </c>
      <c r="CS110">
        <f t="shared" si="26"/>
        <v>202257.42757550368</v>
      </c>
      <c r="CT110">
        <f t="shared" si="27"/>
        <v>45234.347346962793</v>
      </c>
      <c r="CU110">
        <f t="shared" si="28"/>
        <v>46567.357189394708</v>
      </c>
      <c r="CV110">
        <f t="shared" si="29"/>
        <v>174837.79805898081</v>
      </c>
      <c r="CW110">
        <f t="shared" si="30"/>
        <v>280799.51465892419</v>
      </c>
      <c r="CX110">
        <f t="shared" si="31"/>
        <v>535023.54635062267</v>
      </c>
      <c r="CY110">
        <f t="shared" si="32"/>
        <v>559587.29484140966</v>
      </c>
      <c r="CZ110">
        <f t="shared" si="33"/>
        <v>895036.38006964535</v>
      </c>
      <c r="DA110">
        <f t="shared" si="34"/>
        <v>396678.46605921059</v>
      </c>
      <c r="DB110">
        <f t="shared" si="35"/>
        <v>234239.97799612756</v>
      </c>
      <c r="DC110">
        <f t="shared" si="36"/>
        <v>473059.82230215718</v>
      </c>
      <c r="DD110">
        <f t="shared" si="37"/>
        <v>287782.4716443739</v>
      </c>
      <c r="DE110">
        <f t="shared" si="38"/>
        <v>16054.733336787096</v>
      </c>
      <c r="DF110">
        <f t="shared" si="39"/>
        <v>1286310.0508836138</v>
      </c>
      <c r="DG110">
        <f t="shared" si="40"/>
        <v>893143.98897724436</v>
      </c>
      <c r="DH110">
        <f t="shared" si="41"/>
        <v>1623548.423859294</v>
      </c>
      <c r="DI110">
        <f t="shared" si="42"/>
        <v>722831.67721237696</v>
      </c>
      <c r="DJ110">
        <f t="shared" si="43"/>
        <v>107926.25122295273</v>
      </c>
      <c r="DK110">
        <f t="shared" si="44"/>
        <v>242301.8182004696</v>
      </c>
      <c r="DL110">
        <f t="shared" si="45"/>
        <v>659312.97889831674</v>
      </c>
      <c r="DM110">
        <f t="shared" si="46"/>
        <v>524533.04434630182</v>
      </c>
      <c r="DN110">
        <f t="shared" si="47"/>
        <v>1075349.3540120444</v>
      </c>
      <c r="DO110">
        <f t="shared" si="48"/>
        <v>511028.73918927449</v>
      </c>
      <c r="DP110">
        <f t="shared" si="49"/>
        <v>407559.59327890177</v>
      </c>
      <c r="DQ110">
        <f t="shared" si="50"/>
        <v>1569650.1165033495</v>
      </c>
      <c r="DR110">
        <f t="shared" si="51"/>
        <v>957347.05206124531</v>
      </c>
      <c r="DS110">
        <f t="shared" si="52"/>
        <v>3083124.2803492225</v>
      </c>
      <c r="DT110">
        <f t="shared" si="53"/>
        <v>1424345.6888533481</v>
      </c>
      <c r="DU110">
        <f t="shared" si="54"/>
        <v>286432.00777863746</v>
      </c>
      <c r="DV110">
        <f t="shared" si="55"/>
        <v>821100.50361601345</v>
      </c>
      <c r="DW110">
        <f t="shared" si="56"/>
        <v>2299136.698331038</v>
      </c>
      <c r="DX110">
        <f t="shared" si="57"/>
        <v>293014.52491573431</v>
      </c>
      <c r="DY110">
        <f t="shared" si="58"/>
        <v>1915092.0855130535</v>
      </c>
      <c r="DZ110">
        <f t="shared" si="59"/>
        <v>1424598.8141382507</v>
      </c>
      <c r="EA110">
        <f t="shared" si="60"/>
        <v>893807.36194519117</v>
      </c>
      <c r="EB110">
        <f t="shared" si="61"/>
        <v>873045.10770683433</v>
      </c>
      <c r="EC110">
        <f t="shared" si="62"/>
        <v>172667.98047041756</v>
      </c>
      <c r="ED110">
        <f t="shared" si="63"/>
        <v>158275.61400955019</v>
      </c>
      <c r="EE110">
        <f t="shared" si="64"/>
        <v>339889.57649215817</v>
      </c>
      <c r="EF110">
        <f t="shared" si="65"/>
        <v>1066157.8740950515</v>
      </c>
      <c r="EG110">
        <f t="shared" si="66"/>
        <v>2400668.2565451581</v>
      </c>
      <c r="EH110">
        <f t="shared" si="67"/>
        <v>2048167.0876273166</v>
      </c>
      <c r="EI110">
        <f t="shared" si="68"/>
        <v>2607288.2817202033</v>
      </c>
      <c r="EJ110">
        <f t="shared" si="69"/>
        <v>2223661.2399123828</v>
      </c>
      <c r="EK110">
        <f t="shared" si="70"/>
        <v>572206.44202303689</v>
      </c>
      <c r="EL110">
        <f t="shared" si="71"/>
        <v>1331605.0107849902</v>
      </c>
      <c r="EM110">
        <f t="shared" si="72"/>
        <v>1055708.2325378691</v>
      </c>
      <c r="EN110">
        <f t="shared" si="73"/>
        <v>13763.763575251673</v>
      </c>
    </row>
    <row r="111" spans="2:144" x14ac:dyDescent="0.35">
      <c r="B111" s="87">
        <v>0</v>
      </c>
      <c r="C111" s="87">
        <v>0</v>
      </c>
      <c r="D111" s="87">
        <v>0</v>
      </c>
      <c r="E111" s="87">
        <v>0</v>
      </c>
      <c r="F111" s="87">
        <v>0</v>
      </c>
      <c r="G111" s="87">
        <v>0</v>
      </c>
      <c r="H111" s="87">
        <v>0</v>
      </c>
      <c r="I111" s="87">
        <v>0</v>
      </c>
      <c r="J111" s="87">
        <v>0</v>
      </c>
      <c r="K111" s="87">
        <v>0</v>
      </c>
      <c r="L111" s="87">
        <v>0</v>
      </c>
      <c r="M111" s="87">
        <v>0</v>
      </c>
      <c r="N111" s="87">
        <v>0</v>
      </c>
      <c r="O111" s="87">
        <v>0</v>
      </c>
      <c r="P111" s="87">
        <v>0</v>
      </c>
      <c r="Q111" s="87">
        <v>0</v>
      </c>
      <c r="R111" s="87">
        <v>0</v>
      </c>
      <c r="S111" s="87">
        <v>0</v>
      </c>
      <c r="T111" s="87">
        <v>0</v>
      </c>
      <c r="U111" s="87">
        <v>0</v>
      </c>
      <c r="V111" s="87">
        <v>0</v>
      </c>
      <c r="W111" s="87">
        <v>0</v>
      </c>
      <c r="X111" s="87">
        <v>0</v>
      </c>
      <c r="Y111" s="87">
        <v>0</v>
      </c>
      <c r="Z111" s="87">
        <v>0</v>
      </c>
      <c r="AA111" s="87">
        <v>0</v>
      </c>
      <c r="AB111" s="87">
        <v>0</v>
      </c>
      <c r="AC111" s="87">
        <v>0</v>
      </c>
      <c r="AD111" s="87">
        <v>0</v>
      </c>
      <c r="AE111" s="87">
        <v>0</v>
      </c>
      <c r="AF111" s="87">
        <v>0</v>
      </c>
      <c r="AG111" s="87">
        <v>0</v>
      </c>
      <c r="AH111" s="87">
        <v>1</v>
      </c>
      <c r="AI111" s="87">
        <v>0</v>
      </c>
      <c r="AJ111" s="87">
        <v>0</v>
      </c>
      <c r="AK111" s="87">
        <v>0</v>
      </c>
      <c r="AL111" s="87">
        <v>0</v>
      </c>
      <c r="AM111" s="87">
        <v>0</v>
      </c>
      <c r="AN111" s="87">
        <v>0</v>
      </c>
      <c r="AO111" s="87">
        <v>0</v>
      </c>
      <c r="AP111" s="87">
        <v>0</v>
      </c>
      <c r="AQ111" s="87">
        <v>0</v>
      </c>
      <c r="AR111" s="87">
        <v>0</v>
      </c>
      <c r="AS111" s="87">
        <v>0</v>
      </c>
      <c r="AT111" s="87">
        <v>0</v>
      </c>
      <c r="AU111" s="87">
        <v>0</v>
      </c>
      <c r="AV111" s="87">
        <v>0</v>
      </c>
      <c r="AW111" s="87">
        <v>0</v>
      </c>
      <c r="AX111" s="87">
        <v>0</v>
      </c>
      <c r="AY111" s="87">
        <v>0</v>
      </c>
      <c r="AZ111" s="87">
        <v>0</v>
      </c>
      <c r="BA111" s="87">
        <v>0</v>
      </c>
      <c r="BB111" s="87">
        <v>0</v>
      </c>
      <c r="BC111" s="87">
        <v>0</v>
      </c>
      <c r="BD111" s="87">
        <v>0</v>
      </c>
      <c r="BE111" s="87">
        <v>0</v>
      </c>
      <c r="BF111" s="87">
        <v>0</v>
      </c>
      <c r="BG111" s="87">
        <v>0</v>
      </c>
      <c r="BH111" s="87">
        <v>0</v>
      </c>
      <c r="BI111" s="87">
        <v>0</v>
      </c>
      <c r="BJ111" s="87">
        <v>0</v>
      </c>
      <c r="BK111" s="87">
        <v>0</v>
      </c>
      <c r="BL111" s="87">
        <v>0</v>
      </c>
      <c r="BM111" s="87">
        <v>0</v>
      </c>
      <c r="BN111" s="87">
        <v>0</v>
      </c>
      <c r="BO111" s="87">
        <v>0</v>
      </c>
      <c r="BP111" s="87">
        <v>0</v>
      </c>
      <c r="BQ111" s="87">
        <v>0</v>
      </c>
      <c r="BR111" s="87">
        <v>0</v>
      </c>
      <c r="BS111" s="87">
        <v>0</v>
      </c>
      <c r="BW111">
        <f t="shared" si="4"/>
        <v>232672.48590733891</v>
      </c>
      <c r="BX111">
        <f t="shared" si="5"/>
        <v>34839.716621068001</v>
      </c>
      <c r="BY111">
        <f t="shared" si="6"/>
        <v>371094.06353103736</v>
      </c>
      <c r="BZ111">
        <f t="shared" si="7"/>
        <v>76179.776535406141</v>
      </c>
      <c r="CA111">
        <f t="shared" si="8"/>
        <v>15011.396028380053</v>
      </c>
      <c r="CB111">
        <f t="shared" si="9"/>
        <v>51551.176130883803</v>
      </c>
      <c r="CC111">
        <f t="shared" si="10"/>
        <v>177768.63125311004</v>
      </c>
      <c r="CD111">
        <f t="shared" si="11"/>
        <v>128259.05724192546</v>
      </c>
      <c r="CE111">
        <f t="shared" si="12"/>
        <v>278847.59643141937</v>
      </c>
      <c r="CF111">
        <f t="shared" si="13"/>
        <v>119292.47302789842</v>
      </c>
      <c r="CG111">
        <f t="shared" si="14"/>
        <v>83770.04231671372</v>
      </c>
      <c r="CH111">
        <f t="shared" si="15"/>
        <v>300092.07254081866</v>
      </c>
      <c r="CI111">
        <f t="shared" si="16"/>
        <v>239004.30542355054</v>
      </c>
      <c r="CJ111">
        <f t="shared" si="17"/>
        <v>373508.54190304613</v>
      </c>
      <c r="CK111">
        <f t="shared" si="18"/>
        <v>335805.16136012977</v>
      </c>
      <c r="CL111">
        <f t="shared" si="19"/>
        <v>78625.343120143414</v>
      </c>
      <c r="CM111">
        <f t="shared" si="20"/>
        <v>243781.44385618682</v>
      </c>
      <c r="CN111">
        <f t="shared" si="21"/>
        <v>548861.54802201549</v>
      </c>
      <c r="CO111">
        <f t="shared" si="22"/>
        <v>143806.93864198707</v>
      </c>
      <c r="CP111">
        <f t="shared" si="23"/>
        <v>465205.04703729611</v>
      </c>
      <c r="CQ111">
        <f t="shared" si="24"/>
        <v>342340.40920507541</v>
      </c>
      <c r="CR111">
        <f t="shared" si="25"/>
        <v>216877.32727484047</v>
      </c>
      <c r="CS111">
        <f t="shared" si="26"/>
        <v>202257.42757550368</v>
      </c>
      <c r="CT111">
        <f t="shared" si="27"/>
        <v>45234.347346962793</v>
      </c>
      <c r="CU111">
        <f t="shared" si="28"/>
        <v>46567.357189394708</v>
      </c>
      <c r="CV111">
        <f t="shared" si="29"/>
        <v>174837.79805898081</v>
      </c>
      <c r="CW111">
        <f t="shared" si="30"/>
        <v>280799.51465892419</v>
      </c>
      <c r="CX111">
        <f t="shared" si="31"/>
        <v>535023.54635062267</v>
      </c>
      <c r="CY111">
        <f t="shared" si="32"/>
        <v>559587.29484140966</v>
      </c>
      <c r="CZ111">
        <f t="shared" si="33"/>
        <v>895036.38006964535</v>
      </c>
      <c r="DA111">
        <f t="shared" si="34"/>
        <v>396678.46605921059</v>
      </c>
      <c r="DB111">
        <f t="shared" si="35"/>
        <v>234239.97799612756</v>
      </c>
      <c r="DC111">
        <f t="shared" si="36"/>
        <v>473059.82230215718</v>
      </c>
      <c r="DD111">
        <f t="shared" si="37"/>
        <v>287782.4716443739</v>
      </c>
      <c r="DE111">
        <f t="shared" si="38"/>
        <v>16054.733336787096</v>
      </c>
      <c r="DF111">
        <f t="shared" si="39"/>
        <v>1286310.0508836138</v>
      </c>
      <c r="DG111">
        <f t="shared" si="40"/>
        <v>893143.98897724436</v>
      </c>
      <c r="DH111">
        <f t="shared" si="41"/>
        <v>1623548.423859294</v>
      </c>
      <c r="DI111">
        <f t="shared" si="42"/>
        <v>722831.67721237696</v>
      </c>
      <c r="DJ111">
        <f t="shared" si="43"/>
        <v>107926.25122295273</v>
      </c>
      <c r="DK111">
        <f t="shared" si="44"/>
        <v>242301.8182004696</v>
      </c>
      <c r="DL111">
        <f t="shared" si="45"/>
        <v>659312.97889831674</v>
      </c>
      <c r="DM111">
        <f t="shared" si="46"/>
        <v>524533.04434630182</v>
      </c>
      <c r="DN111">
        <f t="shared" si="47"/>
        <v>1075349.3540120444</v>
      </c>
      <c r="DO111">
        <f t="shared" si="48"/>
        <v>511028.73918927449</v>
      </c>
      <c r="DP111">
        <f t="shared" si="49"/>
        <v>407559.59327890177</v>
      </c>
      <c r="DQ111">
        <f t="shared" si="50"/>
        <v>1569650.1165033495</v>
      </c>
      <c r="DR111">
        <f t="shared" si="51"/>
        <v>957347.05206124531</v>
      </c>
      <c r="DS111">
        <f t="shared" si="52"/>
        <v>3083124.2803492225</v>
      </c>
      <c r="DT111">
        <f t="shared" si="53"/>
        <v>1424345.6888533481</v>
      </c>
      <c r="DU111">
        <f t="shared" si="54"/>
        <v>286432.00777863746</v>
      </c>
      <c r="DV111">
        <f t="shared" si="55"/>
        <v>821100.50361601345</v>
      </c>
      <c r="DW111">
        <f t="shared" si="56"/>
        <v>2299136.698331038</v>
      </c>
      <c r="DX111">
        <f t="shared" si="57"/>
        <v>293014.52491573431</v>
      </c>
      <c r="DY111">
        <f t="shared" si="58"/>
        <v>1915092.0855130535</v>
      </c>
      <c r="DZ111">
        <f t="shared" si="59"/>
        <v>1424598.8141382507</v>
      </c>
      <c r="EA111">
        <f t="shared" si="60"/>
        <v>893807.36194519117</v>
      </c>
      <c r="EB111">
        <f t="shared" si="61"/>
        <v>873045.10770683433</v>
      </c>
      <c r="EC111">
        <f t="shared" si="62"/>
        <v>172667.98047041756</v>
      </c>
      <c r="ED111">
        <f t="shared" si="63"/>
        <v>158275.61400955019</v>
      </c>
      <c r="EE111">
        <f t="shared" si="64"/>
        <v>339889.57649215817</v>
      </c>
      <c r="EF111">
        <f t="shared" si="65"/>
        <v>1066157.8740950515</v>
      </c>
      <c r="EG111">
        <f t="shared" si="66"/>
        <v>2400668.2565451581</v>
      </c>
      <c r="EH111">
        <f t="shared" si="67"/>
        <v>2048167.0876273166</v>
      </c>
      <c r="EI111">
        <f t="shared" si="68"/>
        <v>2607288.2817202033</v>
      </c>
      <c r="EJ111">
        <f t="shared" si="69"/>
        <v>2223661.2399123828</v>
      </c>
      <c r="EK111">
        <f t="shared" si="70"/>
        <v>572206.44202303689</v>
      </c>
      <c r="EL111">
        <f t="shared" si="71"/>
        <v>1331605.0107849902</v>
      </c>
      <c r="EM111">
        <f t="shared" si="72"/>
        <v>1055708.2325378691</v>
      </c>
      <c r="EN111">
        <f t="shared" si="73"/>
        <v>13763.763575251673</v>
      </c>
    </row>
    <row r="112" spans="2:144" x14ac:dyDescent="0.35">
      <c r="B112" s="87">
        <v>0</v>
      </c>
      <c r="C112" s="87">
        <v>0</v>
      </c>
      <c r="D112" s="87">
        <v>0</v>
      </c>
      <c r="E112" s="87">
        <v>0</v>
      </c>
      <c r="F112" s="87">
        <v>0</v>
      </c>
      <c r="G112" s="87">
        <v>0</v>
      </c>
      <c r="H112" s="87">
        <v>0</v>
      </c>
      <c r="I112" s="87">
        <v>0</v>
      </c>
      <c r="J112" s="87">
        <v>0</v>
      </c>
      <c r="K112" s="87">
        <v>0</v>
      </c>
      <c r="L112" s="87">
        <v>0</v>
      </c>
      <c r="M112" s="87">
        <v>0</v>
      </c>
      <c r="N112" s="87">
        <v>0</v>
      </c>
      <c r="O112" s="87">
        <v>0</v>
      </c>
      <c r="P112" s="87">
        <v>0</v>
      </c>
      <c r="Q112" s="87">
        <v>0</v>
      </c>
      <c r="R112" s="87">
        <v>0</v>
      </c>
      <c r="S112" s="87">
        <v>0</v>
      </c>
      <c r="T112" s="87">
        <v>0</v>
      </c>
      <c r="U112" s="87">
        <v>0</v>
      </c>
      <c r="V112" s="87">
        <v>0</v>
      </c>
      <c r="W112" s="87">
        <v>0</v>
      </c>
      <c r="X112" s="87">
        <v>0</v>
      </c>
      <c r="Y112" s="87">
        <v>0</v>
      </c>
      <c r="Z112" s="87">
        <v>0</v>
      </c>
      <c r="AA112" s="87">
        <v>0</v>
      </c>
      <c r="AB112" s="87">
        <v>0</v>
      </c>
      <c r="AC112" s="87">
        <v>0</v>
      </c>
      <c r="AD112" s="87">
        <v>0</v>
      </c>
      <c r="AE112" s="87">
        <v>0</v>
      </c>
      <c r="AF112" s="87">
        <v>0</v>
      </c>
      <c r="AG112" s="87">
        <v>0</v>
      </c>
      <c r="AH112" s="87">
        <v>0</v>
      </c>
      <c r="AI112" s="87">
        <v>1</v>
      </c>
      <c r="AJ112" s="87">
        <v>0</v>
      </c>
      <c r="AK112" s="87">
        <v>0</v>
      </c>
      <c r="AL112" s="87">
        <v>0</v>
      </c>
      <c r="AM112" s="87">
        <v>0</v>
      </c>
      <c r="AN112" s="87">
        <v>0</v>
      </c>
      <c r="AO112" s="87">
        <v>0</v>
      </c>
      <c r="AP112" s="87">
        <v>0</v>
      </c>
      <c r="AQ112" s="87">
        <v>0</v>
      </c>
      <c r="AR112" s="87">
        <v>0</v>
      </c>
      <c r="AS112" s="87">
        <v>0</v>
      </c>
      <c r="AT112" s="87">
        <v>0</v>
      </c>
      <c r="AU112" s="87">
        <v>0</v>
      </c>
      <c r="AV112" s="87">
        <v>0</v>
      </c>
      <c r="AW112" s="87">
        <v>0</v>
      </c>
      <c r="AX112" s="87">
        <v>0</v>
      </c>
      <c r="AY112" s="87">
        <v>0</v>
      </c>
      <c r="AZ112" s="87">
        <v>0</v>
      </c>
      <c r="BA112" s="87">
        <v>0</v>
      </c>
      <c r="BB112" s="87">
        <v>0</v>
      </c>
      <c r="BC112" s="87">
        <v>0</v>
      </c>
      <c r="BD112" s="87">
        <v>0</v>
      </c>
      <c r="BE112" s="87">
        <v>0</v>
      </c>
      <c r="BF112" s="87">
        <v>0</v>
      </c>
      <c r="BG112" s="87">
        <v>0</v>
      </c>
      <c r="BH112" s="87">
        <v>0</v>
      </c>
      <c r="BI112" s="87">
        <v>0</v>
      </c>
      <c r="BJ112" s="87">
        <v>0</v>
      </c>
      <c r="BK112" s="87">
        <v>0</v>
      </c>
      <c r="BL112" s="87">
        <v>0</v>
      </c>
      <c r="BM112" s="87">
        <v>0</v>
      </c>
      <c r="BN112" s="87">
        <v>0</v>
      </c>
      <c r="BO112" s="87">
        <v>0</v>
      </c>
      <c r="BP112" s="87">
        <v>0</v>
      </c>
      <c r="BQ112" s="87">
        <v>0</v>
      </c>
      <c r="BR112" s="87">
        <v>0</v>
      </c>
      <c r="BS112" s="87">
        <v>0</v>
      </c>
      <c r="BW112">
        <f t="shared" si="4"/>
        <v>232672.48590733891</v>
      </c>
      <c r="BX112">
        <f t="shared" si="5"/>
        <v>34839.716621068001</v>
      </c>
      <c r="BY112">
        <f t="shared" si="6"/>
        <v>371094.06353103736</v>
      </c>
      <c r="BZ112">
        <f t="shared" si="7"/>
        <v>76179.776535406141</v>
      </c>
      <c r="CA112">
        <f t="shared" si="8"/>
        <v>15011.396028380053</v>
      </c>
      <c r="CB112">
        <f t="shared" si="9"/>
        <v>51551.176130883803</v>
      </c>
      <c r="CC112">
        <f t="shared" si="10"/>
        <v>177768.63125311004</v>
      </c>
      <c r="CD112">
        <f t="shared" si="11"/>
        <v>128259.05724192546</v>
      </c>
      <c r="CE112">
        <f t="shared" si="12"/>
        <v>278847.59643141937</v>
      </c>
      <c r="CF112">
        <f t="shared" si="13"/>
        <v>119292.47302789842</v>
      </c>
      <c r="CG112">
        <f t="shared" si="14"/>
        <v>83770.04231671372</v>
      </c>
      <c r="CH112">
        <f t="shared" si="15"/>
        <v>300092.07254081866</v>
      </c>
      <c r="CI112">
        <f t="shared" si="16"/>
        <v>239004.30542355054</v>
      </c>
      <c r="CJ112">
        <f t="shared" si="17"/>
        <v>373508.54190304613</v>
      </c>
      <c r="CK112">
        <f t="shared" si="18"/>
        <v>335805.16136012977</v>
      </c>
      <c r="CL112">
        <f t="shared" si="19"/>
        <v>78625.343120143414</v>
      </c>
      <c r="CM112">
        <f t="shared" si="20"/>
        <v>243781.44385618682</v>
      </c>
      <c r="CN112">
        <f t="shared" si="21"/>
        <v>548861.54802201549</v>
      </c>
      <c r="CO112">
        <f t="shared" si="22"/>
        <v>143806.93864198707</v>
      </c>
      <c r="CP112">
        <f t="shared" si="23"/>
        <v>465205.04703729611</v>
      </c>
      <c r="CQ112">
        <f t="shared" si="24"/>
        <v>342340.40920507541</v>
      </c>
      <c r="CR112">
        <f t="shared" si="25"/>
        <v>216877.32727484047</v>
      </c>
      <c r="CS112">
        <f t="shared" si="26"/>
        <v>202257.42757550368</v>
      </c>
      <c r="CT112">
        <f t="shared" si="27"/>
        <v>45234.347346962793</v>
      </c>
      <c r="CU112">
        <f t="shared" si="28"/>
        <v>46567.357189394708</v>
      </c>
      <c r="CV112">
        <f t="shared" si="29"/>
        <v>174837.79805898081</v>
      </c>
      <c r="CW112">
        <f t="shared" si="30"/>
        <v>280799.51465892419</v>
      </c>
      <c r="CX112">
        <f t="shared" si="31"/>
        <v>535023.54635062267</v>
      </c>
      <c r="CY112">
        <f t="shared" si="32"/>
        <v>559587.29484140966</v>
      </c>
      <c r="CZ112">
        <f t="shared" si="33"/>
        <v>895036.38006964535</v>
      </c>
      <c r="DA112">
        <f t="shared" si="34"/>
        <v>396678.46605921059</v>
      </c>
      <c r="DB112">
        <f t="shared" si="35"/>
        <v>234239.97799612756</v>
      </c>
      <c r="DC112">
        <f t="shared" si="36"/>
        <v>473059.82230215718</v>
      </c>
      <c r="DD112">
        <f t="shared" si="37"/>
        <v>287782.4716443739</v>
      </c>
      <c r="DE112">
        <f t="shared" si="38"/>
        <v>16054.733336787096</v>
      </c>
      <c r="DF112">
        <f t="shared" si="39"/>
        <v>1286310.0508836138</v>
      </c>
      <c r="DG112">
        <f t="shared" si="40"/>
        <v>893143.98897724436</v>
      </c>
      <c r="DH112">
        <f t="shared" si="41"/>
        <v>1623548.423859294</v>
      </c>
      <c r="DI112">
        <f t="shared" si="42"/>
        <v>722831.67721237696</v>
      </c>
      <c r="DJ112">
        <f t="shared" si="43"/>
        <v>107926.25122295273</v>
      </c>
      <c r="DK112">
        <f t="shared" si="44"/>
        <v>242301.8182004696</v>
      </c>
      <c r="DL112">
        <f t="shared" si="45"/>
        <v>659312.97889831674</v>
      </c>
      <c r="DM112">
        <f t="shared" si="46"/>
        <v>524533.04434630182</v>
      </c>
      <c r="DN112">
        <f t="shared" si="47"/>
        <v>1075349.3540120444</v>
      </c>
      <c r="DO112">
        <f t="shared" si="48"/>
        <v>511028.73918927449</v>
      </c>
      <c r="DP112">
        <f t="shared" si="49"/>
        <v>407559.59327890177</v>
      </c>
      <c r="DQ112">
        <f t="shared" si="50"/>
        <v>1569650.1165033495</v>
      </c>
      <c r="DR112">
        <f t="shared" si="51"/>
        <v>957347.05206124531</v>
      </c>
      <c r="DS112">
        <f t="shared" si="52"/>
        <v>3083124.2803492225</v>
      </c>
      <c r="DT112">
        <f t="shared" si="53"/>
        <v>1424345.6888533481</v>
      </c>
      <c r="DU112">
        <f t="shared" si="54"/>
        <v>286432.00777863746</v>
      </c>
      <c r="DV112">
        <f t="shared" si="55"/>
        <v>821100.50361601345</v>
      </c>
      <c r="DW112">
        <f t="shared" si="56"/>
        <v>2299136.698331038</v>
      </c>
      <c r="DX112">
        <f t="shared" si="57"/>
        <v>293014.52491573431</v>
      </c>
      <c r="DY112">
        <f t="shared" si="58"/>
        <v>1915092.0855130535</v>
      </c>
      <c r="DZ112">
        <f t="shared" si="59"/>
        <v>1424598.8141382507</v>
      </c>
      <c r="EA112">
        <f t="shared" si="60"/>
        <v>893807.36194519117</v>
      </c>
      <c r="EB112">
        <f t="shared" si="61"/>
        <v>873045.10770683433</v>
      </c>
      <c r="EC112">
        <f t="shared" si="62"/>
        <v>172667.98047041756</v>
      </c>
      <c r="ED112">
        <f t="shared" si="63"/>
        <v>158275.61400955019</v>
      </c>
      <c r="EE112">
        <f t="shared" si="64"/>
        <v>339889.57649215817</v>
      </c>
      <c r="EF112">
        <f t="shared" si="65"/>
        <v>1066157.8740950515</v>
      </c>
      <c r="EG112">
        <f t="shared" si="66"/>
        <v>2400668.2565451581</v>
      </c>
      <c r="EH112">
        <f t="shared" si="67"/>
        <v>2048167.0876273166</v>
      </c>
      <c r="EI112">
        <f t="shared" si="68"/>
        <v>2607288.2817202033</v>
      </c>
      <c r="EJ112">
        <f t="shared" si="69"/>
        <v>2223661.2399123828</v>
      </c>
      <c r="EK112">
        <f t="shared" si="70"/>
        <v>572206.44202303689</v>
      </c>
      <c r="EL112">
        <f t="shared" si="71"/>
        <v>1331605.0107849902</v>
      </c>
      <c r="EM112">
        <f t="shared" si="72"/>
        <v>1055708.2325378691</v>
      </c>
      <c r="EN112">
        <f t="shared" si="73"/>
        <v>13763.763575251673</v>
      </c>
    </row>
    <row r="113" spans="2:144" x14ac:dyDescent="0.35">
      <c r="B113" s="87">
        <v>0</v>
      </c>
      <c r="C113" s="87">
        <v>0</v>
      </c>
      <c r="D113" s="87">
        <v>0</v>
      </c>
      <c r="E113" s="87">
        <v>0</v>
      </c>
      <c r="F113" s="87">
        <v>0</v>
      </c>
      <c r="G113" s="87">
        <v>0</v>
      </c>
      <c r="H113" s="87">
        <v>0</v>
      </c>
      <c r="I113" s="87">
        <v>0</v>
      </c>
      <c r="J113" s="87">
        <v>0</v>
      </c>
      <c r="K113" s="87">
        <v>0</v>
      </c>
      <c r="L113" s="87">
        <v>0</v>
      </c>
      <c r="M113" s="87">
        <v>0</v>
      </c>
      <c r="N113" s="87">
        <v>0</v>
      </c>
      <c r="O113" s="87">
        <v>0</v>
      </c>
      <c r="P113" s="87">
        <v>0</v>
      </c>
      <c r="Q113" s="87">
        <v>0</v>
      </c>
      <c r="R113" s="87">
        <v>0</v>
      </c>
      <c r="S113" s="87">
        <v>0</v>
      </c>
      <c r="T113" s="87">
        <v>0</v>
      </c>
      <c r="U113" s="87">
        <v>0</v>
      </c>
      <c r="V113" s="87">
        <v>0</v>
      </c>
      <c r="W113" s="87">
        <v>0</v>
      </c>
      <c r="X113" s="87">
        <v>0</v>
      </c>
      <c r="Y113" s="87">
        <v>0</v>
      </c>
      <c r="Z113" s="87">
        <v>0</v>
      </c>
      <c r="AA113" s="87">
        <v>0</v>
      </c>
      <c r="AB113" s="87">
        <v>0</v>
      </c>
      <c r="AC113" s="87">
        <v>0</v>
      </c>
      <c r="AD113" s="87">
        <v>0</v>
      </c>
      <c r="AE113" s="87">
        <v>0</v>
      </c>
      <c r="AF113" s="87">
        <v>0</v>
      </c>
      <c r="AG113" s="87">
        <v>0</v>
      </c>
      <c r="AH113" s="87">
        <v>0</v>
      </c>
      <c r="AI113" s="87">
        <v>0</v>
      </c>
      <c r="AJ113" s="87">
        <v>1</v>
      </c>
      <c r="AK113" s="87">
        <v>0</v>
      </c>
      <c r="AL113" s="87">
        <v>0</v>
      </c>
      <c r="AM113" s="87">
        <v>0</v>
      </c>
      <c r="AN113" s="87">
        <v>0</v>
      </c>
      <c r="AO113" s="87">
        <v>0</v>
      </c>
      <c r="AP113" s="87">
        <v>0</v>
      </c>
      <c r="AQ113" s="87">
        <v>0</v>
      </c>
      <c r="AR113" s="87">
        <v>0</v>
      </c>
      <c r="AS113" s="87">
        <v>0</v>
      </c>
      <c r="AT113" s="87">
        <v>0</v>
      </c>
      <c r="AU113" s="87">
        <v>0</v>
      </c>
      <c r="AV113" s="87">
        <v>0</v>
      </c>
      <c r="AW113" s="87">
        <v>0</v>
      </c>
      <c r="AX113" s="87">
        <v>0</v>
      </c>
      <c r="AY113" s="87">
        <v>0</v>
      </c>
      <c r="AZ113" s="87">
        <v>0</v>
      </c>
      <c r="BA113" s="87">
        <v>0</v>
      </c>
      <c r="BB113" s="87">
        <v>0</v>
      </c>
      <c r="BC113" s="87">
        <v>0</v>
      </c>
      <c r="BD113" s="87">
        <v>0</v>
      </c>
      <c r="BE113" s="87">
        <v>0</v>
      </c>
      <c r="BF113" s="87">
        <v>0</v>
      </c>
      <c r="BG113" s="87">
        <v>0</v>
      </c>
      <c r="BH113" s="87">
        <v>0</v>
      </c>
      <c r="BI113" s="87">
        <v>0</v>
      </c>
      <c r="BJ113" s="87">
        <v>0</v>
      </c>
      <c r="BK113" s="87">
        <v>0</v>
      </c>
      <c r="BL113" s="87">
        <v>0</v>
      </c>
      <c r="BM113" s="87">
        <v>0</v>
      </c>
      <c r="BN113" s="87">
        <v>0</v>
      </c>
      <c r="BO113" s="87">
        <v>0</v>
      </c>
      <c r="BP113" s="87">
        <v>0</v>
      </c>
      <c r="BQ113" s="87">
        <v>0</v>
      </c>
      <c r="BR113" s="87">
        <v>0</v>
      </c>
      <c r="BS113" s="87">
        <v>0</v>
      </c>
      <c r="BW113">
        <f t="shared" si="4"/>
        <v>232672.48590733891</v>
      </c>
      <c r="BX113">
        <f t="shared" si="5"/>
        <v>34839.716621068001</v>
      </c>
      <c r="BY113">
        <f t="shared" si="6"/>
        <v>371094.06353103736</v>
      </c>
      <c r="BZ113">
        <f t="shared" si="7"/>
        <v>76179.776535406141</v>
      </c>
      <c r="CA113">
        <f t="shared" si="8"/>
        <v>15011.396028380053</v>
      </c>
      <c r="CB113">
        <f t="shared" si="9"/>
        <v>51551.176130883803</v>
      </c>
      <c r="CC113">
        <f t="shared" si="10"/>
        <v>177768.63125311004</v>
      </c>
      <c r="CD113">
        <f t="shared" si="11"/>
        <v>128259.05724192546</v>
      </c>
      <c r="CE113">
        <f t="shared" si="12"/>
        <v>278847.59643141937</v>
      </c>
      <c r="CF113">
        <f t="shared" si="13"/>
        <v>119292.47302789842</v>
      </c>
      <c r="CG113">
        <f t="shared" si="14"/>
        <v>83770.04231671372</v>
      </c>
      <c r="CH113">
        <f t="shared" si="15"/>
        <v>300092.07254081866</v>
      </c>
      <c r="CI113">
        <f t="shared" si="16"/>
        <v>239004.30542355054</v>
      </c>
      <c r="CJ113">
        <f t="shared" si="17"/>
        <v>373508.54190304613</v>
      </c>
      <c r="CK113">
        <f t="shared" si="18"/>
        <v>335805.16136012977</v>
      </c>
      <c r="CL113">
        <f t="shared" si="19"/>
        <v>78625.343120143414</v>
      </c>
      <c r="CM113">
        <f t="shared" si="20"/>
        <v>243781.44385618682</v>
      </c>
      <c r="CN113">
        <f t="shared" si="21"/>
        <v>548861.54802201549</v>
      </c>
      <c r="CO113">
        <f t="shared" si="22"/>
        <v>143806.93864198707</v>
      </c>
      <c r="CP113">
        <f t="shared" si="23"/>
        <v>465205.04703729611</v>
      </c>
      <c r="CQ113">
        <f t="shared" si="24"/>
        <v>342340.40920507541</v>
      </c>
      <c r="CR113">
        <f t="shared" si="25"/>
        <v>216877.32727484047</v>
      </c>
      <c r="CS113">
        <f t="shared" si="26"/>
        <v>202257.42757550368</v>
      </c>
      <c r="CT113">
        <f t="shared" si="27"/>
        <v>45234.347346962793</v>
      </c>
      <c r="CU113">
        <f t="shared" si="28"/>
        <v>46567.357189394708</v>
      </c>
      <c r="CV113">
        <f t="shared" si="29"/>
        <v>174837.79805898081</v>
      </c>
      <c r="CW113">
        <f t="shared" si="30"/>
        <v>280799.51465892419</v>
      </c>
      <c r="CX113">
        <f t="shared" si="31"/>
        <v>535023.54635062267</v>
      </c>
      <c r="CY113">
        <f t="shared" si="32"/>
        <v>559587.29484140966</v>
      </c>
      <c r="CZ113">
        <f t="shared" si="33"/>
        <v>895036.38006964535</v>
      </c>
      <c r="DA113">
        <f t="shared" si="34"/>
        <v>396678.46605921059</v>
      </c>
      <c r="DB113">
        <f t="shared" si="35"/>
        <v>234239.97799612756</v>
      </c>
      <c r="DC113">
        <f t="shared" si="36"/>
        <v>473059.82230215718</v>
      </c>
      <c r="DD113">
        <f t="shared" si="37"/>
        <v>287782.4716443739</v>
      </c>
      <c r="DE113">
        <f t="shared" si="38"/>
        <v>16054.733336787096</v>
      </c>
      <c r="DF113">
        <f t="shared" si="39"/>
        <v>1286310.0508836138</v>
      </c>
      <c r="DG113">
        <f t="shared" si="40"/>
        <v>893143.98897724436</v>
      </c>
      <c r="DH113">
        <f t="shared" si="41"/>
        <v>1623548.423859294</v>
      </c>
      <c r="DI113">
        <f t="shared" si="42"/>
        <v>722831.67721237696</v>
      </c>
      <c r="DJ113">
        <f t="shared" si="43"/>
        <v>107926.25122295273</v>
      </c>
      <c r="DK113">
        <f t="shared" si="44"/>
        <v>242301.8182004696</v>
      </c>
      <c r="DL113">
        <f t="shared" si="45"/>
        <v>659312.97889831674</v>
      </c>
      <c r="DM113">
        <f t="shared" si="46"/>
        <v>524533.04434630182</v>
      </c>
      <c r="DN113">
        <f t="shared" si="47"/>
        <v>1075349.3540120444</v>
      </c>
      <c r="DO113">
        <f t="shared" si="48"/>
        <v>511028.73918927449</v>
      </c>
      <c r="DP113">
        <f t="shared" si="49"/>
        <v>407559.59327890177</v>
      </c>
      <c r="DQ113">
        <f t="shared" si="50"/>
        <v>1569650.1165033495</v>
      </c>
      <c r="DR113">
        <f t="shared" si="51"/>
        <v>957347.05206124531</v>
      </c>
      <c r="DS113">
        <f t="shared" si="52"/>
        <v>3083124.2803492225</v>
      </c>
      <c r="DT113">
        <f t="shared" si="53"/>
        <v>1424345.6888533481</v>
      </c>
      <c r="DU113">
        <f t="shared" si="54"/>
        <v>286432.00777863746</v>
      </c>
      <c r="DV113">
        <f t="shared" si="55"/>
        <v>821100.50361601345</v>
      </c>
      <c r="DW113">
        <f t="shared" si="56"/>
        <v>2299136.698331038</v>
      </c>
      <c r="DX113">
        <f t="shared" si="57"/>
        <v>293014.52491573431</v>
      </c>
      <c r="DY113">
        <f t="shared" si="58"/>
        <v>1915092.0855130535</v>
      </c>
      <c r="DZ113">
        <f t="shared" si="59"/>
        <v>1424598.8141382507</v>
      </c>
      <c r="EA113">
        <f t="shared" si="60"/>
        <v>893807.36194519117</v>
      </c>
      <c r="EB113">
        <f t="shared" si="61"/>
        <v>873045.10770683433</v>
      </c>
      <c r="EC113">
        <f t="shared" si="62"/>
        <v>172667.98047041756</v>
      </c>
      <c r="ED113">
        <f t="shared" si="63"/>
        <v>158275.61400955019</v>
      </c>
      <c r="EE113">
        <f t="shared" si="64"/>
        <v>339889.57649215817</v>
      </c>
      <c r="EF113">
        <f t="shared" si="65"/>
        <v>1066157.8740950515</v>
      </c>
      <c r="EG113">
        <f t="shared" si="66"/>
        <v>2400668.2565451581</v>
      </c>
      <c r="EH113">
        <f t="shared" si="67"/>
        <v>2048167.0876273166</v>
      </c>
      <c r="EI113">
        <f t="shared" si="68"/>
        <v>2607288.2817202033</v>
      </c>
      <c r="EJ113">
        <f t="shared" si="69"/>
        <v>2223661.2399123828</v>
      </c>
      <c r="EK113">
        <f t="shared" si="70"/>
        <v>572206.44202303689</v>
      </c>
      <c r="EL113">
        <f t="shared" si="71"/>
        <v>1331605.0107849902</v>
      </c>
      <c r="EM113">
        <f t="shared" si="72"/>
        <v>1055708.2325378691</v>
      </c>
      <c r="EN113">
        <f t="shared" si="73"/>
        <v>13763.763575251673</v>
      </c>
    </row>
    <row r="114" spans="2:144" x14ac:dyDescent="0.35">
      <c r="B114" s="87">
        <v>0</v>
      </c>
      <c r="C114" s="87">
        <v>0</v>
      </c>
      <c r="D114" s="87">
        <v>0</v>
      </c>
      <c r="E114" s="87">
        <v>0</v>
      </c>
      <c r="F114" s="87">
        <v>0</v>
      </c>
      <c r="G114" s="87">
        <v>0</v>
      </c>
      <c r="H114" s="87">
        <v>0</v>
      </c>
      <c r="I114" s="87">
        <v>0</v>
      </c>
      <c r="J114" s="87">
        <v>0</v>
      </c>
      <c r="K114" s="87">
        <v>0</v>
      </c>
      <c r="L114" s="87">
        <v>0</v>
      </c>
      <c r="M114" s="87">
        <v>0</v>
      </c>
      <c r="N114" s="87">
        <v>0</v>
      </c>
      <c r="O114" s="87">
        <v>0</v>
      </c>
      <c r="P114" s="87">
        <v>0</v>
      </c>
      <c r="Q114" s="87">
        <v>0</v>
      </c>
      <c r="R114" s="87">
        <v>0</v>
      </c>
      <c r="S114" s="87">
        <v>0</v>
      </c>
      <c r="T114" s="87">
        <v>0</v>
      </c>
      <c r="U114" s="87">
        <v>0</v>
      </c>
      <c r="V114" s="87">
        <v>0</v>
      </c>
      <c r="W114" s="87">
        <v>0</v>
      </c>
      <c r="X114" s="87">
        <v>0</v>
      </c>
      <c r="Y114" s="87">
        <v>0</v>
      </c>
      <c r="Z114" s="87">
        <v>0</v>
      </c>
      <c r="AA114" s="87">
        <v>0</v>
      </c>
      <c r="AB114" s="87">
        <v>0</v>
      </c>
      <c r="AC114" s="87">
        <v>0</v>
      </c>
      <c r="AD114" s="87">
        <v>0</v>
      </c>
      <c r="AE114" s="87">
        <v>0</v>
      </c>
      <c r="AF114" s="87">
        <v>0</v>
      </c>
      <c r="AG114" s="87">
        <v>0</v>
      </c>
      <c r="AH114" s="87">
        <v>0</v>
      </c>
      <c r="AI114" s="87">
        <v>0</v>
      </c>
      <c r="AJ114" s="87">
        <v>0</v>
      </c>
      <c r="AK114" s="87">
        <v>1</v>
      </c>
      <c r="AL114" s="87">
        <v>0</v>
      </c>
      <c r="AM114" s="87">
        <v>0</v>
      </c>
      <c r="AN114" s="87">
        <v>0</v>
      </c>
      <c r="AO114" s="87">
        <v>0</v>
      </c>
      <c r="AP114" s="87">
        <v>0</v>
      </c>
      <c r="AQ114" s="87">
        <v>0</v>
      </c>
      <c r="AR114" s="87">
        <v>0</v>
      </c>
      <c r="AS114" s="87">
        <v>0</v>
      </c>
      <c r="AT114" s="87">
        <v>0</v>
      </c>
      <c r="AU114" s="87">
        <v>0</v>
      </c>
      <c r="AV114" s="87">
        <v>0</v>
      </c>
      <c r="AW114" s="87">
        <v>0</v>
      </c>
      <c r="AX114" s="87">
        <v>0</v>
      </c>
      <c r="AY114" s="87">
        <v>0</v>
      </c>
      <c r="AZ114" s="87">
        <v>0</v>
      </c>
      <c r="BA114" s="87">
        <v>0</v>
      </c>
      <c r="BB114" s="87">
        <v>0</v>
      </c>
      <c r="BC114" s="87">
        <v>0</v>
      </c>
      <c r="BD114" s="87">
        <v>0</v>
      </c>
      <c r="BE114" s="87">
        <v>0</v>
      </c>
      <c r="BF114" s="87">
        <v>0</v>
      </c>
      <c r="BG114" s="87">
        <v>0</v>
      </c>
      <c r="BH114" s="87">
        <v>0</v>
      </c>
      <c r="BI114" s="87">
        <v>0</v>
      </c>
      <c r="BJ114" s="87">
        <v>0</v>
      </c>
      <c r="BK114" s="87">
        <v>0</v>
      </c>
      <c r="BL114" s="87">
        <v>0</v>
      </c>
      <c r="BM114" s="87">
        <v>0</v>
      </c>
      <c r="BN114" s="87">
        <v>0</v>
      </c>
      <c r="BO114" s="87">
        <v>0</v>
      </c>
      <c r="BP114" s="87">
        <v>0</v>
      </c>
      <c r="BQ114" s="87">
        <v>0</v>
      </c>
      <c r="BR114" s="87">
        <v>0</v>
      </c>
      <c r="BS114" s="87">
        <v>0</v>
      </c>
      <c r="BW114">
        <f t="shared" si="4"/>
        <v>232672.48590733891</v>
      </c>
      <c r="BX114">
        <f t="shared" si="5"/>
        <v>34839.716621068001</v>
      </c>
      <c r="BY114">
        <f t="shared" si="6"/>
        <v>371094.06353103736</v>
      </c>
      <c r="BZ114">
        <f t="shared" si="7"/>
        <v>76179.776535406141</v>
      </c>
      <c r="CA114">
        <f t="shared" si="8"/>
        <v>15011.396028380053</v>
      </c>
      <c r="CB114">
        <f t="shared" si="9"/>
        <v>51551.176130883803</v>
      </c>
      <c r="CC114">
        <f t="shared" si="10"/>
        <v>177768.63125311004</v>
      </c>
      <c r="CD114">
        <f t="shared" si="11"/>
        <v>128259.05724192546</v>
      </c>
      <c r="CE114">
        <f t="shared" si="12"/>
        <v>278847.59643141937</v>
      </c>
      <c r="CF114">
        <f t="shared" si="13"/>
        <v>119292.47302789842</v>
      </c>
      <c r="CG114">
        <f t="shared" si="14"/>
        <v>83770.04231671372</v>
      </c>
      <c r="CH114">
        <f t="shared" si="15"/>
        <v>300092.07254081866</v>
      </c>
      <c r="CI114">
        <f t="shared" si="16"/>
        <v>239004.30542355054</v>
      </c>
      <c r="CJ114">
        <f t="shared" si="17"/>
        <v>373508.54190304613</v>
      </c>
      <c r="CK114">
        <f t="shared" si="18"/>
        <v>335805.16136012977</v>
      </c>
      <c r="CL114">
        <f t="shared" si="19"/>
        <v>78625.343120143414</v>
      </c>
      <c r="CM114">
        <f t="shared" si="20"/>
        <v>243781.44385618682</v>
      </c>
      <c r="CN114">
        <f t="shared" si="21"/>
        <v>548861.54802201549</v>
      </c>
      <c r="CO114">
        <f t="shared" si="22"/>
        <v>143806.93864198707</v>
      </c>
      <c r="CP114">
        <f t="shared" si="23"/>
        <v>465205.04703729611</v>
      </c>
      <c r="CQ114">
        <f t="shared" si="24"/>
        <v>342340.40920507541</v>
      </c>
      <c r="CR114">
        <f t="shared" si="25"/>
        <v>216877.32727484047</v>
      </c>
      <c r="CS114">
        <f t="shared" si="26"/>
        <v>202257.42757550368</v>
      </c>
      <c r="CT114">
        <f t="shared" si="27"/>
        <v>45234.347346962793</v>
      </c>
      <c r="CU114">
        <f t="shared" si="28"/>
        <v>46567.357189394708</v>
      </c>
      <c r="CV114">
        <f t="shared" si="29"/>
        <v>174837.79805898081</v>
      </c>
      <c r="CW114">
        <f t="shared" si="30"/>
        <v>280799.51465892419</v>
      </c>
      <c r="CX114">
        <f t="shared" si="31"/>
        <v>535023.54635062267</v>
      </c>
      <c r="CY114">
        <f t="shared" si="32"/>
        <v>559587.29484140966</v>
      </c>
      <c r="CZ114">
        <f t="shared" si="33"/>
        <v>895036.38006964535</v>
      </c>
      <c r="DA114">
        <f t="shared" si="34"/>
        <v>396678.46605921059</v>
      </c>
      <c r="DB114">
        <f t="shared" si="35"/>
        <v>234239.97799612756</v>
      </c>
      <c r="DC114">
        <f t="shared" si="36"/>
        <v>473059.82230215718</v>
      </c>
      <c r="DD114">
        <f t="shared" si="37"/>
        <v>287782.4716443739</v>
      </c>
      <c r="DE114">
        <f t="shared" si="38"/>
        <v>16054.733336787096</v>
      </c>
      <c r="DF114">
        <f t="shared" si="39"/>
        <v>1286310.0508836138</v>
      </c>
      <c r="DG114">
        <f t="shared" si="40"/>
        <v>893143.98897724436</v>
      </c>
      <c r="DH114">
        <f t="shared" si="41"/>
        <v>1623548.423859294</v>
      </c>
      <c r="DI114">
        <f t="shared" si="42"/>
        <v>722831.67721237696</v>
      </c>
      <c r="DJ114">
        <f t="shared" si="43"/>
        <v>107926.25122295273</v>
      </c>
      <c r="DK114">
        <f t="shared" si="44"/>
        <v>242301.8182004696</v>
      </c>
      <c r="DL114">
        <f t="shared" si="45"/>
        <v>659312.97889831674</v>
      </c>
      <c r="DM114">
        <f t="shared" si="46"/>
        <v>524533.04434630182</v>
      </c>
      <c r="DN114">
        <f t="shared" si="47"/>
        <v>1075349.3540120444</v>
      </c>
      <c r="DO114">
        <f t="shared" si="48"/>
        <v>511028.73918927449</v>
      </c>
      <c r="DP114">
        <f t="shared" si="49"/>
        <v>407559.59327890177</v>
      </c>
      <c r="DQ114">
        <f t="shared" si="50"/>
        <v>1569650.1165033495</v>
      </c>
      <c r="DR114">
        <f t="shared" si="51"/>
        <v>957347.05206124531</v>
      </c>
      <c r="DS114">
        <f t="shared" si="52"/>
        <v>3083124.2803492225</v>
      </c>
      <c r="DT114">
        <f t="shared" si="53"/>
        <v>1424345.6888533481</v>
      </c>
      <c r="DU114">
        <f t="shared" si="54"/>
        <v>286432.00777863746</v>
      </c>
      <c r="DV114">
        <f t="shared" si="55"/>
        <v>821100.50361601345</v>
      </c>
      <c r="DW114">
        <f t="shared" si="56"/>
        <v>2299136.698331038</v>
      </c>
      <c r="DX114">
        <f t="shared" si="57"/>
        <v>293014.52491573431</v>
      </c>
      <c r="DY114">
        <f t="shared" si="58"/>
        <v>1915092.0855130535</v>
      </c>
      <c r="DZ114">
        <f t="shared" si="59"/>
        <v>1424598.8141382507</v>
      </c>
      <c r="EA114">
        <f t="shared" si="60"/>
        <v>893807.36194519117</v>
      </c>
      <c r="EB114">
        <f t="shared" si="61"/>
        <v>873045.10770683433</v>
      </c>
      <c r="EC114">
        <f t="shared" si="62"/>
        <v>172667.98047041756</v>
      </c>
      <c r="ED114">
        <f t="shared" si="63"/>
        <v>158275.61400955019</v>
      </c>
      <c r="EE114">
        <f t="shared" si="64"/>
        <v>339889.57649215817</v>
      </c>
      <c r="EF114">
        <f t="shared" si="65"/>
        <v>1066157.8740950515</v>
      </c>
      <c r="EG114">
        <f t="shared" si="66"/>
        <v>2400668.2565451581</v>
      </c>
      <c r="EH114">
        <f t="shared" si="67"/>
        <v>2048167.0876273166</v>
      </c>
      <c r="EI114">
        <f t="shared" si="68"/>
        <v>2607288.2817202033</v>
      </c>
      <c r="EJ114">
        <f t="shared" si="69"/>
        <v>2223661.2399123828</v>
      </c>
      <c r="EK114">
        <f t="shared" si="70"/>
        <v>572206.44202303689</v>
      </c>
      <c r="EL114">
        <f t="shared" si="71"/>
        <v>1331605.0107849902</v>
      </c>
      <c r="EM114">
        <f t="shared" si="72"/>
        <v>1055708.2325378691</v>
      </c>
      <c r="EN114">
        <f t="shared" si="73"/>
        <v>13763.763575251673</v>
      </c>
    </row>
    <row r="115" spans="2:144" x14ac:dyDescent="0.35">
      <c r="B115" s="87">
        <v>0</v>
      </c>
      <c r="C115" s="87">
        <v>0</v>
      </c>
      <c r="D115" s="87">
        <v>0</v>
      </c>
      <c r="E115" s="87">
        <v>0</v>
      </c>
      <c r="F115" s="87">
        <v>0</v>
      </c>
      <c r="G115" s="87">
        <v>0</v>
      </c>
      <c r="H115" s="87">
        <v>0</v>
      </c>
      <c r="I115" s="87">
        <v>0</v>
      </c>
      <c r="J115" s="87">
        <v>0</v>
      </c>
      <c r="K115" s="87">
        <v>0</v>
      </c>
      <c r="L115" s="87">
        <v>0</v>
      </c>
      <c r="M115" s="87">
        <v>0</v>
      </c>
      <c r="N115" s="87">
        <v>0</v>
      </c>
      <c r="O115" s="87">
        <v>0</v>
      </c>
      <c r="P115" s="87">
        <v>0</v>
      </c>
      <c r="Q115" s="87">
        <v>0</v>
      </c>
      <c r="R115" s="87">
        <v>0</v>
      </c>
      <c r="S115" s="87">
        <v>0</v>
      </c>
      <c r="T115" s="87">
        <v>0</v>
      </c>
      <c r="U115" s="87">
        <v>0</v>
      </c>
      <c r="V115" s="87">
        <v>0</v>
      </c>
      <c r="W115" s="87">
        <v>0</v>
      </c>
      <c r="X115" s="87">
        <v>0</v>
      </c>
      <c r="Y115" s="87">
        <v>0</v>
      </c>
      <c r="Z115" s="87">
        <v>0</v>
      </c>
      <c r="AA115" s="87">
        <v>0</v>
      </c>
      <c r="AB115" s="87">
        <v>0</v>
      </c>
      <c r="AC115" s="87">
        <v>0</v>
      </c>
      <c r="AD115" s="87">
        <v>0</v>
      </c>
      <c r="AE115" s="87">
        <v>0</v>
      </c>
      <c r="AF115" s="87">
        <v>0</v>
      </c>
      <c r="AG115" s="87">
        <v>0</v>
      </c>
      <c r="AH115" s="87">
        <v>0</v>
      </c>
      <c r="AI115" s="87">
        <v>0</v>
      </c>
      <c r="AJ115" s="87">
        <v>0</v>
      </c>
      <c r="AK115" s="87">
        <v>0</v>
      </c>
      <c r="AL115" s="87">
        <v>1</v>
      </c>
      <c r="AM115" s="87">
        <v>0</v>
      </c>
      <c r="AN115" s="87">
        <v>0</v>
      </c>
      <c r="AO115" s="87">
        <v>0</v>
      </c>
      <c r="AP115" s="87">
        <v>0</v>
      </c>
      <c r="AQ115" s="87">
        <v>0</v>
      </c>
      <c r="AR115" s="87">
        <v>0</v>
      </c>
      <c r="AS115" s="87">
        <v>0</v>
      </c>
      <c r="AT115" s="87">
        <v>0</v>
      </c>
      <c r="AU115" s="87">
        <v>0</v>
      </c>
      <c r="AV115" s="87">
        <v>0</v>
      </c>
      <c r="AW115" s="87">
        <v>0</v>
      </c>
      <c r="AX115" s="87">
        <v>0</v>
      </c>
      <c r="AY115" s="87">
        <v>0</v>
      </c>
      <c r="AZ115" s="87">
        <v>0</v>
      </c>
      <c r="BA115" s="87">
        <v>0</v>
      </c>
      <c r="BB115" s="87">
        <v>0</v>
      </c>
      <c r="BC115" s="87">
        <v>0</v>
      </c>
      <c r="BD115" s="87">
        <v>0</v>
      </c>
      <c r="BE115" s="87">
        <v>0</v>
      </c>
      <c r="BF115" s="87">
        <v>0</v>
      </c>
      <c r="BG115" s="87">
        <v>0</v>
      </c>
      <c r="BH115" s="87">
        <v>0</v>
      </c>
      <c r="BI115" s="87">
        <v>0</v>
      </c>
      <c r="BJ115" s="87">
        <v>0</v>
      </c>
      <c r="BK115" s="87">
        <v>0</v>
      </c>
      <c r="BL115" s="87">
        <v>0</v>
      </c>
      <c r="BM115" s="87">
        <v>0</v>
      </c>
      <c r="BN115" s="87">
        <v>0</v>
      </c>
      <c r="BO115" s="87">
        <v>0</v>
      </c>
      <c r="BP115" s="87">
        <v>0</v>
      </c>
      <c r="BQ115" s="87">
        <v>0</v>
      </c>
      <c r="BR115" s="87">
        <v>0</v>
      </c>
      <c r="BS115" s="87">
        <v>0</v>
      </c>
      <c r="BW115">
        <f t="shared" si="4"/>
        <v>232672.48590733891</v>
      </c>
      <c r="BX115">
        <f t="shared" si="5"/>
        <v>34839.716621068001</v>
      </c>
      <c r="BY115">
        <f t="shared" si="6"/>
        <v>371094.06353103736</v>
      </c>
      <c r="BZ115">
        <f t="shared" si="7"/>
        <v>76179.776535406141</v>
      </c>
      <c r="CA115">
        <f t="shared" si="8"/>
        <v>15011.396028380053</v>
      </c>
      <c r="CB115">
        <f t="shared" si="9"/>
        <v>51551.176130883803</v>
      </c>
      <c r="CC115">
        <f t="shared" si="10"/>
        <v>177768.63125311004</v>
      </c>
      <c r="CD115">
        <f t="shared" si="11"/>
        <v>128259.05724192546</v>
      </c>
      <c r="CE115">
        <f t="shared" si="12"/>
        <v>278847.59643141937</v>
      </c>
      <c r="CF115">
        <f t="shared" si="13"/>
        <v>119292.47302789842</v>
      </c>
      <c r="CG115">
        <f t="shared" si="14"/>
        <v>83770.04231671372</v>
      </c>
      <c r="CH115">
        <f t="shared" si="15"/>
        <v>300092.07254081866</v>
      </c>
      <c r="CI115">
        <f t="shared" si="16"/>
        <v>239004.30542355054</v>
      </c>
      <c r="CJ115">
        <f t="shared" si="17"/>
        <v>373508.54190304613</v>
      </c>
      <c r="CK115">
        <f t="shared" si="18"/>
        <v>335805.16136012977</v>
      </c>
      <c r="CL115">
        <f t="shared" si="19"/>
        <v>78625.343120143414</v>
      </c>
      <c r="CM115">
        <f t="shared" si="20"/>
        <v>243781.44385618682</v>
      </c>
      <c r="CN115">
        <f t="shared" si="21"/>
        <v>548861.54802201549</v>
      </c>
      <c r="CO115">
        <f t="shared" si="22"/>
        <v>143806.93864198707</v>
      </c>
      <c r="CP115">
        <f t="shared" si="23"/>
        <v>465205.04703729611</v>
      </c>
      <c r="CQ115">
        <f t="shared" si="24"/>
        <v>342340.40920507541</v>
      </c>
      <c r="CR115">
        <f t="shared" si="25"/>
        <v>216877.32727484047</v>
      </c>
      <c r="CS115">
        <f t="shared" si="26"/>
        <v>202257.42757550368</v>
      </c>
      <c r="CT115">
        <f t="shared" si="27"/>
        <v>45234.347346962793</v>
      </c>
      <c r="CU115">
        <f t="shared" si="28"/>
        <v>46567.357189394708</v>
      </c>
      <c r="CV115">
        <f t="shared" si="29"/>
        <v>174837.79805898081</v>
      </c>
      <c r="CW115">
        <f t="shared" si="30"/>
        <v>280799.51465892419</v>
      </c>
      <c r="CX115">
        <f t="shared" si="31"/>
        <v>535023.54635062267</v>
      </c>
      <c r="CY115">
        <f t="shared" si="32"/>
        <v>559587.29484140966</v>
      </c>
      <c r="CZ115">
        <f t="shared" si="33"/>
        <v>895036.38006964535</v>
      </c>
      <c r="DA115">
        <f t="shared" si="34"/>
        <v>396678.46605921059</v>
      </c>
      <c r="DB115">
        <f t="shared" si="35"/>
        <v>234239.97799612756</v>
      </c>
      <c r="DC115">
        <f t="shared" si="36"/>
        <v>473059.82230215718</v>
      </c>
      <c r="DD115">
        <f t="shared" si="37"/>
        <v>287782.4716443739</v>
      </c>
      <c r="DE115">
        <f t="shared" si="38"/>
        <v>16054.733336787096</v>
      </c>
      <c r="DF115">
        <f t="shared" si="39"/>
        <v>1286310.0508836138</v>
      </c>
      <c r="DG115">
        <f t="shared" si="40"/>
        <v>893143.98897724436</v>
      </c>
      <c r="DH115">
        <f t="shared" si="41"/>
        <v>1623548.423859294</v>
      </c>
      <c r="DI115">
        <f t="shared" si="42"/>
        <v>722831.67721237696</v>
      </c>
      <c r="DJ115">
        <f t="shared" si="43"/>
        <v>107926.25122295273</v>
      </c>
      <c r="DK115">
        <f t="shared" si="44"/>
        <v>242301.8182004696</v>
      </c>
      <c r="DL115">
        <f t="shared" si="45"/>
        <v>659312.97889831674</v>
      </c>
      <c r="DM115">
        <f t="shared" si="46"/>
        <v>524533.04434630182</v>
      </c>
      <c r="DN115">
        <f t="shared" si="47"/>
        <v>1075349.3540120444</v>
      </c>
      <c r="DO115">
        <f t="shared" si="48"/>
        <v>511028.73918927449</v>
      </c>
      <c r="DP115">
        <f t="shared" si="49"/>
        <v>407559.59327890177</v>
      </c>
      <c r="DQ115">
        <f t="shared" si="50"/>
        <v>1569650.1165033495</v>
      </c>
      <c r="DR115">
        <f t="shared" si="51"/>
        <v>957347.05206124531</v>
      </c>
      <c r="DS115">
        <f t="shared" si="52"/>
        <v>3083124.2803492225</v>
      </c>
      <c r="DT115">
        <f t="shared" si="53"/>
        <v>1424345.6888533481</v>
      </c>
      <c r="DU115">
        <f t="shared" si="54"/>
        <v>286432.00777863746</v>
      </c>
      <c r="DV115">
        <f t="shared" si="55"/>
        <v>821100.50361601345</v>
      </c>
      <c r="DW115">
        <f t="shared" si="56"/>
        <v>2299136.698331038</v>
      </c>
      <c r="DX115">
        <f t="shared" si="57"/>
        <v>293014.52491573431</v>
      </c>
      <c r="DY115">
        <f t="shared" si="58"/>
        <v>1915092.0855130535</v>
      </c>
      <c r="DZ115">
        <f t="shared" si="59"/>
        <v>1424598.8141382507</v>
      </c>
      <c r="EA115">
        <f t="shared" si="60"/>
        <v>893807.36194519117</v>
      </c>
      <c r="EB115">
        <f t="shared" si="61"/>
        <v>873045.10770683433</v>
      </c>
      <c r="EC115">
        <f t="shared" si="62"/>
        <v>172667.98047041756</v>
      </c>
      <c r="ED115">
        <f t="shared" si="63"/>
        <v>158275.61400955019</v>
      </c>
      <c r="EE115">
        <f t="shared" si="64"/>
        <v>339889.57649215817</v>
      </c>
      <c r="EF115">
        <f t="shared" si="65"/>
        <v>1066157.8740950515</v>
      </c>
      <c r="EG115">
        <f t="shared" si="66"/>
        <v>2400668.2565451581</v>
      </c>
      <c r="EH115">
        <f t="shared" si="67"/>
        <v>2048167.0876273166</v>
      </c>
      <c r="EI115">
        <f t="shared" si="68"/>
        <v>2607288.2817202033</v>
      </c>
      <c r="EJ115">
        <f t="shared" si="69"/>
        <v>2223661.2399123828</v>
      </c>
      <c r="EK115">
        <f t="shared" si="70"/>
        <v>572206.44202303689</v>
      </c>
      <c r="EL115">
        <f t="shared" si="71"/>
        <v>1331605.0107849902</v>
      </c>
      <c r="EM115">
        <f t="shared" si="72"/>
        <v>1055708.2325378691</v>
      </c>
      <c r="EN115">
        <f t="shared" si="73"/>
        <v>13763.763575251673</v>
      </c>
    </row>
    <row r="116" spans="2:144" x14ac:dyDescent="0.35">
      <c r="B116" s="87">
        <v>0</v>
      </c>
      <c r="C116" s="87">
        <v>0</v>
      </c>
      <c r="D116" s="87">
        <v>0</v>
      </c>
      <c r="E116" s="87">
        <v>0</v>
      </c>
      <c r="F116" s="87">
        <v>0</v>
      </c>
      <c r="G116" s="87">
        <v>0</v>
      </c>
      <c r="H116" s="87">
        <v>0</v>
      </c>
      <c r="I116" s="87">
        <v>0</v>
      </c>
      <c r="J116" s="87">
        <v>0</v>
      </c>
      <c r="K116" s="87">
        <v>0</v>
      </c>
      <c r="L116" s="87">
        <v>0</v>
      </c>
      <c r="M116" s="87">
        <v>0</v>
      </c>
      <c r="N116" s="87">
        <v>0</v>
      </c>
      <c r="O116" s="87">
        <v>0</v>
      </c>
      <c r="P116" s="87">
        <v>0</v>
      </c>
      <c r="Q116" s="87">
        <v>0</v>
      </c>
      <c r="R116" s="87">
        <v>0</v>
      </c>
      <c r="S116" s="87">
        <v>0</v>
      </c>
      <c r="T116" s="87">
        <v>0</v>
      </c>
      <c r="U116" s="87">
        <v>0</v>
      </c>
      <c r="V116" s="87">
        <v>0</v>
      </c>
      <c r="W116" s="87">
        <v>0</v>
      </c>
      <c r="X116" s="87">
        <v>0</v>
      </c>
      <c r="Y116" s="87">
        <v>0</v>
      </c>
      <c r="Z116" s="87">
        <v>0</v>
      </c>
      <c r="AA116" s="87">
        <v>0</v>
      </c>
      <c r="AB116" s="87">
        <v>0</v>
      </c>
      <c r="AC116" s="87">
        <v>0</v>
      </c>
      <c r="AD116" s="87">
        <v>0</v>
      </c>
      <c r="AE116" s="87">
        <v>0</v>
      </c>
      <c r="AF116" s="87">
        <v>0</v>
      </c>
      <c r="AG116" s="87">
        <v>0</v>
      </c>
      <c r="AH116" s="87">
        <v>0</v>
      </c>
      <c r="AI116" s="87">
        <v>0</v>
      </c>
      <c r="AJ116" s="87">
        <v>0</v>
      </c>
      <c r="AK116" s="87">
        <v>0</v>
      </c>
      <c r="AL116" s="87">
        <v>0</v>
      </c>
      <c r="AM116" s="87">
        <v>1</v>
      </c>
      <c r="AN116" s="87">
        <v>0</v>
      </c>
      <c r="AO116" s="87">
        <v>0</v>
      </c>
      <c r="AP116" s="87">
        <v>0</v>
      </c>
      <c r="AQ116" s="87">
        <v>0</v>
      </c>
      <c r="AR116" s="87">
        <v>0</v>
      </c>
      <c r="AS116" s="87">
        <v>0</v>
      </c>
      <c r="AT116" s="87">
        <v>0</v>
      </c>
      <c r="AU116" s="87">
        <v>0</v>
      </c>
      <c r="AV116" s="87">
        <v>0</v>
      </c>
      <c r="AW116" s="87">
        <v>0</v>
      </c>
      <c r="AX116" s="87">
        <v>0</v>
      </c>
      <c r="AY116" s="87">
        <v>0</v>
      </c>
      <c r="AZ116" s="87">
        <v>0</v>
      </c>
      <c r="BA116" s="87">
        <v>0</v>
      </c>
      <c r="BB116" s="87">
        <v>0</v>
      </c>
      <c r="BC116" s="87">
        <v>0</v>
      </c>
      <c r="BD116" s="87">
        <v>0</v>
      </c>
      <c r="BE116" s="87">
        <v>0</v>
      </c>
      <c r="BF116" s="87">
        <v>0</v>
      </c>
      <c r="BG116" s="87">
        <v>0</v>
      </c>
      <c r="BH116" s="87">
        <v>0</v>
      </c>
      <c r="BI116" s="87">
        <v>0</v>
      </c>
      <c r="BJ116" s="87">
        <v>0</v>
      </c>
      <c r="BK116" s="87">
        <v>0</v>
      </c>
      <c r="BL116" s="87">
        <v>0</v>
      </c>
      <c r="BM116" s="87">
        <v>0</v>
      </c>
      <c r="BN116" s="87">
        <v>0</v>
      </c>
      <c r="BO116" s="87">
        <v>0</v>
      </c>
      <c r="BP116" s="87">
        <v>0</v>
      </c>
      <c r="BQ116" s="87">
        <v>0</v>
      </c>
      <c r="BR116" s="87">
        <v>0</v>
      </c>
      <c r="BS116" s="87">
        <v>0</v>
      </c>
      <c r="BW116">
        <f t="shared" si="4"/>
        <v>232672.48590733891</v>
      </c>
      <c r="BX116">
        <f t="shared" si="5"/>
        <v>34839.716621068001</v>
      </c>
      <c r="BY116">
        <f t="shared" si="6"/>
        <v>371094.06353103736</v>
      </c>
      <c r="BZ116">
        <f t="shared" si="7"/>
        <v>76179.776535406141</v>
      </c>
      <c r="CA116">
        <f t="shared" si="8"/>
        <v>15011.396028380053</v>
      </c>
      <c r="CB116">
        <f t="shared" si="9"/>
        <v>51551.176130883803</v>
      </c>
      <c r="CC116">
        <f t="shared" si="10"/>
        <v>177768.63125311004</v>
      </c>
      <c r="CD116">
        <f t="shared" si="11"/>
        <v>128259.05724192546</v>
      </c>
      <c r="CE116">
        <f t="shared" si="12"/>
        <v>278847.59643141937</v>
      </c>
      <c r="CF116">
        <f t="shared" si="13"/>
        <v>119292.47302789842</v>
      </c>
      <c r="CG116">
        <f t="shared" si="14"/>
        <v>83770.04231671372</v>
      </c>
      <c r="CH116">
        <f t="shared" si="15"/>
        <v>300092.07254081866</v>
      </c>
      <c r="CI116">
        <f t="shared" si="16"/>
        <v>239004.30542355054</v>
      </c>
      <c r="CJ116">
        <f t="shared" si="17"/>
        <v>373508.54190304613</v>
      </c>
      <c r="CK116">
        <f t="shared" si="18"/>
        <v>335805.16136012977</v>
      </c>
      <c r="CL116">
        <f t="shared" si="19"/>
        <v>78625.343120143414</v>
      </c>
      <c r="CM116">
        <f t="shared" si="20"/>
        <v>243781.44385618682</v>
      </c>
      <c r="CN116">
        <f t="shared" si="21"/>
        <v>548861.54802201549</v>
      </c>
      <c r="CO116">
        <f t="shared" si="22"/>
        <v>143806.93864198707</v>
      </c>
      <c r="CP116">
        <f t="shared" si="23"/>
        <v>465205.04703729611</v>
      </c>
      <c r="CQ116">
        <f t="shared" si="24"/>
        <v>342340.40920507541</v>
      </c>
      <c r="CR116">
        <f t="shared" si="25"/>
        <v>216877.32727484047</v>
      </c>
      <c r="CS116">
        <f t="shared" si="26"/>
        <v>202257.42757550368</v>
      </c>
      <c r="CT116">
        <f t="shared" si="27"/>
        <v>45234.347346962793</v>
      </c>
      <c r="CU116">
        <f t="shared" si="28"/>
        <v>46567.357189394708</v>
      </c>
      <c r="CV116">
        <f t="shared" si="29"/>
        <v>174837.79805898081</v>
      </c>
      <c r="CW116">
        <f t="shared" si="30"/>
        <v>280799.51465892419</v>
      </c>
      <c r="CX116">
        <f t="shared" si="31"/>
        <v>535023.54635062267</v>
      </c>
      <c r="CY116">
        <f t="shared" si="32"/>
        <v>559587.29484140966</v>
      </c>
      <c r="CZ116">
        <f t="shared" si="33"/>
        <v>895036.38006964535</v>
      </c>
      <c r="DA116">
        <f t="shared" si="34"/>
        <v>396678.46605921059</v>
      </c>
      <c r="DB116">
        <f t="shared" si="35"/>
        <v>234239.97799612756</v>
      </c>
      <c r="DC116">
        <f t="shared" si="36"/>
        <v>473059.82230215718</v>
      </c>
      <c r="DD116">
        <f t="shared" si="37"/>
        <v>287782.4716443739</v>
      </c>
      <c r="DE116">
        <f t="shared" si="38"/>
        <v>16054.733336787096</v>
      </c>
      <c r="DF116">
        <f t="shared" si="39"/>
        <v>1286310.0508836138</v>
      </c>
      <c r="DG116">
        <f t="shared" si="40"/>
        <v>893143.98897724436</v>
      </c>
      <c r="DH116">
        <f t="shared" si="41"/>
        <v>1623548.423859294</v>
      </c>
      <c r="DI116">
        <f t="shared" si="42"/>
        <v>722831.67721237696</v>
      </c>
      <c r="DJ116">
        <f t="shared" si="43"/>
        <v>107926.25122295273</v>
      </c>
      <c r="DK116">
        <f t="shared" si="44"/>
        <v>242301.8182004696</v>
      </c>
      <c r="DL116">
        <f t="shared" si="45"/>
        <v>659312.97889831674</v>
      </c>
      <c r="DM116">
        <f t="shared" si="46"/>
        <v>524533.04434630182</v>
      </c>
      <c r="DN116">
        <f t="shared" si="47"/>
        <v>1075349.3540120444</v>
      </c>
      <c r="DO116">
        <f t="shared" si="48"/>
        <v>511028.73918927449</v>
      </c>
      <c r="DP116">
        <f t="shared" si="49"/>
        <v>407559.59327890177</v>
      </c>
      <c r="DQ116">
        <f t="shared" si="50"/>
        <v>1569650.1165033495</v>
      </c>
      <c r="DR116">
        <f t="shared" si="51"/>
        <v>957347.05206124531</v>
      </c>
      <c r="DS116">
        <f t="shared" si="52"/>
        <v>3083124.2803492225</v>
      </c>
      <c r="DT116">
        <f t="shared" si="53"/>
        <v>1424345.6888533481</v>
      </c>
      <c r="DU116">
        <f t="shared" si="54"/>
        <v>286432.00777863746</v>
      </c>
      <c r="DV116">
        <f t="shared" si="55"/>
        <v>821100.50361601345</v>
      </c>
      <c r="DW116">
        <f t="shared" si="56"/>
        <v>2299136.698331038</v>
      </c>
      <c r="DX116">
        <f t="shared" si="57"/>
        <v>293014.52491573431</v>
      </c>
      <c r="DY116">
        <f t="shared" si="58"/>
        <v>1915092.0855130535</v>
      </c>
      <c r="DZ116">
        <f t="shared" si="59"/>
        <v>1424598.8141382507</v>
      </c>
      <c r="EA116">
        <f t="shared" si="60"/>
        <v>893807.36194519117</v>
      </c>
      <c r="EB116">
        <f t="shared" si="61"/>
        <v>873045.10770683433</v>
      </c>
      <c r="EC116">
        <f t="shared" si="62"/>
        <v>172667.98047041756</v>
      </c>
      <c r="ED116">
        <f t="shared" si="63"/>
        <v>158275.61400955019</v>
      </c>
      <c r="EE116">
        <f t="shared" si="64"/>
        <v>339889.57649215817</v>
      </c>
      <c r="EF116">
        <f t="shared" si="65"/>
        <v>1066157.8740950515</v>
      </c>
      <c r="EG116">
        <f t="shared" si="66"/>
        <v>2400668.2565451581</v>
      </c>
      <c r="EH116">
        <f t="shared" si="67"/>
        <v>2048167.0876273166</v>
      </c>
      <c r="EI116">
        <f t="shared" si="68"/>
        <v>2607288.2817202033</v>
      </c>
      <c r="EJ116">
        <f t="shared" si="69"/>
        <v>2223661.2399123828</v>
      </c>
      <c r="EK116">
        <f t="shared" si="70"/>
        <v>572206.44202303689</v>
      </c>
      <c r="EL116">
        <f t="shared" si="71"/>
        <v>1331605.0107849902</v>
      </c>
      <c r="EM116">
        <f t="shared" si="72"/>
        <v>1055708.2325378691</v>
      </c>
      <c r="EN116">
        <f t="shared" si="73"/>
        <v>13763.763575251673</v>
      </c>
    </row>
    <row r="117" spans="2:144" x14ac:dyDescent="0.35">
      <c r="B117" s="87">
        <v>0</v>
      </c>
      <c r="C117" s="87">
        <v>0</v>
      </c>
      <c r="D117" s="87">
        <v>0</v>
      </c>
      <c r="E117" s="87">
        <v>0</v>
      </c>
      <c r="F117" s="87">
        <v>0</v>
      </c>
      <c r="G117" s="87">
        <v>0</v>
      </c>
      <c r="H117" s="87">
        <v>0</v>
      </c>
      <c r="I117" s="87">
        <v>0</v>
      </c>
      <c r="J117" s="87">
        <v>0</v>
      </c>
      <c r="K117" s="87">
        <v>0</v>
      </c>
      <c r="L117" s="87">
        <v>0</v>
      </c>
      <c r="M117" s="87">
        <v>0</v>
      </c>
      <c r="N117" s="87">
        <v>0</v>
      </c>
      <c r="O117" s="87">
        <v>0</v>
      </c>
      <c r="P117" s="87">
        <v>0</v>
      </c>
      <c r="Q117" s="87">
        <v>0</v>
      </c>
      <c r="R117" s="87">
        <v>0</v>
      </c>
      <c r="S117" s="87">
        <v>0</v>
      </c>
      <c r="T117" s="87">
        <v>0</v>
      </c>
      <c r="U117" s="87">
        <v>0</v>
      </c>
      <c r="V117" s="87">
        <v>0</v>
      </c>
      <c r="W117" s="87">
        <v>0</v>
      </c>
      <c r="X117" s="87">
        <v>0</v>
      </c>
      <c r="Y117" s="87">
        <v>0</v>
      </c>
      <c r="Z117" s="87">
        <v>0</v>
      </c>
      <c r="AA117" s="87">
        <v>0</v>
      </c>
      <c r="AB117" s="87">
        <v>0</v>
      </c>
      <c r="AC117" s="87">
        <v>0</v>
      </c>
      <c r="AD117" s="87">
        <v>0</v>
      </c>
      <c r="AE117" s="87">
        <v>0</v>
      </c>
      <c r="AF117" s="87">
        <v>0</v>
      </c>
      <c r="AG117" s="87">
        <v>0</v>
      </c>
      <c r="AH117" s="87">
        <v>0</v>
      </c>
      <c r="AI117" s="87">
        <v>0</v>
      </c>
      <c r="AJ117" s="87">
        <v>0</v>
      </c>
      <c r="AK117" s="87">
        <v>0</v>
      </c>
      <c r="AL117" s="87">
        <v>0</v>
      </c>
      <c r="AM117" s="87">
        <v>0</v>
      </c>
      <c r="AN117" s="87">
        <v>1</v>
      </c>
      <c r="AO117" s="87">
        <v>0</v>
      </c>
      <c r="AP117" s="87">
        <v>0</v>
      </c>
      <c r="AQ117" s="87">
        <v>0</v>
      </c>
      <c r="AR117" s="87">
        <v>0</v>
      </c>
      <c r="AS117" s="87">
        <v>0</v>
      </c>
      <c r="AT117" s="87">
        <v>0</v>
      </c>
      <c r="AU117" s="87">
        <v>0</v>
      </c>
      <c r="AV117" s="87">
        <v>0</v>
      </c>
      <c r="AW117" s="87">
        <v>0</v>
      </c>
      <c r="AX117" s="87">
        <v>0</v>
      </c>
      <c r="AY117" s="87">
        <v>0</v>
      </c>
      <c r="AZ117" s="87">
        <v>0</v>
      </c>
      <c r="BA117" s="87">
        <v>0</v>
      </c>
      <c r="BB117" s="87">
        <v>0</v>
      </c>
      <c r="BC117" s="87">
        <v>0</v>
      </c>
      <c r="BD117" s="87">
        <v>0</v>
      </c>
      <c r="BE117" s="87">
        <v>0</v>
      </c>
      <c r="BF117" s="87">
        <v>0</v>
      </c>
      <c r="BG117" s="87">
        <v>0</v>
      </c>
      <c r="BH117" s="87">
        <v>0</v>
      </c>
      <c r="BI117" s="87">
        <v>0</v>
      </c>
      <c r="BJ117" s="87">
        <v>0</v>
      </c>
      <c r="BK117" s="87">
        <v>0</v>
      </c>
      <c r="BL117" s="87">
        <v>0</v>
      </c>
      <c r="BM117" s="87">
        <v>0</v>
      </c>
      <c r="BN117" s="87">
        <v>0</v>
      </c>
      <c r="BO117" s="87">
        <v>0</v>
      </c>
      <c r="BP117" s="87">
        <v>0</v>
      </c>
      <c r="BQ117" s="87">
        <v>0</v>
      </c>
      <c r="BR117" s="87">
        <v>0</v>
      </c>
      <c r="BS117" s="87">
        <v>0</v>
      </c>
      <c r="BW117">
        <f>BW116</f>
        <v>232672.48590733891</v>
      </c>
      <c r="BX117">
        <f t="shared" si="5"/>
        <v>34839.716621068001</v>
      </c>
      <c r="BY117">
        <f t="shared" si="6"/>
        <v>371094.06353103736</v>
      </c>
      <c r="BZ117">
        <f t="shared" si="7"/>
        <v>76179.776535406141</v>
      </c>
      <c r="CA117">
        <f t="shared" si="8"/>
        <v>15011.396028380053</v>
      </c>
      <c r="CB117">
        <f t="shared" si="9"/>
        <v>51551.176130883803</v>
      </c>
      <c r="CC117">
        <f t="shared" si="10"/>
        <v>177768.63125311004</v>
      </c>
      <c r="CD117">
        <f t="shared" si="11"/>
        <v>128259.05724192546</v>
      </c>
      <c r="CE117">
        <f t="shared" si="12"/>
        <v>278847.59643141937</v>
      </c>
      <c r="CF117">
        <f t="shared" si="13"/>
        <v>119292.47302789842</v>
      </c>
      <c r="CG117">
        <f t="shared" si="14"/>
        <v>83770.04231671372</v>
      </c>
      <c r="CH117">
        <f t="shared" si="15"/>
        <v>300092.07254081866</v>
      </c>
      <c r="CI117">
        <f t="shared" si="16"/>
        <v>239004.30542355054</v>
      </c>
      <c r="CJ117">
        <f t="shared" si="17"/>
        <v>373508.54190304613</v>
      </c>
      <c r="CK117">
        <f t="shared" si="18"/>
        <v>335805.16136012977</v>
      </c>
      <c r="CL117">
        <f t="shared" si="19"/>
        <v>78625.343120143414</v>
      </c>
      <c r="CM117">
        <f t="shared" si="20"/>
        <v>243781.44385618682</v>
      </c>
      <c r="CN117">
        <f t="shared" si="21"/>
        <v>548861.54802201549</v>
      </c>
      <c r="CO117">
        <f t="shared" si="22"/>
        <v>143806.93864198707</v>
      </c>
      <c r="CP117">
        <f t="shared" si="23"/>
        <v>465205.04703729611</v>
      </c>
      <c r="CQ117">
        <f t="shared" si="24"/>
        <v>342340.40920507541</v>
      </c>
      <c r="CR117">
        <f t="shared" si="25"/>
        <v>216877.32727484047</v>
      </c>
      <c r="CS117">
        <f t="shared" si="26"/>
        <v>202257.42757550368</v>
      </c>
      <c r="CT117">
        <f t="shared" si="27"/>
        <v>45234.347346962793</v>
      </c>
      <c r="CU117">
        <f t="shared" si="28"/>
        <v>46567.357189394708</v>
      </c>
      <c r="CV117">
        <f t="shared" si="29"/>
        <v>174837.79805898081</v>
      </c>
      <c r="CW117">
        <f t="shared" si="30"/>
        <v>280799.51465892419</v>
      </c>
      <c r="CX117">
        <f t="shared" si="31"/>
        <v>535023.54635062267</v>
      </c>
      <c r="CY117">
        <f t="shared" si="32"/>
        <v>559587.29484140966</v>
      </c>
      <c r="CZ117">
        <f t="shared" si="33"/>
        <v>895036.38006964535</v>
      </c>
      <c r="DA117">
        <f t="shared" si="34"/>
        <v>396678.46605921059</v>
      </c>
      <c r="DB117">
        <f t="shared" si="35"/>
        <v>234239.97799612756</v>
      </c>
      <c r="DC117">
        <f t="shared" si="36"/>
        <v>473059.82230215718</v>
      </c>
      <c r="DD117">
        <f t="shared" si="37"/>
        <v>287782.4716443739</v>
      </c>
      <c r="DE117">
        <f t="shared" si="38"/>
        <v>16054.733336787096</v>
      </c>
      <c r="DF117">
        <f t="shared" si="39"/>
        <v>1286310.0508836138</v>
      </c>
      <c r="DG117">
        <f t="shared" si="40"/>
        <v>893143.98897724436</v>
      </c>
      <c r="DH117">
        <f t="shared" si="41"/>
        <v>1623548.423859294</v>
      </c>
      <c r="DI117">
        <f t="shared" si="42"/>
        <v>722831.67721237696</v>
      </c>
      <c r="DJ117">
        <f t="shared" si="43"/>
        <v>107926.25122295273</v>
      </c>
      <c r="DK117">
        <f t="shared" si="44"/>
        <v>242301.8182004696</v>
      </c>
      <c r="DL117">
        <f t="shared" si="45"/>
        <v>659312.97889831674</v>
      </c>
      <c r="DM117">
        <f t="shared" si="46"/>
        <v>524533.04434630182</v>
      </c>
      <c r="DN117">
        <f t="shared" si="47"/>
        <v>1075349.3540120444</v>
      </c>
      <c r="DO117">
        <f t="shared" si="48"/>
        <v>511028.73918927449</v>
      </c>
      <c r="DP117">
        <f t="shared" si="49"/>
        <v>407559.59327890177</v>
      </c>
      <c r="DQ117">
        <f t="shared" si="50"/>
        <v>1569650.1165033495</v>
      </c>
      <c r="DR117">
        <f t="shared" si="51"/>
        <v>957347.05206124531</v>
      </c>
      <c r="DS117">
        <f t="shared" si="52"/>
        <v>3083124.2803492225</v>
      </c>
      <c r="DT117">
        <f t="shared" si="53"/>
        <v>1424345.6888533481</v>
      </c>
      <c r="DU117">
        <f t="shared" si="54"/>
        <v>286432.00777863746</v>
      </c>
      <c r="DV117">
        <f t="shared" si="55"/>
        <v>821100.50361601345</v>
      </c>
      <c r="DW117">
        <f t="shared" si="56"/>
        <v>2299136.698331038</v>
      </c>
      <c r="DX117">
        <f t="shared" si="57"/>
        <v>293014.52491573431</v>
      </c>
      <c r="DY117">
        <f t="shared" si="58"/>
        <v>1915092.0855130535</v>
      </c>
      <c r="DZ117">
        <f t="shared" si="59"/>
        <v>1424598.8141382507</v>
      </c>
      <c r="EA117">
        <f t="shared" si="60"/>
        <v>893807.36194519117</v>
      </c>
      <c r="EB117">
        <f t="shared" si="61"/>
        <v>873045.10770683433</v>
      </c>
      <c r="EC117">
        <f t="shared" si="62"/>
        <v>172667.98047041756</v>
      </c>
      <c r="ED117">
        <f t="shared" si="63"/>
        <v>158275.61400955019</v>
      </c>
      <c r="EE117">
        <f t="shared" si="64"/>
        <v>339889.57649215817</v>
      </c>
      <c r="EF117">
        <f t="shared" si="65"/>
        <v>1066157.8740950515</v>
      </c>
      <c r="EG117">
        <f t="shared" si="66"/>
        <v>2400668.2565451581</v>
      </c>
      <c r="EH117">
        <f t="shared" si="67"/>
        <v>2048167.0876273166</v>
      </c>
      <c r="EI117">
        <f t="shared" si="68"/>
        <v>2607288.2817202033</v>
      </c>
      <c r="EJ117">
        <f t="shared" si="69"/>
        <v>2223661.2399123828</v>
      </c>
      <c r="EK117">
        <f t="shared" si="70"/>
        <v>572206.44202303689</v>
      </c>
      <c r="EL117">
        <f t="shared" si="71"/>
        <v>1331605.0107849902</v>
      </c>
      <c r="EM117">
        <f t="shared" si="72"/>
        <v>1055708.2325378691</v>
      </c>
      <c r="EN117">
        <f t="shared" si="73"/>
        <v>13763.763575251673</v>
      </c>
    </row>
    <row r="118" spans="2:144" x14ac:dyDescent="0.35">
      <c r="B118" s="87">
        <v>0</v>
      </c>
      <c r="C118" s="87">
        <v>0</v>
      </c>
      <c r="D118" s="87">
        <v>0</v>
      </c>
      <c r="E118" s="87">
        <v>0</v>
      </c>
      <c r="F118" s="87">
        <v>0</v>
      </c>
      <c r="G118" s="87">
        <v>0</v>
      </c>
      <c r="H118" s="87">
        <v>0</v>
      </c>
      <c r="I118" s="87">
        <v>0</v>
      </c>
      <c r="J118" s="87">
        <v>0</v>
      </c>
      <c r="K118" s="87">
        <v>0</v>
      </c>
      <c r="L118" s="87">
        <v>0</v>
      </c>
      <c r="M118" s="87">
        <v>0</v>
      </c>
      <c r="N118" s="87">
        <v>0</v>
      </c>
      <c r="O118" s="87">
        <v>0</v>
      </c>
      <c r="P118" s="87">
        <v>0</v>
      </c>
      <c r="Q118" s="87">
        <v>0</v>
      </c>
      <c r="R118" s="87">
        <v>0</v>
      </c>
      <c r="S118" s="87">
        <v>0</v>
      </c>
      <c r="T118" s="87">
        <v>0</v>
      </c>
      <c r="U118" s="87">
        <v>0</v>
      </c>
      <c r="V118" s="87">
        <v>0</v>
      </c>
      <c r="W118" s="87">
        <v>0</v>
      </c>
      <c r="X118" s="87">
        <v>0</v>
      </c>
      <c r="Y118" s="87">
        <v>0</v>
      </c>
      <c r="Z118" s="87">
        <v>0</v>
      </c>
      <c r="AA118" s="87">
        <v>0</v>
      </c>
      <c r="AB118" s="87">
        <v>0</v>
      </c>
      <c r="AC118" s="87">
        <v>0</v>
      </c>
      <c r="AD118" s="87">
        <v>0</v>
      </c>
      <c r="AE118" s="87">
        <v>0</v>
      </c>
      <c r="AF118" s="87">
        <v>0</v>
      </c>
      <c r="AG118" s="87">
        <v>0</v>
      </c>
      <c r="AH118" s="87">
        <v>0</v>
      </c>
      <c r="AI118" s="87">
        <v>0</v>
      </c>
      <c r="AJ118" s="87">
        <v>0</v>
      </c>
      <c r="AK118" s="87">
        <v>0</v>
      </c>
      <c r="AL118" s="87">
        <v>0</v>
      </c>
      <c r="AM118" s="87">
        <v>0</v>
      </c>
      <c r="AN118" s="87">
        <v>0</v>
      </c>
      <c r="AO118" s="87">
        <v>1</v>
      </c>
      <c r="AP118" s="87">
        <v>0</v>
      </c>
      <c r="AQ118" s="87">
        <v>0</v>
      </c>
      <c r="AR118" s="87">
        <v>0</v>
      </c>
      <c r="AS118" s="87">
        <v>0</v>
      </c>
      <c r="AT118" s="87">
        <v>0</v>
      </c>
      <c r="AU118" s="87">
        <v>0</v>
      </c>
      <c r="AV118" s="87">
        <v>0</v>
      </c>
      <c r="AW118" s="87">
        <v>0</v>
      </c>
      <c r="AX118" s="87">
        <v>0</v>
      </c>
      <c r="AY118" s="87">
        <v>0</v>
      </c>
      <c r="AZ118" s="87">
        <v>0</v>
      </c>
      <c r="BA118" s="87">
        <v>0</v>
      </c>
      <c r="BB118" s="87">
        <v>0</v>
      </c>
      <c r="BC118" s="87">
        <v>0</v>
      </c>
      <c r="BD118" s="87">
        <v>0</v>
      </c>
      <c r="BE118" s="87">
        <v>0</v>
      </c>
      <c r="BF118" s="87">
        <v>0</v>
      </c>
      <c r="BG118" s="87">
        <v>0</v>
      </c>
      <c r="BH118" s="87">
        <v>0</v>
      </c>
      <c r="BI118" s="87">
        <v>0</v>
      </c>
      <c r="BJ118" s="87">
        <v>0</v>
      </c>
      <c r="BK118" s="87">
        <v>0</v>
      </c>
      <c r="BL118" s="87">
        <v>0</v>
      </c>
      <c r="BM118" s="87">
        <v>0</v>
      </c>
      <c r="BN118" s="87">
        <v>0</v>
      </c>
      <c r="BO118" s="87">
        <v>0</v>
      </c>
      <c r="BP118" s="87">
        <v>0</v>
      </c>
      <c r="BQ118" s="87">
        <v>0</v>
      </c>
      <c r="BR118" s="87">
        <v>0</v>
      </c>
      <c r="BS118" s="87">
        <v>0</v>
      </c>
      <c r="BW118">
        <f t="shared" ref="BW118:BW130" si="74">BW117</f>
        <v>232672.48590733891</v>
      </c>
      <c r="BX118">
        <f t="shared" ref="BX118:BX149" si="75">BX117</f>
        <v>34839.716621068001</v>
      </c>
      <c r="BY118">
        <f t="shared" ref="BY118:BY149" si="76">BY117</f>
        <v>371094.06353103736</v>
      </c>
      <c r="BZ118">
        <f t="shared" ref="BZ118:BZ149" si="77">BZ117</f>
        <v>76179.776535406141</v>
      </c>
      <c r="CA118">
        <f t="shared" ref="CA118:CA149" si="78">CA117</f>
        <v>15011.396028380053</v>
      </c>
      <c r="CB118">
        <f t="shared" ref="CB118:CB149" si="79">CB117</f>
        <v>51551.176130883803</v>
      </c>
      <c r="CC118">
        <f t="shared" ref="CC118:CC149" si="80">CC117</f>
        <v>177768.63125311004</v>
      </c>
      <c r="CD118">
        <f t="shared" ref="CD118:CD149" si="81">CD117</f>
        <v>128259.05724192546</v>
      </c>
      <c r="CE118">
        <f t="shared" ref="CE118:CE149" si="82">CE117</f>
        <v>278847.59643141937</v>
      </c>
      <c r="CF118">
        <f t="shared" ref="CF118:CF149" si="83">CF117</f>
        <v>119292.47302789842</v>
      </c>
      <c r="CG118">
        <f t="shared" ref="CG118:CG149" si="84">CG117</f>
        <v>83770.04231671372</v>
      </c>
      <c r="CH118">
        <f t="shared" ref="CH118:CH149" si="85">CH117</f>
        <v>300092.07254081866</v>
      </c>
      <c r="CI118">
        <f t="shared" ref="CI118:CI149" si="86">CI117</f>
        <v>239004.30542355054</v>
      </c>
      <c r="CJ118">
        <f t="shared" ref="CJ118:CJ149" si="87">CJ117</f>
        <v>373508.54190304613</v>
      </c>
      <c r="CK118">
        <f t="shared" ref="CK118:CK149" si="88">CK117</f>
        <v>335805.16136012977</v>
      </c>
      <c r="CL118">
        <f t="shared" ref="CL118:CL149" si="89">CL117</f>
        <v>78625.343120143414</v>
      </c>
      <c r="CM118">
        <f t="shared" ref="CM118:CM149" si="90">CM117</f>
        <v>243781.44385618682</v>
      </c>
      <c r="CN118">
        <f t="shared" ref="CN118:CN149" si="91">CN117</f>
        <v>548861.54802201549</v>
      </c>
      <c r="CO118">
        <f t="shared" ref="CO118:CO149" si="92">CO117</f>
        <v>143806.93864198707</v>
      </c>
      <c r="CP118">
        <f t="shared" ref="CP118:CP149" si="93">CP117</f>
        <v>465205.04703729611</v>
      </c>
      <c r="CQ118">
        <f t="shared" ref="CQ118:CQ149" si="94">CQ117</f>
        <v>342340.40920507541</v>
      </c>
      <c r="CR118">
        <f t="shared" ref="CR118:CR149" si="95">CR117</f>
        <v>216877.32727484047</v>
      </c>
      <c r="CS118">
        <f t="shared" ref="CS118:CS149" si="96">CS117</f>
        <v>202257.42757550368</v>
      </c>
      <c r="CT118">
        <f t="shared" ref="CT118:CT149" si="97">CT117</f>
        <v>45234.347346962793</v>
      </c>
      <c r="CU118">
        <f t="shared" ref="CU118:CU149" si="98">CU117</f>
        <v>46567.357189394708</v>
      </c>
      <c r="CV118">
        <f t="shared" ref="CV118:CV149" si="99">CV117</f>
        <v>174837.79805898081</v>
      </c>
      <c r="CW118">
        <f t="shared" ref="CW118:CW149" si="100">CW117</f>
        <v>280799.51465892419</v>
      </c>
      <c r="CX118">
        <f t="shared" ref="CX118:CX149" si="101">CX117</f>
        <v>535023.54635062267</v>
      </c>
      <c r="CY118">
        <f t="shared" ref="CY118:CY149" si="102">CY117</f>
        <v>559587.29484140966</v>
      </c>
      <c r="CZ118">
        <f t="shared" ref="CZ118:CZ149" si="103">CZ117</f>
        <v>895036.38006964535</v>
      </c>
      <c r="DA118">
        <f t="shared" ref="DA118:DA149" si="104">DA117</f>
        <v>396678.46605921059</v>
      </c>
      <c r="DB118">
        <f t="shared" ref="DB118:DB149" si="105">DB117</f>
        <v>234239.97799612756</v>
      </c>
      <c r="DC118">
        <f t="shared" ref="DC118:DC149" si="106">DC117</f>
        <v>473059.82230215718</v>
      </c>
      <c r="DD118">
        <f t="shared" ref="DD118:DD149" si="107">DD117</f>
        <v>287782.4716443739</v>
      </c>
      <c r="DE118">
        <f t="shared" ref="DE118:DE149" si="108">DE117</f>
        <v>16054.733336787096</v>
      </c>
      <c r="DF118">
        <f t="shared" ref="DF118:DF149" si="109">DF117</f>
        <v>1286310.0508836138</v>
      </c>
      <c r="DG118">
        <f t="shared" ref="DG118:DG149" si="110">DG117</f>
        <v>893143.98897724436</v>
      </c>
      <c r="DH118">
        <f t="shared" ref="DH118:DH149" si="111">DH117</f>
        <v>1623548.423859294</v>
      </c>
      <c r="DI118">
        <f t="shared" ref="DI118:DI149" si="112">DI117</f>
        <v>722831.67721237696</v>
      </c>
      <c r="DJ118">
        <f t="shared" ref="DJ118:DJ149" si="113">DJ117</f>
        <v>107926.25122295273</v>
      </c>
      <c r="DK118">
        <f t="shared" ref="DK118:DK149" si="114">DK117</f>
        <v>242301.8182004696</v>
      </c>
      <c r="DL118">
        <f t="shared" ref="DL118:DL149" si="115">DL117</f>
        <v>659312.97889831674</v>
      </c>
      <c r="DM118">
        <f t="shared" ref="DM118:DM149" si="116">DM117</f>
        <v>524533.04434630182</v>
      </c>
      <c r="DN118">
        <f t="shared" ref="DN118:DN149" si="117">DN117</f>
        <v>1075349.3540120444</v>
      </c>
      <c r="DO118">
        <f t="shared" ref="DO118:DO149" si="118">DO117</f>
        <v>511028.73918927449</v>
      </c>
      <c r="DP118">
        <f t="shared" ref="DP118:DP149" si="119">DP117</f>
        <v>407559.59327890177</v>
      </c>
      <c r="DQ118">
        <f t="shared" ref="DQ118:DQ149" si="120">DQ117</f>
        <v>1569650.1165033495</v>
      </c>
      <c r="DR118">
        <f t="shared" ref="DR118:DR149" si="121">DR117</f>
        <v>957347.05206124531</v>
      </c>
      <c r="DS118">
        <f t="shared" ref="DS118:DS149" si="122">DS117</f>
        <v>3083124.2803492225</v>
      </c>
      <c r="DT118">
        <f t="shared" ref="DT118:DT149" si="123">DT117</f>
        <v>1424345.6888533481</v>
      </c>
      <c r="DU118">
        <f t="shared" ref="DU118:DU149" si="124">DU117</f>
        <v>286432.00777863746</v>
      </c>
      <c r="DV118">
        <f t="shared" ref="DV118:DV149" si="125">DV117</f>
        <v>821100.50361601345</v>
      </c>
      <c r="DW118">
        <f t="shared" ref="DW118:DW149" si="126">DW117</f>
        <v>2299136.698331038</v>
      </c>
      <c r="DX118">
        <f t="shared" ref="DX118:DX149" si="127">DX117</f>
        <v>293014.52491573431</v>
      </c>
      <c r="DY118">
        <f t="shared" ref="DY118:DY149" si="128">DY117</f>
        <v>1915092.0855130535</v>
      </c>
      <c r="DZ118">
        <f t="shared" ref="DZ118:DZ149" si="129">DZ117</f>
        <v>1424598.8141382507</v>
      </c>
      <c r="EA118">
        <f t="shared" ref="EA118:EA149" si="130">EA117</f>
        <v>893807.36194519117</v>
      </c>
      <c r="EB118">
        <f t="shared" ref="EB118:EB149" si="131">EB117</f>
        <v>873045.10770683433</v>
      </c>
      <c r="EC118">
        <f t="shared" ref="EC118:EC149" si="132">EC117</f>
        <v>172667.98047041756</v>
      </c>
      <c r="ED118">
        <f t="shared" ref="ED118:ED149" si="133">ED117</f>
        <v>158275.61400955019</v>
      </c>
      <c r="EE118">
        <f t="shared" ref="EE118:EE149" si="134">EE117</f>
        <v>339889.57649215817</v>
      </c>
      <c r="EF118">
        <f t="shared" ref="EF118:EF149" si="135">EF117</f>
        <v>1066157.8740950515</v>
      </c>
      <c r="EG118">
        <f t="shared" ref="EG118:EG149" si="136">EG117</f>
        <v>2400668.2565451581</v>
      </c>
      <c r="EH118">
        <f t="shared" ref="EH118:EH149" si="137">EH117</f>
        <v>2048167.0876273166</v>
      </c>
      <c r="EI118">
        <f t="shared" ref="EI118:EI149" si="138">EI117</f>
        <v>2607288.2817202033</v>
      </c>
      <c r="EJ118">
        <f t="shared" ref="EJ118:EJ149" si="139">EJ117</f>
        <v>2223661.2399123828</v>
      </c>
      <c r="EK118">
        <f t="shared" ref="EK118:EK149" si="140">EK117</f>
        <v>572206.44202303689</v>
      </c>
      <c r="EL118">
        <f t="shared" ref="EL118:EL149" si="141">EL117</f>
        <v>1331605.0107849902</v>
      </c>
      <c r="EM118">
        <f t="shared" ref="EM118:EM149" si="142">EM117</f>
        <v>1055708.2325378691</v>
      </c>
      <c r="EN118">
        <f t="shared" ref="EN118:EN149" si="143">EN117</f>
        <v>13763.763575251673</v>
      </c>
    </row>
    <row r="119" spans="2:144" x14ac:dyDescent="0.35">
      <c r="B119" s="87">
        <v>0</v>
      </c>
      <c r="C119" s="87">
        <v>0</v>
      </c>
      <c r="D119" s="87">
        <v>0</v>
      </c>
      <c r="E119" s="87">
        <v>0</v>
      </c>
      <c r="F119" s="87">
        <v>0</v>
      </c>
      <c r="G119" s="87">
        <v>0</v>
      </c>
      <c r="H119" s="87">
        <v>0</v>
      </c>
      <c r="I119" s="87">
        <v>0</v>
      </c>
      <c r="J119" s="87">
        <v>0</v>
      </c>
      <c r="K119" s="87">
        <v>0</v>
      </c>
      <c r="L119" s="87">
        <v>0</v>
      </c>
      <c r="M119" s="87">
        <v>0</v>
      </c>
      <c r="N119" s="87">
        <v>0</v>
      </c>
      <c r="O119" s="87">
        <v>0</v>
      </c>
      <c r="P119" s="87">
        <v>0</v>
      </c>
      <c r="Q119" s="87">
        <v>0</v>
      </c>
      <c r="R119" s="87">
        <v>0</v>
      </c>
      <c r="S119" s="87">
        <v>0</v>
      </c>
      <c r="T119" s="87">
        <v>0</v>
      </c>
      <c r="U119" s="87">
        <v>0</v>
      </c>
      <c r="V119" s="87">
        <v>0</v>
      </c>
      <c r="W119" s="87">
        <v>0</v>
      </c>
      <c r="X119" s="87">
        <v>0</v>
      </c>
      <c r="Y119" s="87">
        <v>0</v>
      </c>
      <c r="Z119" s="87">
        <v>0</v>
      </c>
      <c r="AA119" s="87">
        <v>0</v>
      </c>
      <c r="AB119" s="87">
        <v>0</v>
      </c>
      <c r="AC119" s="87">
        <v>0</v>
      </c>
      <c r="AD119" s="87">
        <v>0</v>
      </c>
      <c r="AE119" s="87">
        <v>0</v>
      </c>
      <c r="AF119" s="87">
        <v>0</v>
      </c>
      <c r="AG119" s="87">
        <v>0</v>
      </c>
      <c r="AH119" s="87">
        <v>0</v>
      </c>
      <c r="AI119" s="87">
        <v>0</v>
      </c>
      <c r="AJ119" s="87">
        <v>0</v>
      </c>
      <c r="AK119" s="87">
        <v>0</v>
      </c>
      <c r="AL119" s="87">
        <v>0</v>
      </c>
      <c r="AM119" s="87">
        <v>0</v>
      </c>
      <c r="AN119" s="87">
        <v>0</v>
      </c>
      <c r="AO119" s="87">
        <v>0</v>
      </c>
      <c r="AP119" s="87">
        <v>1</v>
      </c>
      <c r="AQ119" s="87">
        <v>0</v>
      </c>
      <c r="AR119" s="87">
        <v>0</v>
      </c>
      <c r="AS119" s="87">
        <v>0</v>
      </c>
      <c r="AT119" s="87">
        <v>0</v>
      </c>
      <c r="AU119" s="87">
        <v>0</v>
      </c>
      <c r="AV119" s="87">
        <v>0</v>
      </c>
      <c r="AW119" s="87">
        <v>0</v>
      </c>
      <c r="AX119" s="87">
        <v>0</v>
      </c>
      <c r="AY119" s="87">
        <v>0</v>
      </c>
      <c r="AZ119" s="87">
        <v>0</v>
      </c>
      <c r="BA119" s="87">
        <v>0</v>
      </c>
      <c r="BB119" s="87">
        <v>0</v>
      </c>
      <c r="BC119" s="87">
        <v>0</v>
      </c>
      <c r="BD119" s="87">
        <v>0</v>
      </c>
      <c r="BE119" s="87">
        <v>0</v>
      </c>
      <c r="BF119" s="87">
        <v>0</v>
      </c>
      <c r="BG119" s="87">
        <v>0</v>
      </c>
      <c r="BH119" s="87">
        <v>0</v>
      </c>
      <c r="BI119" s="87">
        <v>0</v>
      </c>
      <c r="BJ119" s="87">
        <v>0</v>
      </c>
      <c r="BK119" s="87">
        <v>0</v>
      </c>
      <c r="BL119" s="87">
        <v>0</v>
      </c>
      <c r="BM119" s="87">
        <v>0</v>
      </c>
      <c r="BN119" s="87">
        <v>0</v>
      </c>
      <c r="BO119" s="87">
        <v>0</v>
      </c>
      <c r="BP119" s="87">
        <v>0</v>
      </c>
      <c r="BQ119" s="87">
        <v>0</v>
      </c>
      <c r="BR119" s="87">
        <v>0</v>
      </c>
      <c r="BS119" s="87">
        <v>0</v>
      </c>
      <c r="BW119">
        <f t="shared" si="74"/>
        <v>232672.48590733891</v>
      </c>
      <c r="BX119">
        <f t="shared" si="75"/>
        <v>34839.716621068001</v>
      </c>
      <c r="BY119">
        <f t="shared" si="76"/>
        <v>371094.06353103736</v>
      </c>
      <c r="BZ119">
        <f t="shared" si="77"/>
        <v>76179.776535406141</v>
      </c>
      <c r="CA119">
        <f t="shared" si="78"/>
        <v>15011.396028380053</v>
      </c>
      <c r="CB119">
        <f t="shared" si="79"/>
        <v>51551.176130883803</v>
      </c>
      <c r="CC119">
        <f t="shared" si="80"/>
        <v>177768.63125311004</v>
      </c>
      <c r="CD119">
        <f t="shared" si="81"/>
        <v>128259.05724192546</v>
      </c>
      <c r="CE119">
        <f t="shared" si="82"/>
        <v>278847.59643141937</v>
      </c>
      <c r="CF119">
        <f t="shared" si="83"/>
        <v>119292.47302789842</v>
      </c>
      <c r="CG119">
        <f t="shared" si="84"/>
        <v>83770.04231671372</v>
      </c>
      <c r="CH119">
        <f t="shared" si="85"/>
        <v>300092.07254081866</v>
      </c>
      <c r="CI119">
        <f t="shared" si="86"/>
        <v>239004.30542355054</v>
      </c>
      <c r="CJ119">
        <f t="shared" si="87"/>
        <v>373508.54190304613</v>
      </c>
      <c r="CK119">
        <f t="shared" si="88"/>
        <v>335805.16136012977</v>
      </c>
      <c r="CL119">
        <f t="shared" si="89"/>
        <v>78625.343120143414</v>
      </c>
      <c r="CM119">
        <f t="shared" si="90"/>
        <v>243781.44385618682</v>
      </c>
      <c r="CN119">
        <f t="shared" si="91"/>
        <v>548861.54802201549</v>
      </c>
      <c r="CO119">
        <f t="shared" si="92"/>
        <v>143806.93864198707</v>
      </c>
      <c r="CP119">
        <f t="shared" si="93"/>
        <v>465205.04703729611</v>
      </c>
      <c r="CQ119">
        <f t="shared" si="94"/>
        <v>342340.40920507541</v>
      </c>
      <c r="CR119">
        <f t="shared" si="95"/>
        <v>216877.32727484047</v>
      </c>
      <c r="CS119">
        <f t="shared" si="96"/>
        <v>202257.42757550368</v>
      </c>
      <c r="CT119">
        <f t="shared" si="97"/>
        <v>45234.347346962793</v>
      </c>
      <c r="CU119">
        <f t="shared" si="98"/>
        <v>46567.357189394708</v>
      </c>
      <c r="CV119">
        <f t="shared" si="99"/>
        <v>174837.79805898081</v>
      </c>
      <c r="CW119">
        <f t="shared" si="100"/>
        <v>280799.51465892419</v>
      </c>
      <c r="CX119">
        <f t="shared" si="101"/>
        <v>535023.54635062267</v>
      </c>
      <c r="CY119">
        <f t="shared" si="102"/>
        <v>559587.29484140966</v>
      </c>
      <c r="CZ119">
        <f t="shared" si="103"/>
        <v>895036.38006964535</v>
      </c>
      <c r="DA119">
        <f t="shared" si="104"/>
        <v>396678.46605921059</v>
      </c>
      <c r="DB119">
        <f t="shared" si="105"/>
        <v>234239.97799612756</v>
      </c>
      <c r="DC119">
        <f t="shared" si="106"/>
        <v>473059.82230215718</v>
      </c>
      <c r="DD119">
        <f t="shared" si="107"/>
        <v>287782.4716443739</v>
      </c>
      <c r="DE119">
        <f t="shared" si="108"/>
        <v>16054.733336787096</v>
      </c>
      <c r="DF119">
        <f t="shared" si="109"/>
        <v>1286310.0508836138</v>
      </c>
      <c r="DG119">
        <f t="shared" si="110"/>
        <v>893143.98897724436</v>
      </c>
      <c r="DH119">
        <f t="shared" si="111"/>
        <v>1623548.423859294</v>
      </c>
      <c r="DI119">
        <f t="shared" si="112"/>
        <v>722831.67721237696</v>
      </c>
      <c r="DJ119">
        <f t="shared" si="113"/>
        <v>107926.25122295273</v>
      </c>
      <c r="DK119">
        <f t="shared" si="114"/>
        <v>242301.8182004696</v>
      </c>
      <c r="DL119">
        <f t="shared" si="115"/>
        <v>659312.97889831674</v>
      </c>
      <c r="DM119">
        <f t="shared" si="116"/>
        <v>524533.04434630182</v>
      </c>
      <c r="DN119">
        <f t="shared" si="117"/>
        <v>1075349.3540120444</v>
      </c>
      <c r="DO119">
        <f t="shared" si="118"/>
        <v>511028.73918927449</v>
      </c>
      <c r="DP119">
        <f t="shared" si="119"/>
        <v>407559.59327890177</v>
      </c>
      <c r="DQ119">
        <f t="shared" si="120"/>
        <v>1569650.1165033495</v>
      </c>
      <c r="DR119">
        <f t="shared" si="121"/>
        <v>957347.05206124531</v>
      </c>
      <c r="DS119">
        <f t="shared" si="122"/>
        <v>3083124.2803492225</v>
      </c>
      <c r="DT119">
        <f t="shared" si="123"/>
        <v>1424345.6888533481</v>
      </c>
      <c r="DU119">
        <f t="shared" si="124"/>
        <v>286432.00777863746</v>
      </c>
      <c r="DV119">
        <f t="shared" si="125"/>
        <v>821100.50361601345</v>
      </c>
      <c r="DW119">
        <f t="shared" si="126"/>
        <v>2299136.698331038</v>
      </c>
      <c r="DX119">
        <f t="shared" si="127"/>
        <v>293014.52491573431</v>
      </c>
      <c r="DY119">
        <f t="shared" si="128"/>
        <v>1915092.0855130535</v>
      </c>
      <c r="DZ119">
        <f t="shared" si="129"/>
        <v>1424598.8141382507</v>
      </c>
      <c r="EA119">
        <f t="shared" si="130"/>
        <v>893807.36194519117</v>
      </c>
      <c r="EB119">
        <f t="shared" si="131"/>
        <v>873045.10770683433</v>
      </c>
      <c r="EC119">
        <f t="shared" si="132"/>
        <v>172667.98047041756</v>
      </c>
      <c r="ED119">
        <f t="shared" si="133"/>
        <v>158275.61400955019</v>
      </c>
      <c r="EE119">
        <f t="shared" si="134"/>
        <v>339889.57649215817</v>
      </c>
      <c r="EF119">
        <f t="shared" si="135"/>
        <v>1066157.8740950515</v>
      </c>
      <c r="EG119">
        <f t="shared" si="136"/>
        <v>2400668.2565451581</v>
      </c>
      <c r="EH119">
        <f t="shared" si="137"/>
        <v>2048167.0876273166</v>
      </c>
      <c r="EI119">
        <f t="shared" si="138"/>
        <v>2607288.2817202033</v>
      </c>
      <c r="EJ119">
        <f t="shared" si="139"/>
        <v>2223661.2399123828</v>
      </c>
      <c r="EK119">
        <f t="shared" si="140"/>
        <v>572206.44202303689</v>
      </c>
      <c r="EL119">
        <f t="shared" si="141"/>
        <v>1331605.0107849902</v>
      </c>
      <c r="EM119">
        <f t="shared" si="142"/>
        <v>1055708.2325378691</v>
      </c>
      <c r="EN119">
        <f t="shared" si="143"/>
        <v>13763.763575251673</v>
      </c>
    </row>
    <row r="120" spans="2:144" x14ac:dyDescent="0.35">
      <c r="B120" s="87">
        <v>0</v>
      </c>
      <c r="C120" s="87">
        <v>0</v>
      </c>
      <c r="D120" s="87">
        <v>0</v>
      </c>
      <c r="E120" s="87">
        <v>0</v>
      </c>
      <c r="F120" s="87">
        <v>0</v>
      </c>
      <c r="G120" s="87">
        <v>0</v>
      </c>
      <c r="H120" s="87">
        <v>0</v>
      </c>
      <c r="I120" s="87">
        <v>0</v>
      </c>
      <c r="J120" s="87">
        <v>0</v>
      </c>
      <c r="K120" s="87">
        <v>0</v>
      </c>
      <c r="L120" s="87">
        <v>0</v>
      </c>
      <c r="M120" s="87">
        <v>0</v>
      </c>
      <c r="N120" s="87">
        <v>0</v>
      </c>
      <c r="O120" s="87">
        <v>0</v>
      </c>
      <c r="P120" s="87">
        <v>0</v>
      </c>
      <c r="Q120" s="87">
        <v>0</v>
      </c>
      <c r="R120" s="87">
        <v>0</v>
      </c>
      <c r="S120" s="87">
        <v>0</v>
      </c>
      <c r="T120" s="87">
        <v>0</v>
      </c>
      <c r="U120" s="87">
        <v>0</v>
      </c>
      <c r="V120" s="87">
        <v>0</v>
      </c>
      <c r="W120" s="87">
        <v>0</v>
      </c>
      <c r="X120" s="87">
        <v>0</v>
      </c>
      <c r="Y120" s="87">
        <v>0</v>
      </c>
      <c r="Z120" s="87">
        <v>0</v>
      </c>
      <c r="AA120" s="87">
        <v>0</v>
      </c>
      <c r="AB120" s="87">
        <v>0</v>
      </c>
      <c r="AC120" s="87">
        <v>0</v>
      </c>
      <c r="AD120" s="87">
        <v>0</v>
      </c>
      <c r="AE120" s="87">
        <v>0</v>
      </c>
      <c r="AF120" s="87">
        <v>0</v>
      </c>
      <c r="AG120" s="87">
        <v>0</v>
      </c>
      <c r="AH120" s="87">
        <v>0</v>
      </c>
      <c r="AI120" s="87">
        <v>0</v>
      </c>
      <c r="AJ120" s="87">
        <v>0</v>
      </c>
      <c r="AK120" s="87">
        <v>0</v>
      </c>
      <c r="AL120" s="87">
        <v>0</v>
      </c>
      <c r="AM120" s="87">
        <v>0</v>
      </c>
      <c r="AN120" s="87">
        <v>0</v>
      </c>
      <c r="AO120" s="87">
        <v>0</v>
      </c>
      <c r="AP120" s="87">
        <v>0</v>
      </c>
      <c r="AQ120" s="87">
        <v>1</v>
      </c>
      <c r="AR120" s="87">
        <v>0</v>
      </c>
      <c r="AS120" s="87">
        <v>0</v>
      </c>
      <c r="AT120" s="87">
        <v>0</v>
      </c>
      <c r="AU120" s="87">
        <v>0</v>
      </c>
      <c r="AV120" s="87">
        <v>0</v>
      </c>
      <c r="AW120" s="87">
        <v>0</v>
      </c>
      <c r="AX120" s="87">
        <v>0</v>
      </c>
      <c r="AY120" s="87">
        <v>0</v>
      </c>
      <c r="AZ120" s="87">
        <v>0</v>
      </c>
      <c r="BA120" s="87">
        <v>0</v>
      </c>
      <c r="BB120" s="87">
        <v>0</v>
      </c>
      <c r="BC120" s="87">
        <v>0</v>
      </c>
      <c r="BD120" s="87">
        <v>0</v>
      </c>
      <c r="BE120" s="87">
        <v>0</v>
      </c>
      <c r="BF120" s="87">
        <v>0</v>
      </c>
      <c r="BG120" s="87">
        <v>0</v>
      </c>
      <c r="BH120" s="87">
        <v>0</v>
      </c>
      <c r="BI120" s="87">
        <v>0</v>
      </c>
      <c r="BJ120" s="87">
        <v>0</v>
      </c>
      <c r="BK120" s="87">
        <v>0</v>
      </c>
      <c r="BL120" s="87">
        <v>0</v>
      </c>
      <c r="BM120" s="87">
        <v>0</v>
      </c>
      <c r="BN120" s="87">
        <v>0</v>
      </c>
      <c r="BO120" s="87">
        <v>0</v>
      </c>
      <c r="BP120" s="87">
        <v>0</v>
      </c>
      <c r="BQ120" s="87">
        <v>0</v>
      </c>
      <c r="BR120" s="87">
        <v>0</v>
      </c>
      <c r="BS120" s="87">
        <v>0</v>
      </c>
      <c r="BW120">
        <f t="shared" si="74"/>
        <v>232672.48590733891</v>
      </c>
      <c r="BX120">
        <f t="shared" si="75"/>
        <v>34839.716621068001</v>
      </c>
      <c r="BY120">
        <f t="shared" si="76"/>
        <v>371094.06353103736</v>
      </c>
      <c r="BZ120">
        <f t="shared" si="77"/>
        <v>76179.776535406141</v>
      </c>
      <c r="CA120">
        <f t="shared" si="78"/>
        <v>15011.396028380053</v>
      </c>
      <c r="CB120">
        <f t="shared" si="79"/>
        <v>51551.176130883803</v>
      </c>
      <c r="CC120">
        <f t="shared" si="80"/>
        <v>177768.63125311004</v>
      </c>
      <c r="CD120">
        <f t="shared" si="81"/>
        <v>128259.05724192546</v>
      </c>
      <c r="CE120">
        <f t="shared" si="82"/>
        <v>278847.59643141937</v>
      </c>
      <c r="CF120">
        <f t="shared" si="83"/>
        <v>119292.47302789842</v>
      </c>
      <c r="CG120">
        <f t="shared" si="84"/>
        <v>83770.04231671372</v>
      </c>
      <c r="CH120">
        <f t="shared" si="85"/>
        <v>300092.07254081866</v>
      </c>
      <c r="CI120">
        <f t="shared" si="86"/>
        <v>239004.30542355054</v>
      </c>
      <c r="CJ120">
        <f t="shared" si="87"/>
        <v>373508.54190304613</v>
      </c>
      <c r="CK120">
        <f t="shared" si="88"/>
        <v>335805.16136012977</v>
      </c>
      <c r="CL120">
        <f t="shared" si="89"/>
        <v>78625.343120143414</v>
      </c>
      <c r="CM120">
        <f t="shared" si="90"/>
        <v>243781.44385618682</v>
      </c>
      <c r="CN120">
        <f t="shared" si="91"/>
        <v>548861.54802201549</v>
      </c>
      <c r="CO120">
        <f t="shared" si="92"/>
        <v>143806.93864198707</v>
      </c>
      <c r="CP120">
        <f t="shared" si="93"/>
        <v>465205.04703729611</v>
      </c>
      <c r="CQ120">
        <f t="shared" si="94"/>
        <v>342340.40920507541</v>
      </c>
      <c r="CR120">
        <f t="shared" si="95"/>
        <v>216877.32727484047</v>
      </c>
      <c r="CS120">
        <f t="shared" si="96"/>
        <v>202257.42757550368</v>
      </c>
      <c r="CT120">
        <f t="shared" si="97"/>
        <v>45234.347346962793</v>
      </c>
      <c r="CU120">
        <f t="shared" si="98"/>
        <v>46567.357189394708</v>
      </c>
      <c r="CV120">
        <f t="shared" si="99"/>
        <v>174837.79805898081</v>
      </c>
      <c r="CW120">
        <f t="shared" si="100"/>
        <v>280799.51465892419</v>
      </c>
      <c r="CX120">
        <f t="shared" si="101"/>
        <v>535023.54635062267</v>
      </c>
      <c r="CY120">
        <f t="shared" si="102"/>
        <v>559587.29484140966</v>
      </c>
      <c r="CZ120">
        <f t="shared" si="103"/>
        <v>895036.38006964535</v>
      </c>
      <c r="DA120">
        <f t="shared" si="104"/>
        <v>396678.46605921059</v>
      </c>
      <c r="DB120">
        <f t="shared" si="105"/>
        <v>234239.97799612756</v>
      </c>
      <c r="DC120">
        <f t="shared" si="106"/>
        <v>473059.82230215718</v>
      </c>
      <c r="DD120">
        <f t="shared" si="107"/>
        <v>287782.4716443739</v>
      </c>
      <c r="DE120">
        <f t="shared" si="108"/>
        <v>16054.733336787096</v>
      </c>
      <c r="DF120">
        <f t="shared" si="109"/>
        <v>1286310.0508836138</v>
      </c>
      <c r="DG120">
        <f t="shared" si="110"/>
        <v>893143.98897724436</v>
      </c>
      <c r="DH120">
        <f t="shared" si="111"/>
        <v>1623548.423859294</v>
      </c>
      <c r="DI120">
        <f t="shared" si="112"/>
        <v>722831.67721237696</v>
      </c>
      <c r="DJ120">
        <f t="shared" si="113"/>
        <v>107926.25122295273</v>
      </c>
      <c r="DK120">
        <f t="shared" si="114"/>
        <v>242301.8182004696</v>
      </c>
      <c r="DL120">
        <f t="shared" si="115"/>
        <v>659312.97889831674</v>
      </c>
      <c r="DM120">
        <f t="shared" si="116"/>
        <v>524533.04434630182</v>
      </c>
      <c r="DN120">
        <f t="shared" si="117"/>
        <v>1075349.3540120444</v>
      </c>
      <c r="DO120">
        <f t="shared" si="118"/>
        <v>511028.73918927449</v>
      </c>
      <c r="DP120">
        <f t="shared" si="119"/>
        <v>407559.59327890177</v>
      </c>
      <c r="DQ120">
        <f t="shared" si="120"/>
        <v>1569650.1165033495</v>
      </c>
      <c r="DR120">
        <f t="shared" si="121"/>
        <v>957347.05206124531</v>
      </c>
      <c r="DS120">
        <f t="shared" si="122"/>
        <v>3083124.2803492225</v>
      </c>
      <c r="DT120">
        <f t="shared" si="123"/>
        <v>1424345.6888533481</v>
      </c>
      <c r="DU120">
        <f t="shared" si="124"/>
        <v>286432.00777863746</v>
      </c>
      <c r="DV120">
        <f t="shared" si="125"/>
        <v>821100.50361601345</v>
      </c>
      <c r="DW120">
        <f t="shared" si="126"/>
        <v>2299136.698331038</v>
      </c>
      <c r="DX120">
        <f t="shared" si="127"/>
        <v>293014.52491573431</v>
      </c>
      <c r="DY120">
        <f t="shared" si="128"/>
        <v>1915092.0855130535</v>
      </c>
      <c r="DZ120">
        <f t="shared" si="129"/>
        <v>1424598.8141382507</v>
      </c>
      <c r="EA120">
        <f t="shared" si="130"/>
        <v>893807.36194519117</v>
      </c>
      <c r="EB120">
        <f t="shared" si="131"/>
        <v>873045.10770683433</v>
      </c>
      <c r="EC120">
        <f t="shared" si="132"/>
        <v>172667.98047041756</v>
      </c>
      <c r="ED120">
        <f t="shared" si="133"/>
        <v>158275.61400955019</v>
      </c>
      <c r="EE120">
        <f t="shared" si="134"/>
        <v>339889.57649215817</v>
      </c>
      <c r="EF120">
        <f t="shared" si="135"/>
        <v>1066157.8740950515</v>
      </c>
      <c r="EG120">
        <f t="shared" si="136"/>
        <v>2400668.2565451581</v>
      </c>
      <c r="EH120">
        <f t="shared" si="137"/>
        <v>2048167.0876273166</v>
      </c>
      <c r="EI120">
        <f t="shared" si="138"/>
        <v>2607288.2817202033</v>
      </c>
      <c r="EJ120">
        <f t="shared" si="139"/>
        <v>2223661.2399123828</v>
      </c>
      <c r="EK120">
        <f t="shared" si="140"/>
        <v>572206.44202303689</v>
      </c>
      <c r="EL120">
        <f t="shared" si="141"/>
        <v>1331605.0107849902</v>
      </c>
      <c r="EM120">
        <f t="shared" si="142"/>
        <v>1055708.2325378691</v>
      </c>
      <c r="EN120">
        <f t="shared" si="143"/>
        <v>13763.763575251673</v>
      </c>
    </row>
    <row r="121" spans="2:144" x14ac:dyDescent="0.35">
      <c r="B121" s="87">
        <v>0</v>
      </c>
      <c r="C121" s="87">
        <v>0</v>
      </c>
      <c r="D121" s="87">
        <v>0</v>
      </c>
      <c r="E121" s="87">
        <v>0</v>
      </c>
      <c r="F121" s="87">
        <v>0</v>
      </c>
      <c r="G121" s="87">
        <v>0</v>
      </c>
      <c r="H121" s="87">
        <v>0</v>
      </c>
      <c r="I121" s="87">
        <v>0</v>
      </c>
      <c r="J121" s="87">
        <v>0</v>
      </c>
      <c r="K121" s="87">
        <v>0</v>
      </c>
      <c r="L121" s="87">
        <v>0</v>
      </c>
      <c r="M121" s="87">
        <v>0</v>
      </c>
      <c r="N121" s="87">
        <v>0</v>
      </c>
      <c r="O121" s="87">
        <v>0</v>
      </c>
      <c r="P121" s="87">
        <v>0</v>
      </c>
      <c r="Q121" s="87">
        <v>0</v>
      </c>
      <c r="R121" s="87">
        <v>0</v>
      </c>
      <c r="S121" s="87">
        <v>0</v>
      </c>
      <c r="T121" s="87">
        <v>0</v>
      </c>
      <c r="U121" s="87">
        <v>0</v>
      </c>
      <c r="V121" s="87">
        <v>0</v>
      </c>
      <c r="W121" s="87">
        <v>0</v>
      </c>
      <c r="X121" s="87">
        <v>0</v>
      </c>
      <c r="Y121" s="87">
        <v>0</v>
      </c>
      <c r="Z121" s="87">
        <v>0</v>
      </c>
      <c r="AA121" s="87">
        <v>0</v>
      </c>
      <c r="AB121" s="87">
        <v>0</v>
      </c>
      <c r="AC121" s="87">
        <v>0</v>
      </c>
      <c r="AD121" s="87">
        <v>0</v>
      </c>
      <c r="AE121" s="87">
        <v>0</v>
      </c>
      <c r="AF121" s="87">
        <v>0</v>
      </c>
      <c r="AG121" s="87">
        <v>0</v>
      </c>
      <c r="AH121" s="87">
        <v>0</v>
      </c>
      <c r="AI121" s="87">
        <v>0</v>
      </c>
      <c r="AJ121" s="87">
        <v>0</v>
      </c>
      <c r="AK121" s="87">
        <v>0</v>
      </c>
      <c r="AL121" s="87">
        <v>0</v>
      </c>
      <c r="AM121" s="87">
        <v>0</v>
      </c>
      <c r="AN121" s="87">
        <v>0</v>
      </c>
      <c r="AO121" s="87">
        <v>0</v>
      </c>
      <c r="AP121" s="87">
        <v>0</v>
      </c>
      <c r="AQ121" s="87">
        <v>0</v>
      </c>
      <c r="AR121" s="87">
        <v>1</v>
      </c>
      <c r="AS121" s="87">
        <v>0</v>
      </c>
      <c r="AT121" s="87">
        <v>0</v>
      </c>
      <c r="AU121" s="87">
        <v>0</v>
      </c>
      <c r="AV121" s="87">
        <v>0</v>
      </c>
      <c r="AW121" s="87">
        <v>0</v>
      </c>
      <c r="AX121" s="87">
        <v>0</v>
      </c>
      <c r="AY121" s="87">
        <v>0</v>
      </c>
      <c r="AZ121" s="87">
        <v>0</v>
      </c>
      <c r="BA121" s="87">
        <v>0</v>
      </c>
      <c r="BB121" s="87">
        <v>0</v>
      </c>
      <c r="BC121" s="87">
        <v>0</v>
      </c>
      <c r="BD121" s="87">
        <v>0</v>
      </c>
      <c r="BE121" s="87">
        <v>0</v>
      </c>
      <c r="BF121" s="87">
        <v>0</v>
      </c>
      <c r="BG121" s="87">
        <v>0</v>
      </c>
      <c r="BH121" s="87">
        <v>0</v>
      </c>
      <c r="BI121" s="87">
        <v>0</v>
      </c>
      <c r="BJ121" s="87">
        <v>0</v>
      </c>
      <c r="BK121" s="87">
        <v>0</v>
      </c>
      <c r="BL121" s="87">
        <v>0</v>
      </c>
      <c r="BM121" s="87">
        <v>0</v>
      </c>
      <c r="BN121" s="87">
        <v>0</v>
      </c>
      <c r="BO121" s="87">
        <v>0</v>
      </c>
      <c r="BP121" s="87">
        <v>0</v>
      </c>
      <c r="BQ121" s="87">
        <v>0</v>
      </c>
      <c r="BR121" s="87">
        <v>0</v>
      </c>
      <c r="BS121" s="87">
        <v>0</v>
      </c>
      <c r="BW121">
        <f t="shared" si="74"/>
        <v>232672.48590733891</v>
      </c>
      <c r="BX121">
        <f t="shared" si="75"/>
        <v>34839.716621068001</v>
      </c>
      <c r="BY121">
        <f t="shared" si="76"/>
        <v>371094.06353103736</v>
      </c>
      <c r="BZ121">
        <f t="shared" si="77"/>
        <v>76179.776535406141</v>
      </c>
      <c r="CA121">
        <f t="shared" si="78"/>
        <v>15011.396028380053</v>
      </c>
      <c r="CB121">
        <f t="shared" si="79"/>
        <v>51551.176130883803</v>
      </c>
      <c r="CC121">
        <f t="shared" si="80"/>
        <v>177768.63125311004</v>
      </c>
      <c r="CD121">
        <f t="shared" si="81"/>
        <v>128259.05724192546</v>
      </c>
      <c r="CE121">
        <f t="shared" si="82"/>
        <v>278847.59643141937</v>
      </c>
      <c r="CF121">
        <f t="shared" si="83"/>
        <v>119292.47302789842</v>
      </c>
      <c r="CG121">
        <f t="shared" si="84"/>
        <v>83770.04231671372</v>
      </c>
      <c r="CH121">
        <f t="shared" si="85"/>
        <v>300092.07254081866</v>
      </c>
      <c r="CI121">
        <f t="shared" si="86"/>
        <v>239004.30542355054</v>
      </c>
      <c r="CJ121">
        <f t="shared" si="87"/>
        <v>373508.54190304613</v>
      </c>
      <c r="CK121">
        <f t="shared" si="88"/>
        <v>335805.16136012977</v>
      </c>
      <c r="CL121">
        <f t="shared" si="89"/>
        <v>78625.343120143414</v>
      </c>
      <c r="CM121">
        <f t="shared" si="90"/>
        <v>243781.44385618682</v>
      </c>
      <c r="CN121">
        <f t="shared" si="91"/>
        <v>548861.54802201549</v>
      </c>
      <c r="CO121">
        <f t="shared" si="92"/>
        <v>143806.93864198707</v>
      </c>
      <c r="CP121">
        <f t="shared" si="93"/>
        <v>465205.04703729611</v>
      </c>
      <c r="CQ121">
        <f t="shared" si="94"/>
        <v>342340.40920507541</v>
      </c>
      <c r="CR121">
        <f t="shared" si="95"/>
        <v>216877.32727484047</v>
      </c>
      <c r="CS121">
        <f t="shared" si="96"/>
        <v>202257.42757550368</v>
      </c>
      <c r="CT121">
        <f t="shared" si="97"/>
        <v>45234.347346962793</v>
      </c>
      <c r="CU121">
        <f t="shared" si="98"/>
        <v>46567.357189394708</v>
      </c>
      <c r="CV121">
        <f t="shared" si="99"/>
        <v>174837.79805898081</v>
      </c>
      <c r="CW121">
        <f t="shared" si="100"/>
        <v>280799.51465892419</v>
      </c>
      <c r="CX121">
        <f t="shared" si="101"/>
        <v>535023.54635062267</v>
      </c>
      <c r="CY121">
        <f t="shared" si="102"/>
        <v>559587.29484140966</v>
      </c>
      <c r="CZ121">
        <f t="shared" si="103"/>
        <v>895036.38006964535</v>
      </c>
      <c r="DA121">
        <f t="shared" si="104"/>
        <v>396678.46605921059</v>
      </c>
      <c r="DB121">
        <f t="shared" si="105"/>
        <v>234239.97799612756</v>
      </c>
      <c r="DC121">
        <f t="shared" si="106"/>
        <v>473059.82230215718</v>
      </c>
      <c r="DD121">
        <f t="shared" si="107"/>
        <v>287782.4716443739</v>
      </c>
      <c r="DE121">
        <f t="shared" si="108"/>
        <v>16054.733336787096</v>
      </c>
      <c r="DF121">
        <f t="shared" si="109"/>
        <v>1286310.0508836138</v>
      </c>
      <c r="DG121">
        <f t="shared" si="110"/>
        <v>893143.98897724436</v>
      </c>
      <c r="DH121">
        <f t="shared" si="111"/>
        <v>1623548.423859294</v>
      </c>
      <c r="DI121">
        <f t="shared" si="112"/>
        <v>722831.67721237696</v>
      </c>
      <c r="DJ121">
        <f t="shared" si="113"/>
        <v>107926.25122295273</v>
      </c>
      <c r="DK121">
        <f t="shared" si="114"/>
        <v>242301.8182004696</v>
      </c>
      <c r="DL121">
        <f t="shared" si="115"/>
        <v>659312.97889831674</v>
      </c>
      <c r="DM121">
        <f t="shared" si="116"/>
        <v>524533.04434630182</v>
      </c>
      <c r="DN121">
        <f t="shared" si="117"/>
        <v>1075349.3540120444</v>
      </c>
      <c r="DO121">
        <f t="shared" si="118"/>
        <v>511028.73918927449</v>
      </c>
      <c r="DP121">
        <f t="shared" si="119"/>
        <v>407559.59327890177</v>
      </c>
      <c r="DQ121">
        <f t="shared" si="120"/>
        <v>1569650.1165033495</v>
      </c>
      <c r="DR121">
        <f t="shared" si="121"/>
        <v>957347.05206124531</v>
      </c>
      <c r="DS121">
        <f t="shared" si="122"/>
        <v>3083124.2803492225</v>
      </c>
      <c r="DT121">
        <f t="shared" si="123"/>
        <v>1424345.6888533481</v>
      </c>
      <c r="DU121">
        <f t="shared" si="124"/>
        <v>286432.00777863746</v>
      </c>
      <c r="DV121">
        <f t="shared" si="125"/>
        <v>821100.50361601345</v>
      </c>
      <c r="DW121">
        <f t="shared" si="126"/>
        <v>2299136.698331038</v>
      </c>
      <c r="DX121">
        <f t="shared" si="127"/>
        <v>293014.52491573431</v>
      </c>
      <c r="DY121">
        <f t="shared" si="128"/>
        <v>1915092.0855130535</v>
      </c>
      <c r="DZ121">
        <f t="shared" si="129"/>
        <v>1424598.8141382507</v>
      </c>
      <c r="EA121">
        <f t="shared" si="130"/>
        <v>893807.36194519117</v>
      </c>
      <c r="EB121">
        <f t="shared" si="131"/>
        <v>873045.10770683433</v>
      </c>
      <c r="EC121">
        <f t="shared" si="132"/>
        <v>172667.98047041756</v>
      </c>
      <c r="ED121">
        <f t="shared" si="133"/>
        <v>158275.61400955019</v>
      </c>
      <c r="EE121">
        <f t="shared" si="134"/>
        <v>339889.57649215817</v>
      </c>
      <c r="EF121">
        <f t="shared" si="135"/>
        <v>1066157.8740950515</v>
      </c>
      <c r="EG121">
        <f t="shared" si="136"/>
        <v>2400668.2565451581</v>
      </c>
      <c r="EH121">
        <f t="shared" si="137"/>
        <v>2048167.0876273166</v>
      </c>
      <c r="EI121">
        <f t="shared" si="138"/>
        <v>2607288.2817202033</v>
      </c>
      <c r="EJ121">
        <f t="shared" si="139"/>
        <v>2223661.2399123828</v>
      </c>
      <c r="EK121">
        <f t="shared" si="140"/>
        <v>572206.44202303689</v>
      </c>
      <c r="EL121">
        <f t="shared" si="141"/>
        <v>1331605.0107849902</v>
      </c>
      <c r="EM121">
        <f t="shared" si="142"/>
        <v>1055708.2325378691</v>
      </c>
      <c r="EN121">
        <f t="shared" si="143"/>
        <v>13763.763575251673</v>
      </c>
    </row>
    <row r="122" spans="2:144" x14ac:dyDescent="0.35">
      <c r="B122" s="87">
        <v>0</v>
      </c>
      <c r="C122" s="87">
        <v>0</v>
      </c>
      <c r="D122" s="87">
        <v>0</v>
      </c>
      <c r="E122" s="87">
        <v>0</v>
      </c>
      <c r="F122" s="87">
        <v>0</v>
      </c>
      <c r="G122" s="87">
        <v>0</v>
      </c>
      <c r="H122" s="87">
        <v>0</v>
      </c>
      <c r="I122" s="87">
        <v>0</v>
      </c>
      <c r="J122" s="87">
        <v>0</v>
      </c>
      <c r="K122" s="87">
        <v>0</v>
      </c>
      <c r="L122" s="87">
        <v>0</v>
      </c>
      <c r="M122" s="87">
        <v>0</v>
      </c>
      <c r="N122" s="87">
        <v>0</v>
      </c>
      <c r="O122" s="87">
        <v>0</v>
      </c>
      <c r="P122" s="87">
        <v>0</v>
      </c>
      <c r="Q122" s="87">
        <v>0</v>
      </c>
      <c r="R122" s="87">
        <v>0</v>
      </c>
      <c r="S122" s="87">
        <v>0</v>
      </c>
      <c r="T122" s="87">
        <v>0</v>
      </c>
      <c r="U122" s="87">
        <v>0</v>
      </c>
      <c r="V122" s="87">
        <v>0</v>
      </c>
      <c r="W122" s="87">
        <v>0</v>
      </c>
      <c r="X122" s="87">
        <v>0</v>
      </c>
      <c r="Y122" s="87">
        <v>0</v>
      </c>
      <c r="Z122" s="87">
        <v>0</v>
      </c>
      <c r="AA122" s="87">
        <v>0</v>
      </c>
      <c r="AB122" s="87">
        <v>0</v>
      </c>
      <c r="AC122" s="87">
        <v>0</v>
      </c>
      <c r="AD122" s="87">
        <v>0</v>
      </c>
      <c r="AE122" s="87">
        <v>0</v>
      </c>
      <c r="AF122" s="87">
        <v>0</v>
      </c>
      <c r="AG122" s="87">
        <v>0</v>
      </c>
      <c r="AH122" s="87">
        <v>0</v>
      </c>
      <c r="AI122" s="87">
        <v>0</v>
      </c>
      <c r="AJ122" s="87">
        <v>0</v>
      </c>
      <c r="AK122" s="87">
        <v>0</v>
      </c>
      <c r="AL122" s="87">
        <v>0</v>
      </c>
      <c r="AM122" s="87">
        <v>0</v>
      </c>
      <c r="AN122" s="87">
        <v>0</v>
      </c>
      <c r="AO122" s="87">
        <v>0</v>
      </c>
      <c r="AP122" s="87">
        <v>0</v>
      </c>
      <c r="AQ122" s="87">
        <v>0</v>
      </c>
      <c r="AR122" s="87">
        <v>0</v>
      </c>
      <c r="AS122" s="87">
        <v>1</v>
      </c>
      <c r="AT122" s="87">
        <v>0</v>
      </c>
      <c r="AU122" s="87">
        <v>0</v>
      </c>
      <c r="AV122" s="87">
        <v>0</v>
      </c>
      <c r="AW122" s="87">
        <v>0</v>
      </c>
      <c r="AX122" s="87">
        <v>0</v>
      </c>
      <c r="AY122" s="87">
        <v>0</v>
      </c>
      <c r="AZ122" s="87">
        <v>0</v>
      </c>
      <c r="BA122" s="87">
        <v>0</v>
      </c>
      <c r="BB122" s="87">
        <v>0</v>
      </c>
      <c r="BC122" s="87">
        <v>0</v>
      </c>
      <c r="BD122" s="87">
        <v>0</v>
      </c>
      <c r="BE122" s="87">
        <v>0</v>
      </c>
      <c r="BF122" s="87">
        <v>0</v>
      </c>
      <c r="BG122" s="87">
        <v>0</v>
      </c>
      <c r="BH122" s="87">
        <v>0</v>
      </c>
      <c r="BI122" s="87">
        <v>0</v>
      </c>
      <c r="BJ122" s="87">
        <v>0</v>
      </c>
      <c r="BK122" s="87">
        <v>0</v>
      </c>
      <c r="BL122" s="87">
        <v>0</v>
      </c>
      <c r="BM122" s="87">
        <v>0</v>
      </c>
      <c r="BN122" s="87">
        <v>0</v>
      </c>
      <c r="BO122" s="87">
        <v>0</v>
      </c>
      <c r="BP122" s="87">
        <v>0</v>
      </c>
      <c r="BQ122" s="87">
        <v>0</v>
      </c>
      <c r="BR122" s="87">
        <v>0</v>
      </c>
      <c r="BS122" s="87">
        <v>0</v>
      </c>
      <c r="BW122">
        <f t="shared" si="74"/>
        <v>232672.48590733891</v>
      </c>
      <c r="BX122">
        <f t="shared" si="75"/>
        <v>34839.716621068001</v>
      </c>
      <c r="BY122">
        <f t="shared" si="76"/>
        <v>371094.06353103736</v>
      </c>
      <c r="BZ122">
        <f t="shared" si="77"/>
        <v>76179.776535406141</v>
      </c>
      <c r="CA122">
        <f t="shared" si="78"/>
        <v>15011.396028380053</v>
      </c>
      <c r="CB122">
        <f t="shared" si="79"/>
        <v>51551.176130883803</v>
      </c>
      <c r="CC122">
        <f t="shared" si="80"/>
        <v>177768.63125311004</v>
      </c>
      <c r="CD122">
        <f t="shared" si="81"/>
        <v>128259.05724192546</v>
      </c>
      <c r="CE122">
        <f t="shared" si="82"/>
        <v>278847.59643141937</v>
      </c>
      <c r="CF122">
        <f t="shared" si="83"/>
        <v>119292.47302789842</v>
      </c>
      <c r="CG122">
        <f t="shared" si="84"/>
        <v>83770.04231671372</v>
      </c>
      <c r="CH122">
        <f t="shared" si="85"/>
        <v>300092.07254081866</v>
      </c>
      <c r="CI122">
        <f t="shared" si="86"/>
        <v>239004.30542355054</v>
      </c>
      <c r="CJ122">
        <f t="shared" si="87"/>
        <v>373508.54190304613</v>
      </c>
      <c r="CK122">
        <f t="shared" si="88"/>
        <v>335805.16136012977</v>
      </c>
      <c r="CL122">
        <f t="shared" si="89"/>
        <v>78625.343120143414</v>
      </c>
      <c r="CM122">
        <f t="shared" si="90"/>
        <v>243781.44385618682</v>
      </c>
      <c r="CN122">
        <f t="shared" si="91"/>
        <v>548861.54802201549</v>
      </c>
      <c r="CO122">
        <f t="shared" si="92"/>
        <v>143806.93864198707</v>
      </c>
      <c r="CP122">
        <f t="shared" si="93"/>
        <v>465205.04703729611</v>
      </c>
      <c r="CQ122">
        <f t="shared" si="94"/>
        <v>342340.40920507541</v>
      </c>
      <c r="CR122">
        <f t="shared" si="95"/>
        <v>216877.32727484047</v>
      </c>
      <c r="CS122">
        <f t="shared" si="96"/>
        <v>202257.42757550368</v>
      </c>
      <c r="CT122">
        <f t="shared" si="97"/>
        <v>45234.347346962793</v>
      </c>
      <c r="CU122">
        <f t="shared" si="98"/>
        <v>46567.357189394708</v>
      </c>
      <c r="CV122">
        <f t="shared" si="99"/>
        <v>174837.79805898081</v>
      </c>
      <c r="CW122">
        <f t="shared" si="100"/>
        <v>280799.51465892419</v>
      </c>
      <c r="CX122">
        <f t="shared" si="101"/>
        <v>535023.54635062267</v>
      </c>
      <c r="CY122">
        <f t="shared" si="102"/>
        <v>559587.29484140966</v>
      </c>
      <c r="CZ122">
        <f t="shared" si="103"/>
        <v>895036.38006964535</v>
      </c>
      <c r="DA122">
        <f t="shared" si="104"/>
        <v>396678.46605921059</v>
      </c>
      <c r="DB122">
        <f t="shared" si="105"/>
        <v>234239.97799612756</v>
      </c>
      <c r="DC122">
        <f t="shared" si="106"/>
        <v>473059.82230215718</v>
      </c>
      <c r="DD122">
        <f t="shared" si="107"/>
        <v>287782.4716443739</v>
      </c>
      <c r="DE122">
        <f t="shared" si="108"/>
        <v>16054.733336787096</v>
      </c>
      <c r="DF122">
        <f t="shared" si="109"/>
        <v>1286310.0508836138</v>
      </c>
      <c r="DG122">
        <f t="shared" si="110"/>
        <v>893143.98897724436</v>
      </c>
      <c r="DH122">
        <f t="shared" si="111"/>
        <v>1623548.423859294</v>
      </c>
      <c r="DI122">
        <f t="shared" si="112"/>
        <v>722831.67721237696</v>
      </c>
      <c r="DJ122">
        <f t="shared" si="113"/>
        <v>107926.25122295273</v>
      </c>
      <c r="DK122">
        <f t="shared" si="114"/>
        <v>242301.8182004696</v>
      </c>
      <c r="DL122">
        <f t="shared" si="115"/>
        <v>659312.97889831674</v>
      </c>
      <c r="DM122">
        <f t="shared" si="116"/>
        <v>524533.04434630182</v>
      </c>
      <c r="DN122">
        <f t="shared" si="117"/>
        <v>1075349.3540120444</v>
      </c>
      <c r="DO122">
        <f t="shared" si="118"/>
        <v>511028.73918927449</v>
      </c>
      <c r="DP122">
        <f t="shared" si="119"/>
        <v>407559.59327890177</v>
      </c>
      <c r="DQ122">
        <f t="shared" si="120"/>
        <v>1569650.1165033495</v>
      </c>
      <c r="DR122">
        <f t="shared" si="121"/>
        <v>957347.05206124531</v>
      </c>
      <c r="DS122">
        <f t="shared" si="122"/>
        <v>3083124.2803492225</v>
      </c>
      <c r="DT122">
        <f t="shared" si="123"/>
        <v>1424345.6888533481</v>
      </c>
      <c r="DU122">
        <f t="shared" si="124"/>
        <v>286432.00777863746</v>
      </c>
      <c r="DV122">
        <f t="shared" si="125"/>
        <v>821100.50361601345</v>
      </c>
      <c r="DW122">
        <f t="shared" si="126"/>
        <v>2299136.698331038</v>
      </c>
      <c r="DX122">
        <f t="shared" si="127"/>
        <v>293014.52491573431</v>
      </c>
      <c r="DY122">
        <f t="shared" si="128"/>
        <v>1915092.0855130535</v>
      </c>
      <c r="DZ122">
        <f t="shared" si="129"/>
        <v>1424598.8141382507</v>
      </c>
      <c r="EA122">
        <f t="shared" si="130"/>
        <v>893807.36194519117</v>
      </c>
      <c r="EB122">
        <f t="shared" si="131"/>
        <v>873045.10770683433</v>
      </c>
      <c r="EC122">
        <f t="shared" si="132"/>
        <v>172667.98047041756</v>
      </c>
      <c r="ED122">
        <f t="shared" si="133"/>
        <v>158275.61400955019</v>
      </c>
      <c r="EE122">
        <f t="shared" si="134"/>
        <v>339889.57649215817</v>
      </c>
      <c r="EF122">
        <f t="shared" si="135"/>
        <v>1066157.8740950515</v>
      </c>
      <c r="EG122">
        <f t="shared" si="136"/>
        <v>2400668.2565451581</v>
      </c>
      <c r="EH122">
        <f t="shared" si="137"/>
        <v>2048167.0876273166</v>
      </c>
      <c r="EI122">
        <f t="shared" si="138"/>
        <v>2607288.2817202033</v>
      </c>
      <c r="EJ122">
        <f t="shared" si="139"/>
        <v>2223661.2399123828</v>
      </c>
      <c r="EK122">
        <f t="shared" si="140"/>
        <v>572206.44202303689</v>
      </c>
      <c r="EL122">
        <f t="shared" si="141"/>
        <v>1331605.0107849902</v>
      </c>
      <c r="EM122">
        <f t="shared" si="142"/>
        <v>1055708.2325378691</v>
      </c>
      <c r="EN122">
        <f t="shared" si="143"/>
        <v>13763.763575251673</v>
      </c>
    </row>
    <row r="123" spans="2:144" x14ac:dyDescent="0.35">
      <c r="B123" s="87">
        <v>0</v>
      </c>
      <c r="C123" s="87">
        <v>0</v>
      </c>
      <c r="D123" s="87">
        <v>0</v>
      </c>
      <c r="E123" s="87">
        <v>0</v>
      </c>
      <c r="F123" s="87">
        <v>0</v>
      </c>
      <c r="G123" s="87">
        <v>0</v>
      </c>
      <c r="H123" s="87">
        <v>0</v>
      </c>
      <c r="I123" s="87">
        <v>0</v>
      </c>
      <c r="J123" s="87">
        <v>0</v>
      </c>
      <c r="K123" s="87">
        <v>0</v>
      </c>
      <c r="L123" s="87">
        <v>0</v>
      </c>
      <c r="M123" s="87">
        <v>0</v>
      </c>
      <c r="N123" s="87">
        <v>0</v>
      </c>
      <c r="O123" s="87">
        <v>0</v>
      </c>
      <c r="P123" s="87">
        <v>0</v>
      </c>
      <c r="Q123" s="87">
        <v>0</v>
      </c>
      <c r="R123" s="87">
        <v>0</v>
      </c>
      <c r="S123" s="87">
        <v>0</v>
      </c>
      <c r="T123" s="87">
        <v>0</v>
      </c>
      <c r="U123" s="87">
        <v>0</v>
      </c>
      <c r="V123" s="87">
        <v>0</v>
      </c>
      <c r="W123" s="87">
        <v>0</v>
      </c>
      <c r="X123" s="87">
        <v>0</v>
      </c>
      <c r="Y123" s="87">
        <v>0</v>
      </c>
      <c r="Z123" s="87">
        <v>0</v>
      </c>
      <c r="AA123" s="87">
        <v>0</v>
      </c>
      <c r="AB123" s="87">
        <v>0</v>
      </c>
      <c r="AC123" s="87">
        <v>0</v>
      </c>
      <c r="AD123" s="87">
        <v>0</v>
      </c>
      <c r="AE123" s="87">
        <v>0</v>
      </c>
      <c r="AF123" s="87">
        <v>0</v>
      </c>
      <c r="AG123" s="87">
        <v>0</v>
      </c>
      <c r="AH123" s="87">
        <v>0</v>
      </c>
      <c r="AI123" s="87">
        <v>0</v>
      </c>
      <c r="AJ123" s="87">
        <v>0</v>
      </c>
      <c r="AK123" s="87">
        <v>0</v>
      </c>
      <c r="AL123" s="87">
        <v>0</v>
      </c>
      <c r="AM123" s="87">
        <v>0</v>
      </c>
      <c r="AN123" s="87">
        <v>0</v>
      </c>
      <c r="AO123" s="87">
        <v>0</v>
      </c>
      <c r="AP123" s="87">
        <v>0</v>
      </c>
      <c r="AQ123" s="87">
        <v>0</v>
      </c>
      <c r="AR123" s="87">
        <v>0</v>
      </c>
      <c r="AS123" s="87">
        <v>0</v>
      </c>
      <c r="AT123" s="87">
        <v>1</v>
      </c>
      <c r="AU123" s="87">
        <v>0</v>
      </c>
      <c r="AV123" s="87">
        <v>0</v>
      </c>
      <c r="AW123" s="87">
        <v>0</v>
      </c>
      <c r="AX123" s="87">
        <v>0</v>
      </c>
      <c r="AY123" s="87">
        <v>0</v>
      </c>
      <c r="AZ123" s="87">
        <v>0</v>
      </c>
      <c r="BA123" s="87">
        <v>0</v>
      </c>
      <c r="BB123" s="87">
        <v>0</v>
      </c>
      <c r="BC123" s="87">
        <v>0</v>
      </c>
      <c r="BD123" s="87">
        <v>0</v>
      </c>
      <c r="BE123" s="87">
        <v>0</v>
      </c>
      <c r="BF123" s="87">
        <v>0</v>
      </c>
      <c r="BG123" s="87">
        <v>0</v>
      </c>
      <c r="BH123" s="87">
        <v>0</v>
      </c>
      <c r="BI123" s="87">
        <v>0</v>
      </c>
      <c r="BJ123" s="87">
        <v>0</v>
      </c>
      <c r="BK123" s="87">
        <v>0</v>
      </c>
      <c r="BL123" s="87">
        <v>0</v>
      </c>
      <c r="BM123" s="87">
        <v>0</v>
      </c>
      <c r="BN123" s="87">
        <v>0</v>
      </c>
      <c r="BO123" s="87">
        <v>0</v>
      </c>
      <c r="BP123" s="87">
        <v>0</v>
      </c>
      <c r="BQ123" s="87">
        <v>0</v>
      </c>
      <c r="BR123" s="87">
        <v>0</v>
      </c>
      <c r="BS123" s="87">
        <v>0</v>
      </c>
      <c r="BW123">
        <f t="shared" si="74"/>
        <v>232672.48590733891</v>
      </c>
      <c r="BX123">
        <f t="shared" si="75"/>
        <v>34839.716621068001</v>
      </c>
      <c r="BY123">
        <f t="shared" si="76"/>
        <v>371094.06353103736</v>
      </c>
      <c r="BZ123">
        <f t="shared" si="77"/>
        <v>76179.776535406141</v>
      </c>
      <c r="CA123">
        <f t="shared" si="78"/>
        <v>15011.396028380053</v>
      </c>
      <c r="CB123">
        <f t="shared" si="79"/>
        <v>51551.176130883803</v>
      </c>
      <c r="CC123">
        <f t="shared" si="80"/>
        <v>177768.63125311004</v>
      </c>
      <c r="CD123">
        <f t="shared" si="81"/>
        <v>128259.05724192546</v>
      </c>
      <c r="CE123">
        <f t="shared" si="82"/>
        <v>278847.59643141937</v>
      </c>
      <c r="CF123">
        <f t="shared" si="83"/>
        <v>119292.47302789842</v>
      </c>
      <c r="CG123">
        <f t="shared" si="84"/>
        <v>83770.04231671372</v>
      </c>
      <c r="CH123">
        <f t="shared" si="85"/>
        <v>300092.07254081866</v>
      </c>
      <c r="CI123">
        <f t="shared" si="86"/>
        <v>239004.30542355054</v>
      </c>
      <c r="CJ123">
        <f t="shared" si="87"/>
        <v>373508.54190304613</v>
      </c>
      <c r="CK123">
        <f t="shared" si="88"/>
        <v>335805.16136012977</v>
      </c>
      <c r="CL123">
        <f t="shared" si="89"/>
        <v>78625.343120143414</v>
      </c>
      <c r="CM123">
        <f t="shared" si="90"/>
        <v>243781.44385618682</v>
      </c>
      <c r="CN123">
        <f t="shared" si="91"/>
        <v>548861.54802201549</v>
      </c>
      <c r="CO123">
        <f t="shared" si="92"/>
        <v>143806.93864198707</v>
      </c>
      <c r="CP123">
        <f t="shared" si="93"/>
        <v>465205.04703729611</v>
      </c>
      <c r="CQ123">
        <f t="shared" si="94"/>
        <v>342340.40920507541</v>
      </c>
      <c r="CR123">
        <f t="shared" si="95"/>
        <v>216877.32727484047</v>
      </c>
      <c r="CS123">
        <f t="shared" si="96"/>
        <v>202257.42757550368</v>
      </c>
      <c r="CT123">
        <f t="shared" si="97"/>
        <v>45234.347346962793</v>
      </c>
      <c r="CU123">
        <f t="shared" si="98"/>
        <v>46567.357189394708</v>
      </c>
      <c r="CV123">
        <f t="shared" si="99"/>
        <v>174837.79805898081</v>
      </c>
      <c r="CW123">
        <f t="shared" si="100"/>
        <v>280799.51465892419</v>
      </c>
      <c r="CX123">
        <f t="shared" si="101"/>
        <v>535023.54635062267</v>
      </c>
      <c r="CY123">
        <f t="shared" si="102"/>
        <v>559587.29484140966</v>
      </c>
      <c r="CZ123">
        <f t="shared" si="103"/>
        <v>895036.38006964535</v>
      </c>
      <c r="DA123">
        <f t="shared" si="104"/>
        <v>396678.46605921059</v>
      </c>
      <c r="DB123">
        <f t="shared" si="105"/>
        <v>234239.97799612756</v>
      </c>
      <c r="DC123">
        <f t="shared" si="106"/>
        <v>473059.82230215718</v>
      </c>
      <c r="DD123">
        <f t="shared" si="107"/>
        <v>287782.4716443739</v>
      </c>
      <c r="DE123">
        <f t="shared" si="108"/>
        <v>16054.733336787096</v>
      </c>
      <c r="DF123">
        <f t="shared" si="109"/>
        <v>1286310.0508836138</v>
      </c>
      <c r="DG123">
        <f t="shared" si="110"/>
        <v>893143.98897724436</v>
      </c>
      <c r="DH123">
        <f t="shared" si="111"/>
        <v>1623548.423859294</v>
      </c>
      <c r="DI123">
        <f t="shared" si="112"/>
        <v>722831.67721237696</v>
      </c>
      <c r="DJ123">
        <f t="shared" si="113"/>
        <v>107926.25122295273</v>
      </c>
      <c r="DK123">
        <f t="shared" si="114"/>
        <v>242301.8182004696</v>
      </c>
      <c r="DL123">
        <f t="shared" si="115"/>
        <v>659312.97889831674</v>
      </c>
      <c r="DM123">
        <f t="shared" si="116"/>
        <v>524533.04434630182</v>
      </c>
      <c r="DN123">
        <f t="shared" si="117"/>
        <v>1075349.3540120444</v>
      </c>
      <c r="DO123">
        <f t="shared" si="118"/>
        <v>511028.73918927449</v>
      </c>
      <c r="DP123">
        <f t="shared" si="119"/>
        <v>407559.59327890177</v>
      </c>
      <c r="DQ123">
        <f t="shared" si="120"/>
        <v>1569650.1165033495</v>
      </c>
      <c r="DR123">
        <f t="shared" si="121"/>
        <v>957347.05206124531</v>
      </c>
      <c r="DS123">
        <f t="shared" si="122"/>
        <v>3083124.2803492225</v>
      </c>
      <c r="DT123">
        <f t="shared" si="123"/>
        <v>1424345.6888533481</v>
      </c>
      <c r="DU123">
        <f t="shared" si="124"/>
        <v>286432.00777863746</v>
      </c>
      <c r="DV123">
        <f t="shared" si="125"/>
        <v>821100.50361601345</v>
      </c>
      <c r="DW123">
        <f t="shared" si="126"/>
        <v>2299136.698331038</v>
      </c>
      <c r="DX123">
        <f t="shared" si="127"/>
        <v>293014.52491573431</v>
      </c>
      <c r="DY123">
        <f t="shared" si="128"/>
        <v>1915092.0855130535</v>
      </c>
      <c r="DZ123">
        <f t="shared" si="129"/>
        <v>1424598.8141382507</v>
      </c>
      <c r="EA123">
        <f t="shared" si="130"/>
        <v>893807.36194519117</v>
      </c>
      <c r="EB123">
        <f t="shared" si="131"/>
        <v>873045.10770683433</v>
      </c>
      <c r="EC123">
        <f t="shared" si="132"/>
        <v>172667.98047041756</v>
      </c>
      <c r="ED123">
        <f t="shared" si="133"/>
        <v>158275.61400955019</v>
      </c>
      <c r="EE123">
        <f t="shared" si="134"/>
        <v>339889.57649215817</v>
      </c>
      <c r="EF123">
        <f t="shared" si="135"/>
        <v>1066157.8740950515</v>
      </c>
      <c r="EG123">
        <f t="shared" si="136"/>
        <v>2400668.2565451581</v>
      </c>
      <c r="EH123">
        <f t="shared" si="137"/>
        <v>2048167.0876273166</v>
      </c>
      <c r="EI123">
        <f t="shared" si="138"/>
        <v>2607288.2817202033</v>
      </c>
      <c r="EJ123">
        <f t="shared" si="139"/>
        <v>2223661.2399123828</v>
      </c>
      <c r="EK123">
        <f t="shared" si="140"/>
        <v>572206.44202303689</v>
      </c>
      <c r="EL123">
        <f t="shared" si="141"/>
        <v>1331605.0107849902</v>
      </c>
      <c r="EM123">
        <f t="shared" si="142"/>
        <v>1055708.2325378691</v>
      </c>
      <c r="EN123">
        <f t="shared" si="143"/>
        <v>13763.763575251673</v>
      </c>
    </row>
    <row r="124" spans="2:144" x14ac:dyDescent="0.35">
      <c r="B124" s="87">
        <v>0</v>
      </c>
      <c r="C124" s="87">
        <v>0</v>
      </c>
      <c r="D124" s="87">
        <v>0</v>
      </c>
      <c r="E124" s="87">
        <v>0</v>
      </c>
      <c r="F124" s="87">
        <v>0</v>
      </c>
      <c r="G124" s="87">
        <v>0</v>
      </c>
      <c r="H124" s="87">
        <v>0</v>
      </c>
      <c r="I124" s="87">
        <v>0</v>
      </c>
      <c r="J124" s="87">
        <v>0</v>
      </c>
      <c r="K124" s="87">
        <v>0</v>
      </c>
      <c r="L124" s="87">
        <v>0</v>
      </c>
      <c r="M124" s="87">
        <v>0</v>
      </c>
      <c r="N124" s="87">
        <v>0</v>
      </c>
      <c r="O124" s="87">
        <v>0</v>
      </c>
      <c r="P124" s="87">
        <v>0</v>
      </c>
      <c r="Q124" s="87">
        <v>0</v>
      </c>
      <c r="R124" s="87">
        <v>0</v>
      </c>
      <c r="S124" s="87">
        <v>0</v>
      </c>
      <c r="T124" s="87">
        <v>0</v>
      </c>
      <c r="U124" s="87">
        <v>0</v>
      </c>
      <c r="V124" s="87">
        <v>0</v>
      </c>
      <c r="W124" s="87">
        <v>0</v>
      </c>
      <c r="X124" s="87">
        <v>0</v>
      </c>
      <c r="Y124" s="87">
        <v>0</v>
      </c>
      <c r="Z124" s="87">
        <v>0</v>
      </c>
      <c r="AA124" s="87">
        <v>0</v>
      </c>
      <c r="AB124" s="87">
        <v>0</v>
      </c>
      <c r="AC124" s="87">
        <v>0</v>
      </c>
      <c r="AD124" s="87">
        <v>0</v>
      </c>
      <c r="AE124" s="87">
        <v>0</v>
      </c>
      <c r="AF124" s="87">
        <v>0</v>
      </c>
      <c r="AG124" s="87">
        <v>0</v>
      </c>
      <c r="AH124" s="87">
        <v>0</v>
      </c>
      <c r="AI124" s="87">
        <v>0</v>
      </c>
      <c r="AJ124" s="87">
        <v>0</v>
      </c>
      <c r="AK124" s="87">
        <v>0</v>
      </c>
      <c r="AL124" s="87">
        <v>0</v>
      </c>
      <c r="AM124" s="87">
        <v>0</v>
      </c>
      <c r="AN124" s="87">
        <v>0</v>
      </c>
      <c r="AO124" s="87">
        <v>0</v>
      </c>
      <c r="AP124" s="87">
        <v>0</v>
      </c>
      <c r="AQ124" s="87">
        <v>0</v>
      </c>
      <c r="AR124" s="87">
        <v>0</v>
      </c>
      <c r="AS124" s="87">
        <v>0</v>
      </c>
      <c r="AT124" s="87">
        <v>0</v>
      </c>
      <c r="AU124" s="87">
        <v>1</v>
      </c>
      <c r="AV124" s="87">
        <v>0</v>
      </c>
      <c r="AW124" s="87">
        <v>0</v>
      </c>
      <c r="AX124" s="87">
        <v>0</v>
      </c>
      <c r="AY124" s="87">
        <v>0</v>
      </c>
      <c r="AZ124" s="87">
        <v>0</v>
      </c>
      <c r="BA124" s="87">
        <v>0</v>
      </c>
      <c r="BB124" s="87">
        <v>0</v>
      </c>
      <c r="BC124" s="87">
        <v>0</v>
      </c>
      <c r="BD124" s="87">
        <v>0</v>
      </c>
      <c r="BE124" s="87">
        <v>0</v>
      </c>
      <c r="BF124" s="87">
        <v>0</v>
      </c>
      <c r="BG124" s="87">
        <v>0</v>
      </c>
      <c r="BH124" s="87">
        <v>0</v>
      </c>
      <c r="BI124" s="87">
        <v>0</v>
      </c>
      <c r="BJ124" s="87">
        <v>0</v>
      </c>
      <c r="BK124" s="87">
        <v>0</v>
      </c>
      <c r="BL124" s="87">
        <v>0</v>
      </c>
      <c r="BM124" s="87">
        <v>0</v>
      </c>
      <c r="BN124" s="87">
        <v>0</v>
      </c>
      <c r="BO124" s="87">
        <v>0</v>
      </c>
      <c r="BP124" s="87">
        <v>0</v>
      </c>
      <c r="BQ124" s="87">
        <v>0</v>
      </c>
      <c r="BR124" s="87">
        <v>0</v>
      </c>
      <c r="BS124" s="87">
        <v>0</v>
      </c>
      <c r="BW124">
        <f t="shared" si="74"/>
        <v>232672.48590733891</v>
      </c>
      <c r="BX124">
        <f t="shared" si="75"/>
        <v>34839.716621068001</v>
      </c>
      <c r="BY124">
        <f t="shared" si="76"/>
        <v>371094.06353103736</v>
      </c>
      <c r="BZ124">
        <f t="shared" si="77"/>
        <v>76179.776535406141</v>
      </c>
      <c r="CA124">
        <f t="shared" si="78"/>
        <v>15011.396028380053</v>
      </c>
      <c r="CB124">
        <f t="shared" si="79"/>
        <v>51551.176130883803</v>
      </c>
      <c r="CC124">
        <f t="shared" si="80"/>
        <v>177768.63125311004</v>
      </c>
      <c r="CD124">
        <f t="shared" si="81"/>
        <v>128259.05724192546</v>
      </c>
      <c r="CE124">
        <f t="shared" si="82"/>
        <v>278847.59643141937</v>
      </c>
      <c r="CF124">
        <f t="shared" si="83"/>
        <v>119292.47302789842</v>
      </c>
      <c r="CG124">
        <f t="shared" si="84"/>
        <v>83770.04231671372</v>
      </c>
      <c r="CH124">
        <f t="shared" si="85"/>
        <v>300092.07254081866</v>
      </c>
      <c r="CI124">
        <f t="shared" si="86"/>
        <v>239004.30542355054</v>
      </c>
      <c r="CJ124">
        <f t="shared" si="87"/>
        <v>373508.54190304613</v>
      </c>
      <c r="CK124">
        <f t="shared" si="88"/>
        <v>335805.16136012977</v>
      </c>
      <c r="CL124">
        <f t="shared" si="89"/>
        <v>78625.343120143414</v>
      </c>
      <c r="CM124">
        <f t="shared" si="90"/>
        <v>243781.44385618682</v>
      </c>
      <c r="CN124">
        <f t="shared" si="91"/>
        <v>548861.54802201549</v>
      </c>
      <c r="CO124">
        <f t="shared" si="92"/>
        <v>143806.93864198707</v>
      </c>
      <c r="CP124">
        <f t="shared" si="93"/>
        <v>465205.04703729611</v>
      </c>
      <c r="CQ124">
        <f t="shared" si="94"/>
        <v>342340.40920507541</v>
      </c>
      <c r="CR124">
        <f t="shared" si="95"/>
        <v>216877.32727484047</v>
      </c>
      <c r="CS124">
        <f t="shared" si="96"/>
        <v>202257.42757550368</v>
      </c>
      <c r="CT124">
        <f t="shared" si="97"/>
        <v>45234.347346962793</v>
      </c>
      <c r="CU124">
        <f t="shared" si="98"/>
        <v>46567.357189394708</v>
      </c>
      <c r="CV124">
        <f t="shared" si="99"/>
        <v>174837.79805898081</v>
      </c>
      <c r="CW124">
        <f t="shared" si="100"/>
        <v>280799.51465892419</v>
      </c>
      <c r="CX124">
        <f t="shared" si="101"/>
        <v>535023.54635062267</v>
      </c>
      <c r="CY124">
        <f t="shared" si="102"/>
        <v>559587.29484140966</v>
      </c>
      <c r="CZ124">
        <f t="shared" si="103"/>
        <v>895036.38006964535</v>
      </c>
      <c r="DA124">
        <f t="shared" si="104"/>
        <v>396678.46605921059</v>
      </c>
      <c r="DB124">
        <f t="shared" si="105"/>
        <v>234239.97799612756</v>
      </c>
      <c r="DC124">
        <f t="shared" si="106"/>
        <v>473059.82230215718</v>
      </c>
      <c r="DD124">
        <f t="shared" si="107"/>
        <v>287782.4716443739</v>
      </c>
      <c r="DE124">
        <f t="shared" si="108"/>
        <v>16054.733336787096</v>
      </c>
      <c r="DF124">
        <f t="shared" si="109"/>
        <v>1286310.0508836138</v>
      </c>
      <c r="DG124">
        <f t="shared" si="110"/>
        <v>893143.98897724436</v>
      </c>
      <c r="DH124">
        <f t="shared" si="111"/>
        <v>1623548.423859294</v>
      </c>
      <c r="DI124">
        <f t="shared" si="112"/>
        <v>722831.67721237696</v>
      </c>
      <c r="DJ124">
        <f t="shared" si="113"/>
        <v>107926.25122295273</v>
      </c>
      <c r="DK124">
        <f t="shared" si="114"/>
        <v>242301.8182004696</v>
      </c>
      <c r="DL124">
        <f t="shared" si="115"/>
        <v>659312.97889831674</v>
      </c>
      <c r="DM124">
        <f t="shared" si="116"/>
        <v>524533.04434630182</v>
      </c>
      <c r="DN124">
        <f t="shared" si="117"/>
        <v>1075349.3540120444</v>
      </c>
      <c r="DO124">
        <f t="shared" si="118"/>
        <v>511028.73918927449</v>
      </c>
      <c r="DP124">
        <f t="shared" si="119"/>
        <v>407559.59327890177</v>
      </c>
      <c r="DQ124">
        <f t="shared" si="120"/>
        <v>1569650.1165033495</v>
      </c>
      <c r="DR124">
        <f t="shared" si="121"/>
        <v>957347.05206124531</v>
      </c>
      <c r="DS124">
        <f t="shared" si="122"/>
        <v>3083124.2803492225</v>
      </c>
      <c r="DT124">
        <f t="shared" si="123"/>
        <v>1424345.6888533481</v>
      </c>
      <c r="DU124">
        <f t="shared" si="124"/>
        <v>286432.00777863746</v>
      </c>
      <c r="DV124">
        <f t="shared" si="125"/>
        <v>821100.50361601345</v>
      </c>
      <c r="DW124">
        <f t="shared" si="126"/>
        <v>2299136.698331038</v>
      </c>
      <c r="DX124">
        <f t="shared" si="127"/>
        <v>293014.52491573431</v>
      </c>
      <c r="DY124">
        <f t="shared" si="128"/>
        <v>1915092.0855130535</v>
      </c>
      <c r="DZ124">
        <f t="shared" si="129"/>
        <v>1424598.8141382507</v>
      </c>
      <c r="EA124">
        <f t="shared" si="130"/>
        <v>893807.36194519117</v>
      </c>
      <c r="EB124">
        <f t="shared" si="131"/>
        <v>873045.10770683433</v>
      </c>
      <c r="EC124">
        <f t="shared" si="132"/>
        <v>172667.98047041756</v>
      </c>
      <c r="ED124">
        <f t="shared" si="133"/>
        <v>158275.61400955019</v>
      </c>
      <c r="EE124">
        <f t="shared" si="134"/>
        <v>339889.57649215817</v>
      </c>
      <c r="EF124">
        <f t="shared" si="135"/>
        <v>1066157.8740950515</v>
      </c>
      <c r="EG124">
        <f t="shared" si="136"/>
        <v>2400668.2565451581</v>
      </c>
      <c r="EH124">
        <f t="shared" si="137"/>
        <v>2048167.0876273166</v>
      </c>
      <c r="EI124">
        <f t="shared" si="138"/>
        <v>2607288.2817202033</v>
      </c>
      <c r="EJ124">
        <f t="shared" si="139"/>
        <v>2223661.2399123828</v>
      </c>
      <c r="EK124">
        <f t="shared" si="140"/>
        <v>572206.44202303689</v>
      </c>
      <c r="EL124">
        <f t="shared" si="141"/>
        <v>1331605.0107849902</v>
      </c>
      <c r="EM124">
        <f t="shared" si="142"/>
        <v>1055708.2325378691</v>
      </c>
      <c r="EN124">
        <f t="shared" si="143"/>
        <v>13763.763575251673</v>
      </c>
    </row>
    <row r="125" spans="2:144" x14ac:dyDescent="0.35">
      <c r="B125" s="87">
        <v>0</v>
      </c>
      <c r="C125" s="87">
        <v>0</v>
      </c>
      <c r="D125" s="87">
        <v>0</v>
      </c>
      <c r="E125" s="87">
        <v>0</v>
      </c>
      <c r="F125" s="87">
        <v>0</v>
      </c>
      <c r="G125" s="87">
        <v>0</v>
      </c>
      <c r="H125" s="87">
        <v>0</v>
      </c>
      <c r="I125" s="87">
        <v>0</v>
      </c>
      <c r="J125" s="87">
        <v>0</v>
      </c>
      <c r="K125" s="87">
        <v>0</v>
      </c>
      <c r="L125" s="87">
        <v>0</v>
      </c>
      <c r="M125" s="87">
        <v>0</v>
      </c>
      <c r="N125" s="87">
        <v>0</v>
      </c>
      <c r="O125" s="87">
        <v>0</v>
      </c>
      <c r="P125" s="87">
        <v>0</v>
      </c>
      <c r="Q125" s="87">
        <v>0</v>
      </c>
      <c r="R125" s="87">
        <v>0</v>
      </c>
      <c r="S125" s="87">
        <v>0</v>
      </c>
      <c r="T125" s="87">
        <v>0</v>
      </c>
      <c r="U125" s="87">
        <v>0</v>
      </c>
      <c r="V125" s="87">
        <v>0</v>
      </c>
      <c r="W125" s="87">
        <v>0</v>
      </c>
      <c r="X125" s="87">
        <v>0</v>
      </c>
      <c r="Y125" s="87">
        <v>0</v>
      </c>
      <c r="Z125" s="87">
        <v>0</v>
      </c>
      <c r="AA125" s="87">
        <v>0</v>
      </c>
      <c r="AB125" s="87">
        <v>0</v>
      </c>
      <c r="AC125" s="87">
        <v>0</v>
      </c>
      <c r="AD125" s="87">
        <v>0</v>
      </c>
      <c r="AE125" s="87">
        <v>0</v>
      </c>
      <c r="AF125" s="87">
        <v>0</v>
      </c>
      <c r="AG125" s="87">
        <v>0</v>
      </c>
      <c r="AH125" s="87">
        <v>0</v>
      </c>
      <c r="AI125" s="87">
        <v>0</v>
      </c>
      <c r="AJ125" s="87">
        <v>0</v>
      </c>
      <c r="AK125" s="87">
        <v>0</v>
      </c>
      <c r="AL125" s="87">
        <v>0</v>
      </c>
      <c r="AM125" s="87">
        <v>0</v>
      </c>
      <c r="AN125" s="87">
        <v>0</v>
      </c>
      <c r="AO125" s="87">
        <v>0</v>
      </c>
      <c r="AP125" s="87">
        <v>0</v>
      </c>
      <c r="AQ125" s="87">
        <v>0</v>
      </c>
      <c r="AR125" s="87">
        <v>0</v>
      </c>
      <c r="AS125" s="87">
        <v>0</v>
      </c>
      <c r="AT125" s="87">
        <v>0</v>
      </c>
      <c r="AU125" s="87">
        <v>0</v>
      </c>
      <c r="AV125" s="87">
        <v>1</v>
      </c>
      <c r="AW125" s="87">
        <v>0</v>
      </c>
      <c r="AX125" s="87">
        <v>0</v>
      </c>
      <c r="AY125" s="87">
        <v>0</v>
      </c>
      <c r="AZ125" s="87">
        <v>0</v>
      </c>
      <c r="BA125" s="87">
        <v>0</v>
      </c>
      <c r="BB125" s="87">
        <v>0</v>
      </c>
      <c r="BC125" s="87">
        <v>0</v>
      </c>
      <c r="BD125" s="87">
        <v>0</v>
      </c>
      <c r="BE125" s="87">
        <v>0</v>
      </c>
      <c r="BF125" s="87">
        <v>0</v>
      </c>
      <c r="BG125" s="87">
        <v>0</v>
      </c>
      <c r="BH125" s="87">
        <v>0</v>
      </c>
      <c r="BI125" s="87">
        <v>0</v>
      </c>
      <c r="BJ125" s="87">
        <v>0</v>
      </c>
      <c r="BK125" s="87">
        <v>0</v>
      </c>
      <c r="BL125" s="87">
        <v>0</v>
      </c>
      <c r="BM125" s="87">
        <v>0</v>
      </c>
      <c r="BN125" s="87">
        <v>0</v>
      </c>
      <c r="BO125" s="87">
        <v>0</v>
      </c>
      <c r="BP125" s="87">
        <v>0</v>
      </c>
      <c r="BQ125" s="87">
        <v>0</v>
      </c>
      <c r="BR125" s="87">
        <v>0</v>
      </c>
      <c r="BS125" s="87">
        <v>0</v>
      </c>
      <c r="BW125">
        <f t="shared" si="74"/>
        <v>232672.48590733891</v>
      </c>
      <c r="BX125">
        <f t="shared" si="75"/>
        <v>34839.716621068001</v>
      </c>
      <c r="BY125">
        <f t="shared" si="76"/>
        <v>371094.06353103736</v>
      </c>
      <c r="BZ125">
        <f t="shared" si="77"/>
        <v>76179.776535406141</v>
      </c>
      <c r="CA125">
        <f t="shared" si="78"/>
        <v>15011.396028380053</v>
      </c>
      <c r="CB125">
        <f t="shared" si="79"/>
        <v>51551.176130883803</v>
      </c>
      <c r="CC125">
        <f t="shared" si="80"/>
        <v>177768.63125311004</v>
      </c>
      <c r="CD125">
        <f t="shared" si="81"/>
        <v>128259.05724192546</v>
      </c>
      <c r="CE125">
        <f t="shared" si="82"/>
        <v>278847.59643141937</v>
      </c>
      <c r="CF125">
        <f t="shared" si="83"/>
        <v>119292.47302789842</v>
      </c>
      <c r="CG125">
        <f t="shared" si="84"/>
        <v>83770.04231671372</v>
      </c>
      <c r="CH125">
        <f t="shared" si="85"/>
        <v>300092.07254081866</v>
      </c>
      <c r="CI125">
        <f t="shared" si="86"/>
        <v>239004.30542355054</v>
      </c>
      <c r="CJ125">
        <f t="shared" si="87"/>
        <v>373508.54190304613</v>
      </c>
      <c r="CK125">
        <f t="shared" si="88"/>
        <v>335805.16136012977</v>
      </c>
      <c r="CL125">
        <f t="shared" si="89"/>
        <v>78625.343120143414</v>
      </c>
      <c r="CM125">
        <f t="shared" si="90"/>
        <v>243781.44385618682</v>
      </c>
      <c r="CN125">
        <f t="shared" si="91"/>
        <v>548861.54802201549</v>
      </c>
      <c r="CO125">
        <f t="shared" si="92"/>
        <v>143806.93864198707</v>
      </c>
      <c r="CP125">
        <f t="shared" si="93"/>
        <v>465205.04703729611</v>
      </c>
      <c r="CQ125">
        <f t="shared" si="94"/>
        <v>342340.40920507541</v>
      </c>
      <c r="CR125">
        <f t="shared" si="95"/>
        <v>216877.32727484047</v>
      </c>
      <c r="CS125">
        <f t="shared" si="96"/>
        <v>202257.42757550368</v>
      </c>
      <c r="CT125">
        <f t="shared" si="97"/>
        <v>45234.347346962793</v>
      </c>
      <c r="CU125">
        <f t="shared" si="98"/>
        <v>46567.357189394708</v>
      </c>
      <c r="CV125">
        <f t="shared" si="99"/>
        <v>174837.79805898081</v>
      </c>
      <c r="CW125">
        <f t="shared" si="100"/>
        <v>280799.51465892419</v>
      </c>
      <c r="CX125">
        <f t="shared" si="101"/>
        <v>535023.54635062267</v>
      </c>
      <c r="CY125">
        <f t="shared" si="102"/>
        <v>559587.29484140966</v>
      </c>
      <c r="CZ125">
        <f t="shared" si="103"/>
        <v>895036.38006964535</v>
      </c>
      <c r="DA125">
        <f t="shared" si="104"/>
        <v>396678.46605921059</v>
      </c>
      <c r="DB125">
        <f t="shared" si="105"/>
        <v>234239.97799612756</v>
      </c>
      <c r="DC125">
        <f t="shared" si="106"/>
        <v>473059.82230215718</v>
      </c>
      <c r="DD125">
        <f t="shared" si="107"/>
        <v>287782.4716443739</v>
      </c>
      <c r="DE125">
        <f t="shared" si="108"/>
        <v>16054.733336787096</v>
      </c>
      <c r="DF125">
        <f t="shared" si="109"/>
        <v>1286310.0508836138</v>
      </c>
      <c r="DG125">
        <f t="shared" si="110"/>
        <v>893143.98897724436</v>
      </c>
      <c r="DH125">
        <f t="shared" si="111"/>
        <v>1623548.423859294</v>
      </c>
      <c r="DI125">
        <f t="shared" si="112"/>
        <v>722831.67721237696</v>
      </c>
      <c r="DJ125">
        <f t="shared" si="113"/>
        <v>107926.25122295273</v>
      </c>
      <c r="DK125">
        <f t="shared" si="114"/>
        <v>242301.8182004696</v>
      </c>
      <c r="DL125">
        <f t="shared" si="115"/>
        <v>659312.97889831674</v>
      </c>
      <c r="DM125">
        <f t="shared" si="116"/>
        <v>524533.04434630182</v>
      </c>
      <c r="DN125">
        <f t="shared" si="117"/>
        <v>1075349.3540120444</v>
      </c>
      <c r="DO125">
        <f t="shared" si="118"/>
        <v>511028.73918927449</v>
      </c>
      <c r="DP125">
        <f t="shared" si="119"/>
        <v>407559.59327890177</v>
      </c>
      <c r="DQ125">
        <f t="shared" si="120"/>
        <v>1569650.1165033495</v>
      </c>
      <c r="DR125">
        <f t="shared" si="121"/>
        <v>957347.05206124531</v>
      </c>
      <c r="DS125">
        <f t="shared" si="122"/>
        <v>3083124.2803492225</v>
      </c>
      <c r="DT125">
        <f t="shared" si="123"/>
        <v>1424345.6888533481</v>
      </c>
      <c r="DU125">
        <f t="shared" si="124"/>
        <v>286432.00777863746</v>
      </c>
      <c r="DV125">
        <f t="shared" si="125"/>
        <v>821100.50361601345</v>
      </c>
      <c r="DW125">
        <f t="shared" si="126"/>
        <v>2299136.698331038</v>
      </c>
      <c r="DX125">
        <f t="shared" si="127"/>
        <v>293014.52491573431</v>
      </c>
      <c r="DY125">
        <f t="shared" si="128"/>
        <v>1915092.0855130535</v>
      </c>
      <c r="DZ125">
        <f t="shared" si="129"/>
        <v>1424598.8141382507</v>
      </c>
      <c r="EA125">
        <f t="shared" si="130"/>
        <v>893807.36194519117</v>
      </c>
      <c r="EB125">
        <f t="shared" si="131"/>
        <v>873045.10770683433</v>
      </c>
      <c r="EC125">
        <f t="shared" si="132"/>
        <v>172667.98047041756</v>
      </c>
      <c r="ED125">
        <f t="shared" si="133"/>
        <v>158275.61400955019</v>
      </c>
      <c r="EE125">
        <f t="shared" si="134"/>
        <v>339889.57649215817</v>
      </c>
      <c r="EF125">
        <f t="shared" si="135"/>
        <v>1066157.8740950515</v>
      </c>
      <c r="EG125">
        <f t="shared" si="136"/>
        <v>2400668.2565451581</v>
      </c>
      <c r="EH125">
        <f t="shared" si="137"/>
        <v>2048167.0876273166</v>
      </c>
      <c r="EI125">
        <f t="shared" si="138"/>
        <v>2607288.2817202033</v>
      </c>
      <c r="EJ125">
        <f t="shared" si="139"/>
        <v>2223661.2399123828</v>
      </c>
      <c r="EK125">
        <f t="shared" si="140"/>
        <v>572206.44202303689</v>
      </c>
      <c r="EL125">
        <f t="shared" si="141"/>
        <v>1331605.0107849902</v>
      </c>
      <c r="EM125">
        <f t="shared" si="142"/>
        <v>1055708.2325378691</v>
      </c>
      <c r="EN125">
        <f t="shared" si="143"/>
        <v>13763.763575251673</v>
      </c>
    </row>
    <row r="126" spans="2:144" x14ac:dyDescent="0.35">
      <c r="B126" s="87">
        <v>0</v>
      </c>
      <c r="C126" s="87">
        <v>0</v>
      </c>
      <c r="D126" s="87">
        <v>0</v>
      </c>
      <c r="E126" s="87">
        <v>0</v>
      </c>
      <c r="F126" s="87">
        <v>0</v>
      </c>
      <c r="G126" s="87">
        <v>0</v>
      </c>
      <c r="H126" s="87">
        <v>0</v>
      </c>
      <c r="I126" s="87">
        <v>0</v>
      </c>
      <c r="J126" s="87">
        <v>0</v>
      </c>
      <c r="K126" s="87">
        <v>0</v>
      </c>
      <c r="L126" s="87">
        <v>0</v>
      </c>
      <c r="M126" s="87">
        <v>0</v>
      </c>
      <c r="N126" s="87">
        <v>0</v>
      </c>
      <c r="O126" s="87">
        <v>0</v>
      </c>
      <c r="P126" s="87">
        <v>0</v>
      </c>
      <c r="Q126" s="87">
        <v>0</v>
      </c>
      <c r="R126" s="87">
        <v>0</v>
      </c>
      <c r="S126" s="87">
        <v>0</v>
      </c>
      <c r="T126" s="87">
        <v>0</v>
      </c>
      <c r="U126" s="87">
        <v>0</v>
      </c>
      <c r="V126" s="87">
        <v>0</v>
      </c>
      <c r="W126" s="87">
        <v>0</v>
      </c>
      <c r="X126" s="87">
        <v>0</v>
      </c>
      <c r="Y126" s="87">
        <v>0</v>
      </c>
      <c r="Z126" s="87">
        <v>0</v>
      </c>
      <c r="AA126" s="87">
        <v>0</v>
      </c>
      <c r="AB126" s="87">
        <v>0</v>
      </c>
      <c r="AC126" s="87">
        <v>0</v>
      </c>
      <c r="AD126" s="87">
        <v>0</v>
      </c>
      <c r="AE126" s="87">
        <v>0</v>
      </c>
      <c r="AF126" s="87">
        <v>0</v>
      </c>
      <c r="AG126" s="87">
        <v>0</v>
      </c>
      <c r="AH126" s="87">
        <v>0</v>
      </c>
      <c r="AI126" s="87">
        <v>0</v>
      </c>
      <c r="AJ126" s="87">
        <v>0</v>
      </c>
      <c r="AK126" s="87">
        <v>0</v>
      </c>
      <c r="AL126" s="87">
        <v>0</v>
      </c>
      <c r="AM126" s="87">
        <v>0</v>
      </c>
      <c r="AN126" s="87">
        <v>0</v>
      </c>
      <c r="AO126" s="87">
        <v>0</v>
      </c>
      <c r="AP126" s="87">
        <v>0</v>
      </c>
      <c r="AQ126" s="87">
        <v>0</v>
      </c>
      <c r="AR126" s="87">
        <v>0</v>
      </c>
      <c r="AS126" s="87">
        <v>0</v>
      </c>
      <c r="AT126" s="87">
        <v>0</v>
      </c>
      <c r="AU126" s="87">
        <v>0</v>
      </c>
      <c r="AV126" s="87">
        <v>0</v>
      </c>
      <c r="AW126" s="87">
        <v>1</v>
      </c>
      <c r="AX126" s="87">
        <v>0</v>
      </c>
      <c r="AY126" s="87">
        <v>0</v>
      </c>
      <c r="AZ126" s="87">
        <v>0</v>
      </c>
      <c r="BA126" s="87">
        <v>0</v>
      </c>
      <c r="BB126" s="87">
        <v>0</v>
      </c>
      <c r="BC126" s="87">
        <v>0</v>
      </c>
      <c r="BD126" s="87">
        <v>0</v>
      </c>
      <c r="BE126" s="87">
        <v>0</v>
      </c>
      <c r="BF126" s="87">
        <v>0</v>
      </c>
      <c r="BG126" s="87">
        <v>0</v>
      </c>
      <c r="BH126" s="87">
        <v>0</v>
      </c>
      <c r="BI126" s="87">
        <v>0</v>
      </c>
      <c r="BJ126" s="87">
        <v>0</v>
      </c>
      <c r="BK126" s="87">
        <v>0</v>
      </c>
      <c r="BL126" s="87">
        <v>0</v>
      </c>
      <c r="BM126" s="87">
        <v>0</v>
      </c>
      <c r="BN126" s="87">
        <v>0</v>
      </c>
      <c r="BO126" s="87">
        <v>0</v>
      </c>
      <c r="BP126" s="87">
        <v>0</v>
      </c>
      <c r="BQ126" s="87">
        <v>0</v>
      </c>
      <c r="BR126" s="87">
        <v>0</v>
      </c>
      <c r="BS126" s="87">
        <v>0</v>
      </c>
      <c r="BW126">
        <f t="shared" si="74"/>
        <v>232672.48590733891</v>
      </c>
      <c r="BX126">
        <f t="shared" si="75"/>
        <v>34839.716621068001</v>
      </c>
      <c r="BY126">
        <f t="shared" si="76"/>
        <v>371094.06353103736</v>
      </c>
      <c r="BZ126">
        <f t="shared" si="77"/>
        <v>76179.776535406141</v>
      </c>
      <c r="CA126">
        <f t="shared" si="78"/>
        <v>15011.396028380053</v>
      </c>
      <c r="CB126">
        <f t="shared" si="79"/>
        <v>51551.176130883803</v>
      </c>
      <c r="CC126">
        <f t="shared" si="80"/>
        <v>177768.63125311004</v>
      </c>
      <c r="CD126">
        <f t="shared" si="81"/>
        <v>128259.05724192546</v>
      </c>
      <c r="CE126">
        <f t="shared" si="82"/>
        <v>278847.59643141937</v>
      </c>
      <c r="CF126">
        <f t="shared" si="83"/>
        <v>119292.47302789842</v>
      </c>
      <c r="CG126">
        <f t="shared" si="84"/>
        <v>83770.04231671372</v>
      </c>
      <c r="CH126">
        <f t="shared" si="85"/>
        <v>300092.07254081866</v>
      </c>
      <c r="CI126">
        <f t="shared" si="86"/>
        <v>239004.30542355054</v>
      </c>
      <c r="CJ126">
        <f t="shared" si="87"/>
        <v>373508.54190304613</v>
      </c>
      <c r="CK126">
        <f t="shared" si="88"/>
        <v>335805.16136012977</v>
      </c>
      <c r="CL126">
        <f t="shared" si="89"/>
        <v>78625.343120143414</v>
      </c>
      <c r="CM126">
        <f t="shared" si="90"/>
        <v>243781.44385618682</v>
      </c>
      <c r="CN126">
        <f t="shared" si="91"/>
        <v>548861.54802201549</v>
      </c>
      <c r="CO126">
        <f t="shared" si="92"/>
        <v>143806.93864198707</v>
      </c>
      <c r="CP126">
        <f t="shared" si="93"/>
        <v>465205.04703729611</v>
      </c>
      <c r="CQ126">
        <f t="shared" si="94"/>
        <v>342340.40920507541</v>
      </c>
      <c r="CR126">
        <f t="shared" si="95"/>
        <v>216877.32727484047</v>
      </c>
      <c r="CS126">
        <f t="shared" si="96"/>
        <v>202257.42757550368</v>
      </c>
      <c r="CT126">
        <f t="shared" si="97"/>
        <v>45234.347346962793</v>
      </c>
      <c r="CU126">
        <f t="shared" si="98"/>
        <v>46567.357189394708</v>
      </c>
      <c r="CV126">
        <f t="shared" si="99"/>
        <v>174837.79805898081</v>
      </c>
      <c r="CW126">
        <f t="shared" si="100"/>
        <v>280799.51465892419</v>
      </c>
      <c r="CX126">
        <f t="shared" si="101"/>
        <v>535023.54635062267</v>
      </c>
      <c r="CY126">
        <f t="shared" si="102"/>
        <v>559587.29484140966</v>
      </c>
      <c r="CZ126">
        <f t="shared" si="103"/>
        <v>895036.38006964535</v>
      </c>
      <c r="DA126">
        <f t="shared" si="104"/>
        <v>396678.46605921059</v>
      </c>
      <c r="DB126">
        <f t="shared" si="105"/>
        <v>234239.97799612756</v>
      </c>
      <c r="DC126">
        <f t="shared" si="106"/>
        <v>473059.82230215718</v>
      </c>
      <c r="DD126">
        <f t="shared" si="107"/>
        <v>287782.4716443739</v>
      </c>
      <c r="DE126">
        <f t="shared" si="108"/>
        <v>16054.733336787096</v>
      </c>
      <c r="DF126">
        <f t="shared" si="109"/>
        <v>1286310.0508836138</v>
      </c>
      <c r="DG126">
        <f t="shared" si="110"/>
        <v>893143.98897724436</v>
      </c>
      <c r="DH126">
        <f t="shared" si="111"/>
        <v>1623548.423859294</v>
      </c>
      <c r="DI126">
        <f t="shared" si="112"/>
        <v>722831.67721237696</v>
      </c>
      <c r="DJ126">
        <f t="shared" si="113"/>
        <v>107926.25122295273</v>
      </c>
      <c r="DK126">
        <f t="shared" si="114"/>
        <v>242301.8182004696</v>
      </c>
      <c r="DL126">
        <f t="shared" si="115"/>
        <v>659312.97889831674</v>
      </c>
      <c r="DM126">
        <f t="shared" si="116"/>
        <v>524533.04434630182</v>
      </c>
      <c r="DN126">
        <f t="shared" si="117"/>
        <v>1075349.3540120444</v>
      </c>
      <c r="DO126">
        <f t="shared" si="118"/>
        <v>511028.73918927449</v>
      </c>
      <c r="DP126">
        <f t="shared" si="119"/>
        <v>407559.59327890177</v>
      </c>
      <c r="DQ126">
        <f t="shared" si="120"/>
        <v>1569650.1165033495</v>
      </c>
      <c r="DR126">
        <f t="shared" si="121"/>
        <v>957347.05206124531</v>
      </c>
      <c r="DS126">
        <f t="shared" si="122"/>
        <v>3083124.2803492225</v>
      </c>
      <c r="DT126">
        <f t="shared" si="123"/>
        <v>1424345.6888533481</v>
      </c>
      <c r="DU126">
        <f t="shared" si="124"/>
        <v>286432.00777863746</v>
      </c>
      <c r="DV126">
        <f t="shared" si="125"/>
        <v>821100.50361601345</v>
      </c>
      <c r="DW126">
        <f t="shared" si="126"/>
        <v>2299136.698331038</v>
      </c>
      <c r="DX126">
        <f t="shared" si="127"/>
        <v>293014.52491573431</v>
      </c>
      <c r="DY126">
        <f t="shared" si="128"/>
        <v>1915092.0855130535</v>
      </c>
      <c r="DZ126">
        <f t="shared" si="129"/>
        <v>1424598.8141382507</v>
      </c>
      <c r="EA126">
        <f t="shared" si="130"/>
        <v>893807.36194519117</v>
      </c>
      <c r="EB126">
        <f t="shared" si="131"/>
        <v>873045.10770683433</v>
      </c>
      <c r="EC126">
        <f t="shared" si="132"/>
        <v>172667.98047041756</v>
      </c>
      <c r="ED126">
        <f t="shared" si="133"/>
        <v>158275.61400955019</v>
      </c>
      <c r="EE126">
        <f t="shared" si="134"/>
        <v>339889.57649215817</v>
      </c>
      <c r="EF126">
        <f t="shared" si="135"/>
        <v>1066157.8740950515</v>
      </c>
      <c r="EG126">
        <f t="shared" si="136"/>
        <v>2400668.2565451581</v>
      </c>
      <c r="EH126">
        <f t="shared" si="137"/>
        <v>2048167.0876273166</v>
      </c>
      <c r="EI126">
        <f t="shared" si="138"/>
        <v>2607288.2817202033</v>
      </c>
      <c r="EJ126">
        <f t="shared" si="139"/>
        <v>2223661.2399123828</v>
      </c>
      <c r="EK126">
        <f t="shared" si="140"/>
        <v>572206.44202303689</v>
      </c>
      <c r="EL126">
        <f t="shared" si="141"/>
        <v>1331605.0107849902</v>
      </c>
      <c r="EM126">
        <f t="shared" si="142"/>
        <v>1055708.2325378691</v>
      </c>
      <c r="EN126">
        <f t="shared" si="143"/>
        <v>13763.763575251673</v>
      </c>
    </row>
    <row r="127" spans="2:144" x14ac:dyDescent="0.35">
      <c r="B127" s="87">
        <v>0</v>
      </c>
      <c r="C127" s="87">
        <v>0</v>
      </c>
      <c r="D127" s="87">
        <v>0</v>
      </c>
      <c r="E127" s="87">
        <v>0</v>
      </c>
      <c r="F127" s="87">
        <v>0</v>
      </c>
      <c r="G127" s="87">
        <v>0</v>
      </c>
      <c r="H127" s="87">
        <v>0</v>
      </c>
      <c r="I127" s="87">
        <v>0</v>
      </c>
      <c r="J127" s="87">
        <v>0</v>
      </c>
      <c r="K127" s="87">
        <v>0</v>
      </c>
      <c r="L127" s="87">
        <v>0</v>
      </c>
      <c r="M127" s="87">
        <v>0</v>
      </c>
      <c r="N127" s="87">
        <v>0</v>
      </c>
      <c r="O127" s="87">
        <v>0</v>
      </c>
      <c r="P127" s="87">
        <v>0</v>
      </c>
      <c r="Q127" s="87">
        <v>0</v>
      </c>
      <c r="R127" s="87">
        <v>0</v>
      </c>
      <c r="S127" s="87">
        <v>0</v>
      </c>
      <c r="T127" s="87">
        <v>0</v>
      </c>
      <c r="U127" s="87">
        <v>0</v>
      </c>
      <c r="V127" s="87">
        <v>0</v>
      </c>
      <c r="W127" s="87">
        <v>0</v>
      </c>
      <c r="X127" s="87">
        <v>0</v>
      </c>
      <c r="Y127" s="87">
        <v>0</v>
      </c>
      <c r="Z127" s="87">
        <v>0</v>
      </c>
      <c r="AA127" s="87">
        <v>0</v>
      </c>
      <c r="AB127" s="87">
        <v>0</v>
      </c>
      <c r="AC127" s="87">
        <v>0</v>
      </c>
      <c r="AD127" s="87">
        <v>0</v>
      </c>
      <c r="AE127" s="87">
        <v>0</v>
      </c>
      <c r="AF127" s="87">
        <v>0</v>
      </c>
      <c r="AG127" s="87">
        <v>0</v>
      </c>
      <c r="AH127" s="87">
        <v>0</v>
      </c>
      <c r="AI127" s="87">
        <v>0</v>
      </c>
      <c r="AJ127" s="87">
        <v>0</v>
      </c>
      <c r="AK127" s="87">
        <v>0</v>
      </c>
      <c r="AL127" s="87">
        <v>0</v>
      </c>
      <c r="AM127" s="87">
        <v>0</v>
      </c>
      <c r="AN127" s="87">
        <v>0</v>
      </c>
      <c r="AO127" s="87">
        <v>0</v>
      </c>
      <c r="AP127" s="87">
        <v>0</v>
      </c>
      <c r="AQ127" s="87">
        <v>0</v>
      </c>
      <c r="AR127" s="87">
        <v>0</v>
      </c>
      <c r="AS127" s="87">
        <v>0</v>
      </c>
      <c r="AT127" s="87">
        <v>0</v>
      </c>
      <c r="AU127" s="87">
        <v>0</v>
      </c>
      <c r="AV127" s="87">
        <v>0</v>
      </c>
      <c r="AW127" s="87">
        <v>0</v>
      </c>
      <c r="AX127" s="87">
        <v>1</v>
      </c>
      <c r="AY127" s="87">
        <v>0</v>
      </c>
      <c r="AZ127" s="87">
        <v>0</v>
      </c>
      <c r="BA127" s="87">
        <v>0</v>
      </c>
      <c r="BB127" s="87">
        <v>0</v>
      </c>
      <c r="BC127" s="87">
        <v>0</v>
      </c>
      <c r="BD127" s="87">
        <v>0</v>
      </c>
      <c r="BE127" s="87">
        <v>0</v>
      </c>
      <c r="BF127" s="87">
        <v>0</v>
      </c>
      <c r="BG127" s="87">
        <v>0</v>
      </c>
      <c r="BH127" s="87">
        <v>0</v>
      </c>
      <c r="BI127" s="87">
        <v>0</v>
      </c>
      <c r="BJ127" s="87">
        <v>0</v>
      </c>
      <c r="BK127" s="87">
        <v>0</v>
      </c>
      <c r="BL127" s="87">
        <v>0</v>
      </c>
      <c r="BM127" s="87">
        <v>0</v>
      </c>
      <c r="BN127" s="87">
        <v>0</v>
      </c>
      <c r="BO127" s="87">
        <v>0</v>
      </c>
      <c r="BP127" s="87">
        <v>0</v>
      </c>
      <c r="BQ127" s="87">
        <v>0</v>
      </c>
      <c r="BR127" s="87">
        <v>0</v>
      </c>
      <c r="BS127" s="87">
        <v>0</v>
      </c>
      <c r="BW127">
        <f t="shared" si="74"/>
        <v>232672.48590733891</v>
      </c>
      <c r="BX127">
        <f t="shared" si="75"/>
        <v>34839.716621068001</v>
      </c>
      <c r="BY127">
        <f t="shared" si="76"/>
        <v>371094.06353103736</v>
      </c>
      <c r="BZ127">
        <f t="shared" si="77"/>
        <v>76179.776535406141</v>
      </c>
      <c r="CA127">
        <f t="shared" si="78"/>
        <v>15011.396028380053</v>
      </c>
      <c r="CB127">
        <f t="shared" si="79"/>
        <v>51551.176130883803</v>
      </c>
      <c r="CC127">
        <f t="shared" si="80"/>
        <v>177768.63125311004</v>
      </c>
      <c r="CD127">
        <f t="shared" si="81"/>
        <v>128259.05724192546</v>
      </c>
      <c r="CE127">
        <f t="shared" si="82"/>
        <v>278847.59643141937</v>
      </c>
      <c r="CF127">
        <f t="shared" si="83"/>
        <v>119292.47302789842</v>
      </c>
      <c r="CG127">
        <f t="shared" si="84"/>
        <v>83770.04231671372</v>
      </c>
      <c r="CH127">
        <f t="shared" si="85"/>
        <v>300092.07254081866</v>
      </c>
      <c r="CI127">
        <f t="shared" si="86"/>
        <v>239004.30542355054</v>
      </c>
      <c r="CJ127">
        <f t="shared" si="87"/>
        <v>373508.54190304613</v>
      </c>
      <c r="CK127">
        <f t="shared" si="88"/>
        <v>335805.16136012977</v>
      </c>
      <c r="CL127">
        <f t="shared" si="89"/>
        <v>78625.343120143414</v>
      </c>
      <c r="CM127">
        <f t="shared" si="90"/>
        <v>243781.44385618682</v>
      </c>
      <c r="CN127">
        <f t="shared" si="91"/>
        <v>548861.54802201549</v>
      </c>
      <c r="CO127">
        <f t="shared" si="92"/>
        <v>143806.93864198707</v>
      </c>
      <c r="CP127">
        <f t="shared" si="93"/>
        <v>465205.04703729611</v>
      </c>
      <c r="CQ127">
        <f t="shared" si="94"/>
        <v>342340.40920507541</v>
      </c>
      <c r="CR127">
        <f t="shared" si="95"/>
        <v>216877.32727484047</v>
      </c>
      <c r="CS127">
        <f t="shared" si="96"/>
        <v>202257.42757550368</v>
      </c>
      <c r="CT127">
        <f t="shared" si="97"/>
        <v>45234.347346962793</v>
      </c>
      <c r="CU127">
        <f t="shared" si="98"/>
        <v>46567.357189394708</v>
      </c>
      <c r="CV127">
        <f t="shared" si="99"/>
        <v>174837.79805898081</v>
      </c>
      <c r="CW127">
        <f t="shared" si="100"/>
        <v>280799.51465892419</v>
      </c>
      <c r="CX127">
        <f t="shared" si="101"/>
        <v>535023.54635062267</v>
      </c>
      <c r="CY127">
        <f t="shared" si="102"/>
        <v>559587.29484140966</v>
      </c>
      <c r="CZ127">
        <f t="shared" si="103"/>
        <v>895036.38006964535</v>
      </c>
      <c r="DA127">
        <f t="shared" si="104"/>
        <v>396678.46605921059</v>
      </c>
      <c r="DB127">
        <f t="shared" si="105"/>
        <v>234239.97799612756</v>
      </c>
      <c r="DC127">
        <f t="shared" si="106"/>
        <v>473059.82230215718</v>
      </c>
      <c r="DD127">
        <f t="shared" si="107"/>
        <v>287782.4716443739</v>
      </c>
      <c r="DE127">
        <f t="shared" si="108"/>
        <v>16054.733336787096</v>
      </c>
      <c r="DF127">
        <f t="shared" si="109"/>
        <v>1286310.0508836138</v>
      </c>
      <c r="DG127">
        <f t="shared" si="110"/>
        <v>893143.98897724436</v>
      </c>
      <c r="DH127">
        <f t="shared" si="111"/>
        <v>1623548.423859294</v>
      </c>
      <c r="DI127">
        <f t="shared" si="112"/>
        <v>722831.67721237696</v>
      </c>
      <c r="DJ127">
        <f t="shared" si="113"/>
        <v>107926.25122295273</v>
      </c>
      <c r="DK127">
        <f t="shared" si="114"/>
        <v>242301.8182004696</v>
      </c>
      <c r="DL127">
        <f t="shared" si="115"/>
        <v>659312.97889831674</v>
      </c>
      <c r="DM127">
        <f t="shared" si="116"/>
        <v>524533.04434630182</v>
      </c>
      <c r="DN127">
        <f t="shared" si="117"/>
        <v>1075349.3540120444</v>
      </c>
      <c r="DO127">
        <f t="shared" si="118"/>
        <v>511028.73918927449</v>
      </c>
      <c r="DP127">
        <f t="shared" si="119"/>
        <v>407559.59327890177</v>
      </c>
      <c r="DQ127">
        <f t="shared" si="120"/>
        <v>1569650.1165033495</v>
      </c>
      <c r="DR127">
        <f t="shared" si="121"/>
        <v>957347.05206124531</v>
      </c>
      <c r="DS127">
        <f t="shared" si="122"/>
        <v>3083124.2803492225</v>
      </c>
      <c r="DT127">
        <f t="shared" si="123"/>
        <v>1424345.6888533481</v>
      </c>
      <c r="DU127">
        <f t="shared" si="124"/>
        <v>286432.00777863746</v>
      </c>
      <c r="DV127">
        <f t="shared" si="125"/>
        <v>821100.50361601345</v>
      </c>
      <c r="DW127">
        <f t="shared" si="126"/>
        <v>2299136.698331038</v>
      </c>
      <c r="DX127">
        <f t="shared" si="127"/>
        <v>293014.52491573431</v>
      </c>
      <c r="DY127">
        <f t="shared" si="128"/>
        <v>1915092.0855130535</v>
      </c>
      <c r="DZ127">
        <f t="shared" si="129"/>
        <v>1424598.8141382507</v>
      </c>
      <c r="EA127">
        <f t="shared" si="130"/>
        <v>893807.36194519117</v>
      </c>
      <c r="EB127">
        <f t="shared" si="131"/>
        <v>873045.10770683433</v>
      </c>
      <c r="EC127">
        <f t="shared" si="132"/>
        <v>172667.98047041756</v>
      </c>
      <c r="ED127">
        <f t="shared" si="133"/>
        <v>158275.61400955019</v>
      </c>
      <c r="EE127">
        <f t="shared" si="134"/>
        <v>339889.57649215817</v>
      </c>
      <c r="EF127">
        <f t="shared" si="135"/>
        <v>1066157.8740950515</v>
      </c>
      <c r="EG127">
        <f t="shared" si="136"/>
        <v>2400668.2565451581</v>
      </c>
      <c r="EH127">
        <f t="shared" si="137"/>
        <v>2048167.0876273166</v>
      </c>
      <c r="EI127">
        <f t="shared" si="138"/>
        <v>2607288.2817202033</v>
      </c>
      <c r="EJ127">
        <f t="shared" si="139"/>
        <v>2223661.2399123828</v>
      </c>
      <c r="EK127">
        <f t="shared" si="140"/>
        <v>572206.44202303689</v>
      </c>
      <c r="EL127">
        <f t="shared" si="141"/>
        <v>1331605.0107849902</v>
      </c>
      <c r="EM127">
        <f t="shared" si="142"/>
        <v>1055708.2325378691</v>
      </c>
      <c r="EN127">
        <f t="shared" si="143"/>
        <v>13763.763575251673</v>
      </c>
    </row>
    <row r="128" spans="2:144" x14ac:dyDescent="0.35">
      <c r="B128" s="87">
        <v>0</v>
      </c>
      <c r="C128" s="87">
        <v>0</v>
      </c>
      <c r="D128" s="87">
        <v>0</v>
      </c>
      <c r="E128" s="87">
        <v>0</v>
      </c>
      <c r="F128" s="87">
        <v>0</v>
      </c>
      <c r="G128" s="87">
        <v>0</v>
      </c>
      <c r="H128" s="87">
        <v>0</v>
      </c>
      <c r="I128" s="87">
        <v>0</v>
      </c>
      <c r="J128" s="87">
        <v>0</v>
      </c>
      <c r="K128" s="87">
        <v>0</v>
      </c>
      <c r="L128" s="87">
        <v>0</v>
      </c>
      <c r="M128" s="87">
        <v>0</v>
      </c>
      <c r="N128" s="87">
        <v>0</v>
      </c>
      <c r="O128" s="87">
        <v>0</v>
      </c>
      <c r="P128" s="87">
        <v>0</v>
      </c>
      <c r="Q128" s="87">
        <v>0</v>
      </c>
      <c r="R128" s="87">
        <v>0</v>
      </c>
      <c r="S128" s="87">
        <v>0</v>
      </c>
      <c r="T128" s="87">
        <v>0</v>
      </c>
      <c r="U128" s="87">
        <v>0</v>
      </c>
      <c r="V128" s="87">
        <v>0</v>
      </c>
      <c r="W128" s="87">
        <v>0</v>
      </c>
      <c r="X128" s="87">
        <v>0</v>
      </c>
      <c r="Y128" s="87">
        <v>0</v>
      </c>
      <c r="Z128" s="87">
        <v>0</v>
      </c>
      <c r="AA128" s="87">
        <v>0</v>
      </c>
      <c r="AB128" s="87">
        <v>0</v>
      </c>
      <c r="AC128" s="87">
        <v>0</v>
      </c>
      <c r="AD128" s="87">
        <v>0</v>
      </c>
      <c r="AE128" s="87">
        <v>0</v>
      </c>
      <c r="AF128" s="87">
        <v>0</v>
      </c>
      <c r="AG128" s="87">
        <v>0</v>
      </c>
      <c r="AH128" s="87">
        <v>0</v>
      </c>
      <c r="AI128" s="87">
        <v>0</v>
      </c>
      <c r="AJ128" s="87">
        <v>0</v>
      </c>
      <c r="AK128" s="87">
        <v>0</v>
      </c>
      <c r="AL128" s="87">
        <v>0</v>
      </c>
      <c r="AM128" s="87">
        <v>0</v>
      </c>
      <c r="AN128" s="87">
        <v>0</v>
      </c>
      <c r="AO128" s="87">
        <v>0</v>
      </c>
      <c r="AP128" s="87">
        <v>0</v>
      </c>
      <c r="AQ128" s="87">
        <v>0</v>
      </c>
      <c r="AR128" s="87">
        <v>0</v>
      </c>
      <c r="AS128" s="87">
        <v>0</v>
      </c>
      <c r="AT128" s="87">
        <v>0</v>
      </c>
      <c r="AU128" s="87">
        <v>0</v>
      </c>
      <c r="AV128" s="87">
        <v>0</v>
      </c>
      <c r="AW128" s="87">
        <v>0</v>
      </c>
      <c r="AX128" s="87">
        <v>0</v>
      </c>
      <c r="AY128" s="87">
        <v>1</v>
      </c>
      <c r="AZ128" s="87">
        <v>0</v>
      </c>
      <c r="BA128" s="87">
        <v>0</v>
      </c>
      <c r="BB128" s="87">
        <v>0</v>
      </c>
      <c r="BC128" s="87">
        <v>0</v>
      </c>
      <c r="BD128" s="87">
        <v>0</v>
      </c>
      <c r="BE128" s="87">
        <v>0</v>
      </c>
      <c r="BF128" s="87">
        <v>0</v>
      </c>
      <c r="BG128" s="87">
        <v>0</v>
      </c>
      <c r="BH128" s="87">
        <v>0</v>
      </c>
      <c r="BI128" s="87">
        <v>0</v>
      </c>
      <c r="BJ128" s="87">
        <v>0</v>
      </c>
      <c r="BK128" s="87">
        <v>0</v>
      </c>
      <c r="BL128" s="87">
        <v>0</v>
      </c>
      <c r="BM128" s="87">
        <v>0</v>
      </c>
      <c r="BN128" s="87">
        <v>0</v>
      </c>
      <c r="BO128" s="87">
        <v>0</v>
      </c>
      <c r="BP128" s="87">
        <v>0</v>
      </c>
      <c r="BQ128" s="87">
        <v>0</v>
      </c>
      <c r="BR128" s="87">
        <v>0</v>
      </c>
      <c r="BS128" s="87">
        <v>0</v>
      </c>
      <c r="BW128">
        <f t="shared" si="74"/>
        <v>232672.48590733891</v>
      </c>
      <c r="BX128">
        <f t="shared" si="75"/>
        <v>34839.716621068001</v>
      </c>
      <c r="BY128">
        <f t="shared" si="76"/>
        <v>371094.06353103736</v>
      </c>
      <c r="BZ128">
        <f t="shared" si="77"/>
        <v>76179.776535406141</v>
      </c>
      <c r="CA128">
        <f t="shared" si="78"/>
        <v>15011.396028380053</v>
      </c>
      <c r="CB128">
        <f t="shared" si="79"/>
        <v>51551.176130883803</v>
      </c>
      <c r="CC128">
        <f t="shared" si="80"/>
        <v>177768.63125311004</v>
      </c>
      <c r="CD128">
        <f t="shared" si="81"/>
        <v>128259.05724192546</v>
      </c>
      <c r="CE128">
        <f t="shared" si="82"/>
        <v>278847.59643141937</v>
      </c>
      <c r="CF128">
        <f t="shared" si="83"/>
        <v>119292.47302789842</v>
      </c>
      <c r="CG128">
        <f t="shared" si="84"/>
        <v>83770.04231671372</v>
      </c>
      <c r="CH128">
        <f t="shared" si="85"/>
        <v>300092.07254081866</v>
      </c>
      <c r="CI128">
        <f t="shared" si="86"/>
        <v>239004.30542355054</v>
      </c>
      <c r="CJ128">
        <f t="shared" si="87"/>
        <v>373508.54190304613</v>
      </c>
      <c r="CK128">
        <f t="shared" si="88"/>
        <v>335805.16136012977</v>
      </c>
      <c r="CL128">
        <f t="shared" si="89"/>
        <v>78625.343120143414</v>
      </c>
      <c r="CM128">
        <f t="shared" si="90"/>
        <v>243781.44385618682</v>
      </c>
      <c r="CN128">
        <f t="shared" si="91"/>
        <v>548861.54802201549</v>
      </c>
      <c r="CO128">
        <f t="shared" si="92"/>
        <v>143806.93864198707</v>
      </c>
      <c r="CP128">
        <f t="shared" si="93"/>
        <v>465205.04703729611</v>
      </c>
      <c r="CQ128">
        <f t="shared" si="94"/>
        <v>342340.40920507541</v>
      </c>
      <c r="CR128">
        <f t="shared" si="95"/>
        <v>216877.32727484047</v>
      </c>
      <c r="CS128">
        <f t="shared" si="96"/>
        <v>202257.42757550368</v>
      </c>
      <c r="CT128">
        <f t="shared" si="97"/>
        <v>45234.347346962793</v>
      </c>
      <c r="CU128">
        <f t="shared" si="98"/>
        <v>46567.357189394708</v>
      </c>
      <c r="CV128">
        <f t="shared" si="99"/>
        <v>174837.79805898081</v>
      </c>
      <c r="CW128">
        <f t="shared" si="100"/>
        <v>280799.51465892419</v>
      </c>
      <c r="CX128">
        <f t="shared" si="101"/>
        <v>535023.54635062267</v>
      </c>
      <c r="CY128">
        <f t="shared" si="102"/>
        <v>559587.29484140966</v>
      </c>
      <c r="CZ128">
        <f t="shared" si="103"/>
        <v>895036.38006964535</v>
      </c>
      <c r="DA128">
        <f t="shared" si="104"/>
        <v>396678.46605921059</v>
      </c>
      <c r="DB128">
        <f t="shared" si="105"/>
        <v>234239.97799612756</v>
      </c>
      <c r="DC128">
        <f t="shared" si="106"/>
        <v>473059.82230215718</v>
      </c>
      <c r="DD128">
        <f t="shared" si="107"/>
        <v>287782.4716443739</v>
      </c>
      <c r="DE128">
        <f t="shared" si="108"/>
        <v>16054.733336787096</v>
      </c>
      <c r="DF128">
        <f t="shared" si="109"/>
        <v>1286310.0508836138</v>
      </c>
      <c r="DG128">
        <f t="shared" si="110"/>
        <v>893143.98897724436</v>
      </c>
      <c r="DH128">
        <f t="shared" si="111"/>
        <v>1623548.423859294</v>
      </c>
      <c r="DI128">
        <f t="shared" si="112"/>
        <v>722831.67721237696</v>
      </c>
      <c r="DJ128">
        <f t="shared" si="113"/>
        <v>107926.25122295273</v>
      </c>
      <c r="DK128">
        <f t="shared" si="114"/>
        <v>242301.8182004696</v>
      </c>
      <c r="DL128">
        <f t="shared" si="115"/>
        <v>659312.97889831674</v>
      </c>
      <c r="DM128">
        <f t="shared" si="116"/>
        <v>524533.04434630182</v>
      </c>
      <c r="DN128">
        <f t="shared" si="117"/>
        <v>1075349.3540120444</v>
      </c>
      <c r="DO128">
        <f t="shared" si="118"/>
        <v>511028.73918927449</v>
      </c>
      <c r="DP128">
        <f t="shared" si="119"/>
        <v>407559.59327890177</v>
      </c>
      <c r="DQ128">
        <f t="shared" si="120"/>
        <v>1569650.1165033495</v>
      </c>
      <c r="DR128">
        <f t="shared" si="121"/>
        <v>957347.05206124531</v>
      </c>
      <c r="DS128">
        <f t="shared" si="122"/>
        <v>3083124.2803492225</v>
      </c>
      <c r="DT128">
        <f t="shared" si="123"/>
        <v>1424345.6888533481</v>
      </c>
      <c r="DU128">
        <f t="shared" si="124"/>
        <v>286432.00777863746</v>
      </c>
      <c r="DV128">
        <f t="shared" si="125"/>
        <v>821100.50361601345</v>
      </c>
      <c r="DW128">
        <f t="shared" si="126"/>
        <v>2299136.698331038</v>
      </c>
      <c r="DX128">
        <f t="shared" si="127"/>
        <v>293014.52491573431</v>
      </c>
      <c r="DY128">
        <f t="shared" si="128"/>
        <v>1915092.0855130535</v>
      </c>
      <c r="DZ128">
        <f t="shared" si="129"/>
        <v>1424598.8141382507</v>
      </c>
      <c r="EA128">
        <f t="shared" si="130"/>
        <v>893807.36194519117</v>
      </c>
      <c r="EB128">
        <f t="shared" si="131"/>
        <v>873045.10770683433</v>
      </c>
      <c r="EC128">
        <f t="shared" si="132"/>
        <v>172667.98047041756</v>
      </c>
      <c r="ED128">
        <f t="shared" si="133"/>
        <v>158275.61400955019</v>
      </c>
      <c r="EE128">
        <f t="shared" si="134"/>
        <v>339889.57649215817</v>
      </c>
      <c r="EF128">
        <f t="shared" si="135"/>
        <v>1066157.8740950515</v>
      </c>
      <c r="EG128">
        <f t="shared" si="136"/>
        <v>2400668.2565451581</v>
      </c>
      <c r="EH128">
        <f t="shared" si="137"/>
        <v>2048167.0876273166</v>
      </c>
      <c r="EI128">
        <f t="shared" si="138"/>
        <v>2607288.2817202033</v>
      </c>
      <c r="EJ128">
        <f t="shared" si="139"/>
        <v>2223661.2399123828</v>
      </c>
      <c r="EK128">
        <f t="shared" si="140"/>
        <v>572206.44202303689</v>
      </c>
      <c r="EL128">
        <f t="shared" si="141"/>
        <v>1331605.0107849902</v>
      </c>
      <c r="EM128">
        <f t="shared" si="142"/>
        <v>1055708.2325378691</v>
      </c>
      <c r="EN128">
        <f t="shared" si="143"/>
        <v>13763.763575251673</v>
      </c>
    </row>
    <row r="129" spans="2:144" x14ac:dyDescent="0.35">
      <c r="B129" s="87">
        <v>0</v>
      </c>
      <c r="C129" s="87">
        <v>0</v>
      </c>
      <c r="D129" s="87">
        <v>0</v>
      </c>
      <c r="E129" s="87">
        <v>0</v>
      </c>
      <c r="F129" s="87">
        <v>0</v>
      </c>
      <c r="G129" s="87">
        <v>0</v>
      </c>
      <c r="H129" s="87">
        <v>0</v>
      </c>
      <c r="I129" s="87">
        <v>0</v>
      </c>
      <c r="J129" s="87">
        <v>0</v>
      </c>
      <c r="K129" s="87">
        <v>0</v>
      </c>
      <c r="L129" s="87">
        <v>0</v>
      </c>
      <c r="M129" s="87">
        <v>0</v>
      </c>
      <c r="N129" s="87">
        <v>0</v>
      </c>
      <c r="O129" s="87">
        <v>0</v>
      </c>
      <c r="P129" s="87">
        <v>0</v>
      </c>
      <c r="Q129" s="87">
        <v>0</v>
      </c>
      <c r="R129" s="87">
        <v>0</v>
      </c>
      <c r="S129" s="87">
        <v>0</v>
      </c>
      <c r="T129" s="87">
        <v>0</v>
      </c>
      <c r="U129" s="87">
        <v>0</v>
      </c>
      <c r="V129" s="87">
        <v>0</v>
      </c>
      <c r="W129" s="87">
        <v>0</v>
      </c>
      <c r="X129" s="87">
        <v>0</v>
      </c>
      <c r="Y129" s="87">
        <v>0</v>
      </c>
      <c r="Z129" s="87">
        <v>0</v>
      </c>
      <c r="AA129" s="87">
        <v>0</v>
      </c>
      <c r="AB129" s="87">
        <v>0</v>
      </c>
      <c r="AC129" s="87">
        <v>0</v>
      </c>
      <c r="AD129" s="87">
        <v>0</v>
      </c>
      <c r="AE129" s="87">
        <v>0</v>
      </c>
      <c r="AF129" s="87">
        <v>0</v>
      </c>
      <c r="AG129" s="87">
        <v>0</v>
      </c>
      <c r="AH129" s="87">
        <v>0</v>
      </c>
      <c r="AI129" s="87">
        <v>0</v>
      </c>
      <c r="AJ129" s="87">
        <v>0</v>
      </c>
      <c r="AK129" s="87">
        <v>0</v>
      </c>
      <c r="AL129" s="87">
        <v>0</v>
      </c>
      <c r="AM129" s="87">
        <v>0</v>
      </c>
      <c r="AN129" s="87">
        <v>0</v>
      </c>
      <c r="AO129" s="87">
        <v>0</v>
      </c>
      <c r="AP129" s="87">
        <v>0</v>
      </c>
      <c r="AQ129" s="87">
        <v>0</v>
      </c>
      <c r="AR129" s="87">
        <v>0</v>
      </c>
      <c r="AS129" s="87">
        <v>0</v>
      </c>
      <c r="AT129" s="87">
        <v>0</v>
      </c>
      <c r="AU129" s="87">
        <v>0</v>
      </c>
      <c r="AV129" s="87">
        <v>0</v>
      </c>
      <c r="AW129" s="87">
        <v>0</v>
      </c>
      <c r="AX129" s="87">
        <v>0</v>
      </c>
      <c r="AY129" s="87">
        <v>0</v>
      </c>
      <c r="AZ129" s="87">
        <v>1</v>
      </c>
      <c r="BA129" s="87">
        <v>0</v>
      </c>
      <c r="BB129" s="87">
        <v>0</v>
      </c>
      <c r="BC129" s="87">
        <v>0</v>
      </c>
      <c r="BD129" s="87">
        <v>0</v>
      </c>
      <c r="BE129" s="87">
        <v>0</v>
      </c>
      <c r="BF129" s="87">
        <v>0</v>
      </c>
      <c r="BG129" s="87">
        <v>0</v>
      </c>
      <c r="BH129" s="87">
        <v>0</v>
      </c>
      <c r="BI129" s="87">
        <v>0</v>
      </c>
      <c r="BJ129" s="87">
        <v>0</v>
      </c>
      <c r="BK129" s="87">
        <v>0</v>
      </c>
      <c r="BL129" s="87">
        <v>0</v>
      </c>
      <c r="BM129" s="87">
        <v>0</v>
      </c>
      <c r="BN129" s="87">
        <v>0</v>
      </c>
      <c r="BO129" s="87">
        <v>0</v>
      </c>
      <c r="BP129" s="87">
        <v>0</v>
      </c>
      <c r="BQ129" s="87">
        <v>0</v>
      </c>
      <c r="BR129" s="87">
        <v>0</v>
      </c>
      <c r="BS129" s="87">
        <v>0</v>
      </c>
      <c r="BW129">
        <f t="shared" si="74"/>
        <v>232672.48590733891</v>
      </c>
      <c r="BX129">
        <f t="shared" si="75"/>
        <v>34839.716621068001</v>
      </c>
      <c r="BY129">
        <f t="shared" si="76"/>
        <v>371094.06353103736</v>
      </c>
      <c r="BZ129">
        <f t="shared" si="77"/>
        <v>76179.776535406141</v>
      </c>
      <c r="CA129">
        <f t="shared" si="78"/>
        <v>15011.396028380053</v>
      </c>
      <c r="CB129">
        <f t="shared" si="79"/>
        <v>51551.176130883803</v>
      </c>
      <c r="CC129">
        <f t="shared" si="80"/>
        <v>177768.63125311004</v>
      </c>
      <c r="CD129">
        <f t="shared" si="81"/>
        <v>128259.05724192546</v>
      </c>
      <c r="CE129">
        <f t="shared" si="82"/>
        <v>278847.59643141937</v>
      </c>
      <c r="CF129">
        <f t="shared" si="83"/>
        <v>119292.47302789842</v>
      </c>
      <c r="CG129">
        <f t="shared" si="84"/>
        <v>83770.04231671372</v>
      </c>
      <c r="CH129">
        <f t="shared" si="85"/>
        <v>300092.07254081866</v>
      </c>
      <c r="CI129">
        <f t="shared" si="86"/>
        <v>239004.30542355054</v>
      </c>
      <c r="CJ129">
        <f t="shared" si="87"/>
        <v>373508.54190304613</v>
      </c>
      <c r="CK129">
        <f t="shared" si="88"/>
        <v>335805.16136012977</v>
      </c>
      <c r="CL129">
        <f t="shared" si="89"/>
        <v>78625.343120143414</v>
      </c>
      <c r="CM129">
        <f t="shared" si="90"/>
        <v>243781.44385618682</v>
      </c>
      <c r="CN129">
        <f t="shared" si="91"/>
        <v>548861.54802201549</v>
      </c>
      <c r="CO129">
        <f t="shared" si="92"/>
        <v>143806.93864198707</v>
      </c>
      <c r="CP129">
        <f t="shared" si="93"/>
        <v>465205.04703729611</v>
      </c>
      <c r="CQ129">
        <f t="shared" si="94"/>
        <v>342340.40920507541</v>
      </c>
      <c r="CR129">
        <f t="shared" si="95"/>
        <v>216877.32727484047</v>
      </c>
      <c r="CS129">
        <f t="shared" si="96"/>
        <v>202257.42757550368</v>
      </c>
      <c r="CT129">
        <f t="shared" si="97"/>
        <v>45234.347346962793</v>
      </c>
      <c r="CU129">
        <f t="shared" si="98"/>
        <v>46567.357189394708</v>
      </c>
      <c r="CV129">
        <f t="shared" si="99"/>
        <v>174837.79805898081</v>
      </c>
      <c r="CW129">
        <f t="shared" si="100"/>
        <v>280799.51465892419</v>
      </c>
      <c r="CX129">
        <f t="shared" si="101"/>
        <v>535023.54635062267</v>
      </c>
      <c r="CY129">
        <f t="shared" si="102"/>
        <v>559587.29484140966</v>
      </c>
      <c r="CZ129">
        <f t="shared" si="103"/>
        <v>895036.38006964535</v>
      </c>
      <c r="DA129">
        <f t="shared" si="104"/>
        <v>396678.46605921059</v>
      </c>
      <c r="DB129">
        <f t="shared" si="105"/>
        <v>234239.97799612756</v>
      </c>
      <c r="DC129">
        <f t="shared" si="106"/>
        <v>473059.82230215718</v>
      </c>
      <c r="DD129">
        <f t="shared" si="107"/>
        <v>287782.4716443739</v>
      </c>
      <c r="DE129">
        <f t="shared" si="108"/>
        <v>16054.733336787096</v>
      </c>
      <c r="DF129">
        <f t="shared" si="109"/>
        <v>1286310.0508836138</v>
      </c>
      <c r="DG129">
        <f t="shared" si="110"/>
        <v>893143.98897724436</v>
      </c>
      <c r="DH129">
        <f t="shared" si="111"/>
        <v>1623548.423859294</v>
      </c>
      <c r="DI129">
        <f t="shared" si="112"/>
        <v>722831.67721237696</v>
      </c>
      <c r="DJ129">
        <f t="shared" si="113"/>
        <v>107926.25122295273</v>
      </c>
      <c r="DK129">
        <f t="shared" si="114"/>
        <v>242301.8182004696</v>
      </c>
      <c r="DL129">
        <f t="shared" si="115"/>
        <v>659312.97889831674</v>
      </c>
      <c r="DM129">
        <f t="shared" si="116"/>
        <v>524533.04434630182</v>
      </c>
      <c r="DN129">
        <f t="shared" si="117"/>
        <v>1075349.3540120444</v>
      </c>
      <c r="DO129">
        <f t="shared" si="118"/>
        <v>511028.73918927449</v>
      </c>
      <c r="DP129">
        <f t="shared" si="119"/>
        <v>407559.59327890177</v>
      </c>
      <c r="DQ129">
        <f t="shared" si="120"/>
        <v>1569650.1165033495</v>
      </c>
      <c r="DR129">
        <f t="shared" si="121"/>
        <v>957347.05206124531</v>
      </c>
      <c r="DS129">
        <f t="shared" si="122"/>
        <v>3083124.2803492225</v>
      </c>
      <c r="DT129">
        <f t="shared" si="123"/>
        <v>1424345.6888533481</v>
      </c>
      <c r="DU129">
        <f t="shared" si="124"/>
        <v>286432.00777863746</v>
      </c>
      <c r="DV129">
        <f t="shared" si="125"/>
        <v>821100.50361601345</v>
      </c>
      <c r="DW129">
        <f t="shared" si="126"/>
        <v>2299136.698331038</v>
      </c>
      <c r="DX129">
        <f t="shared" si="127"/>
        <v>293014.52491573431</v>
      </c>
      <c r="DY129">
        <f t="shared" si="128"/>
        <v>1915092.0855130535</v>
      </c>
      <c r="DZ129">
        <f t="shared" si="129"/>
        <v>1424598.8141382507</v>
      </c>
      <c r="EA129">
        <f t="shared" si="130"/>
        <v>893807.36194519117</v>
      </c>
      <c r="EB129">
        <f t="shared" si="131"/>
        <v>873045.10770683433</v>
      </c>
      <c r="EC129">
        <f t="shared" si="132"/>
        <v>172667.98047041756</v>
      </c>
      <c r="ED129">
        <f t="shared" si="133"/>
        <v>158275.61400955019</v>
      </c>
      <c r="EE129">
        <f t="shared" si="134"/>
        <v>339889.57649215817</v>
      </c>
      <c r="EF129">
        <f t="shared" si="135"/>
        <v>1066157.8740950515</v>
      </c>
      <c r="EG129">
        <f t="shared" si="136"/>
        <v>2400668.2565451581</v>
      </c>
      <c r="EH129">
        <f t="shared" si="137"/>
        <v>2048167.0876273166</v>
      </c>
      <c r="EI129">
        <f t="shared" si="138"/>
        <v>2607288.2817202033</v>
      </c>
      <c r="EJ129">
        <f t="shared" si="139"/>
        <v>2223661.2399123828</v>
      </c>
      <c r="EK129">
        <f t="shared" si="140"/>
        <v>572206.44202303689</v>
      </c>
      <c r="EL129">
        <f t="shared" si="141"/>
        <v>1331605.0107849902</v>
      </c>
      <c r="EM129">
        <f t="shared" si="142"/>
        <v>1055708.2325378691</v>
      </c>
      <c r="EN129">
        <f t="shared" si="143"/>
        <v>13763.763575251673</v>
      </c>
    </row>
    <row r="130" spans="2:144" x14ac:dyDescent="0.35">
      <c r="B130" s="87">
        <v>0</v>
      </c>
      <c r="C130" s="87">
        <v>0</v>
      </c>
      <c r="D130" s="87">
        <v>0</v>
      </c>
      <c r="E130" s="87">
        <v>0</v>
      </c>
      <c r="F130" s="87">
        <v>0</v>
      </c>
      <c r="G130" s="87">
        <v>0</v>
      </c>
      <c r="H130" s="87">
        <v>0</v>
      </c>
      <c r="I130" s="87">
        <v>0</v>
      </c>
      <c r="J130" s="87">
        <v>0</v>
      </c>
      <c r="K130" s="87">
        <v>0</v>
      </c>
      <c r="L130" s="87">
        <v>0</v>
      </c>
      <c r="M130" s="87">
        <v>0</v>
      </c>
      <c r="N130" s="87">
        <v>0</v>
      </c>
      <c r="O130" s="87">
        <v>0</v>
      </c>
      <c r="P130" s="87">
        <v>0</v>
      </c>
      <c r="Q130" s="87">
        <v>0</v>
      </c>
      <c r="R130" s="87">
        <v>0</v>
      </c>
      <c r="S130" s="87">
        <v>0</v>
      </c>
      <c r="T130" s="87">
        <v>0</v>
      </c>
      <c r="U130" s="87">
        <v>0</v>
      </c>
      <c r="V130" s="87">
        <v>0</v>
      </c>
      <c r="W130" s="87">
        <v>0</v>
      </c>
      <c r="X130" s="87">
        <v>0</v>
      </c>
      <c r="Y130" s="87">
        <v>0</v>
      </c>
      <c r="Z130" s="87">
        <v>0</v>
      </c>
      <c r="AA130" s="87">
        <v>0</v>
      </c>
      <c r="AB130" s="87">
        <v>0</v>
      </c>
      <c r="AC130" s="87">
        <v>0</v>
      </c>
      <c r="AD130" s="87">
        <v>0</v>
      </c>
      <c r="AE130" s="87">
        <v>0</v>
      </c>
      <c r="AF130" s="87">
        <v>0</v>
      </c>
      <c r="AG130" s="87">
        <v>0</v>
      </c>
      <c r="AH130" s="87">
        <v>0</v>
      </c>
      <c r="AI130" s="87">
        <v>0</v>
      </c>
      <c r="AJ130" s="87">
        <v>0</v>
      </c>
      <c r="AK130" s="87">
        <v>0</v>
      </c>
      <c r="AL130" s="87">
        <v>0</v>
      </c>
      <c r="AM130" s="87">
        <v>0</v>
      </c>
      <c r="AN130" s="87">
        <v>0</v>
      </c>
      <c r="AO130" s="87">
        <v>0</v>
      </c>
      <c r="AP130" s="87">
        <v>0</v>
      </c>
      <c r="AQ130" s="87">
        <v>0</v>
      </c>
      <c r="AR130" s="87">
        <v>0</v>
      </c>
      <c r="AS130" s="87">
        <v>0</v>
      </c>
      <c r="AT130" s="87">
        <v>0</v>
      </c>
      <c r="AU130" s="87">
        <v>0</v>
      </c>
      <c r="AV130" s="87">
        <v>0</v>
      </c>
      <c r="AW130" s="87">
        <v>0</v>
      </c>
      <c r="AX130" s="87">
        <v>0</v>
      </c>
      <c r="AY130" s="87">
        <v>0</v>
      </c>
      <c r="AZ130" s="87">
        <v>0</v>
      </c>
      <c r="BA130" s="87">
        <v>1</v>
      </c>
      <c r="BB130" s="87">
        <v>0</v>
      </c>
      <c r="BC130" s="87">
        <v>0</v>
      </c>
      <c r="BD130" s="87">
        <v>0</v>
      </c>
      <c r="BE130" s="87">
        <v>0</v>
      </c>
      <c r="BF130" s="87">
        <v>0</v>
      </c>
      <c r="BG130" s="87">
        <v>0</v>
      </c>
      <c r="BH130" s="87">
        <v>0</v>
      </c>
      <c r="BI130" s="87">
        <v>0</v>
      </c>
      <c r="BJ130" s="87">
        <v>0</v>
      </c>
      <c r="BK130" s="87">
        <v>0</v>
      </c>
      <c r="BL130" s="87">
        <v>0</v>
      </c>
      <c r="BM130" s="87">
        <v>0</v>
      </c>
      <c r="BN130" s="87">
        <v>0</v>
      </c>
      <c r="BO130" s="87">
        <v>0</v>
      </c>
      <c r="BP130" s="87">
        <v>0</v>
      </c>
      <c r="BQ130" s="87">
        <v>0</v>
      </c>
      <c r="BR130" s="87">
        <v>0</v>
      </c>
      <c r="BS130" s="87">
        <v>0</v>
      </c>
      <c r="BW130">
        <f t="shared" si="74"/>
        <v>232672.48590733891</v>
      </c>
      <c r="BX130">
        <f t="shared" si="75"/>
        <v>34839.716621068001</v>
      </c>
      <c r="BY130">
        <f t="shared" si="76"/>
        <v>371094.06353103736</v>
      </c>
      <c r="BZ130">
        <f t="shared" si="77"/>
        <v>76179.776535406141</v>
      </c>
      <c r="CA130">
        <f t="shared" si="78"/>
        <v>15011.396028380053</v>
      </c>
      <c r="CB130">
        <f t="shared" si="79"/>
        <v>51551.176130883803</v>
      </c>
      <c r="CC130">
        <f t="shared" si="80"/>
        <v>177768.63125311004</v>
      </c>
      <c r="CD130">
        <f t="shared" si="81"/>
        <v>128259.05724192546</v>
      </c>
      <c r="CE130">
        <f t="shared" si="82"/>
        <v>278847.59643141937</v>
      </c>
      <c r="CF130">
        <f t="shared" si="83"/>
        <v>119292.47302789842</v>
      </c>
      <c r="CG130">
        <f t="shared" si="84"/>
        <v>83770.04231671372</v>
      </c>
      <c r="CH130">
        <f t="shared" si="85"/>
        <v>300092.07254081866</v>
      </c>
      <c r="CI130">
        <f t="shared" si="86"/>
        <v>239004.30542355054</v>
      </c>
      <c r="CJ130">
        <f t="shared" si="87"/>
        <v>373508.54190304613</v>
      </c>
      <c r="CK130">
        <f t="shared" si="88"/>
        <v>335805.16136012977</v>
      </c>
      <c r="CL130">
        <f t="shared" si="89"/>
        <v>78625.343120143414</v>
      </c>
      <c r="CM130">
        <f t="shared" si="90"/>
        <v>243781.44385618682</v>
      </c>
      <c r="CN130">
        <f t="shared" si="91"/>
        <v>548861.54802201549</v>
      </c>
      <c r="CO130">
        <f t="shared" si="92"/>
        <v>143806.93864198707</v>
      </c>
      <c r="CP130">
        <f t="shared" si="93"/>
        <v>465205.04703729611</v>
      </c>
      <c r="CQ130">
        <f t="shared" si="94"/>
        <v>342340.40920507541</v>
      </c>
      <c r="CR130">
        <f t="shared" si="95"/>
        <v>216877.32727484047</v>
      </c>
      <c r="CS130">
        <f t="shared" si="96"/>
        <v>202257.42757550368</v>
      </c>
      <c r="CT130">
        <f t="shared" si="97"/>
        <v>45234.347346962793</v>
      </c>
      <c r="CU130">
        <f t="shared" si="98"/>
        <v>46567.357189394708</v>
      </c>
      <c r="CV130">
        <f t="shared" si="99"/>
        <v>174837.79805898081</v>
      </c>
      <c r="CW130">
        <f t="shared" si="100"/>
        <v>280799.51465892419</v>
      </c>
      <c r="CX130">
        <f t="shared" si="101"/>
        <v>535023.54635062267</v>
      </c>
      <c r="CY130">
        <f t="shared" si="102"/>
        <v>559587.29484140966</v>
      </c>
      <c r="CZ130">
        <f t="shared" si="103"/>
        <v>895036.38006964535</v>
      </c>
      <c r="DA130">
        <f t="shared" si="104"/>
        <v>396678.46605921059</v>
      </c>
      <c r="DB130">
        <f t="shared" si="105"/>
        <v>234239.97799612756</v>
      </c>
      <c r="DC130">
        <f t="shared" si="106"/>
        <v>473059.82230215718</v>
      </c>
      <c r="DD130">
        <f t="shared" si="107"/>
        <v>287782.4716443739</v>
      </c>
      <c r="DE130">
        <f t="shared" si="108"/>
        <v>16054.733336787096</v>
      </c>
      <c r="DF130">
        <f t="shared" si="109"/>
        <v>1286310.0508836138</v>
      </c>
      <c r="DG130">
        <f t="shared" si="110"/>
        <v>893143.98897724436</v>
      </c>
      <c r="DH130">
        <f t="shared" si="111"/>
        <v>1623548.423859294</v>
      </c>
      <c r="DI130">
        <f t="shared" si="112"/>
        <v>722831.67721237696</v>
      </c>
      <c r="DJ130">
        <f t="shared" si="113"/>
        <v>107926.25122295273</v>
      </c>
      <c r="DK130">
        <f t="shared" si="114"/>
        <v>242301.8182004696</v>
      </c>
      <c r="DL130">
        <f t="shared" si="115"/>
        <v>659312.97889831674</v>
      </c>
      <c r="DM130">
        <f t="shared" si="116"/>
        <v>524533.04434630182</v>
      </c>
      <c r="DN130">
        <f t="shared" si="117"/>
        <v>1075349.3540120444</v>
      </c>
      <c r="DO130">
        <f t="shared" si="118"/>
        <v>511028.73918927449</v>
      </c>
      <c r="DP130">
        <f t="shared" si="119"/>
        <v>407559.59327890177</v>
      </c>
      <c r="DQ130">
        <f t="shared" si="120"/>
        <v>1569650.1165033495</v>
      </c>
      <c r="DR130">
        <f t="shared" si="121"/>
        <v>957347.05206124531</v>
      </c>
      <c r="DS130">
        <f t="shared" si="122"/>
        <v>3083124.2803492225</v>
      </c>
      <c r="DT130">
        <f t="shared" si="123"/>
        <v>1424345.6888533481</v>
      </c>
      <c r="DU130">
        <f t="shared" si="124"/>
        <v>286432.00777863746</v>
      </c>
      <c r="DV130">
        <f t="shared" si="125"/>
        <v>821100.50361601345</v>
      </c>
      <c r="DW130">
        <f t="shared" si="126"/>
        <v>2299136.698331038</v>
      </c>
      <c r="DX130">
        <f t="shared" si="127"/>
        <v>293014.52491573431</v>
      </c>
      <c r="DY130">
        <f t="shared" si="128"/>
        <v>1915092.0855130535</v>
      </c>
      <c r="DZ130">
        <f t="shared" si="129"/>
        <v>1424598.8141382507</v>
      </c>
      <c r="EA130">
        <f t="shared" si="130"/>
        <v>893807.36194519117</v>
      </c>
      <c r="EB130">
        <f t="shared" si="131"/>
        <v>873045.10770683433</v>
      </c>
      <c r="EC130">
        <f t="shared" si="132"/>
        <v>172667.98047041756</v>
      </c>
      <c r="ED130">
        <f t="shared" si="133"/>
        <v>158275.61400955019</v>
      </c>
      <c r="EE130">
        <f t="shared" si="134"/>
        <v>339889.57649215817</v>
      </c>
      <c r="EF130">
        <f t="shared" si="135"/>
        <v>1066157.8740950515</v>
      </c>
      <c r="EG130">
        <f t="shared" si="136"/>
        <v>2400668.2565451581</v>
      </c>
      <c r="EH130">
        <f t="shared" si="137"/>
        <v>2048167.0876273166</v>
      </c>
      <c r="EI130">
        <f t="shared" si="138"/>
        <v>2607288.2817202033</v>
      </c>
      <c r="EJ130">
        <f t="shared" si="139"/>
        <v>2223661.2399123828</v>
      </c>
      <c r="EK130">
        <f t="shared" si="140"/>
        <v>572206.44202303689</v>
      </c>
      <c r="EL130">
        <f t="shared" si="141"/>
        <v>1331605.0107849902</v>
      </c>
      <c r="EM130">
        <f t="shared" si="142"/>
        <v>1055708.2325378691</v>
      </c>
      <c r="EN130">
        <f t="shared" si="143"/>
        <v>13763.763575251673</v>
      </c>
    </row>
    <row r="131" spans="2:144" x14ac:dyDescent="0.35">
      <c r="B131" s="87">
        <v>0</v>
      </c>
      <c r="C131" s="87">
        <v>0</v>
      </c>
      <c r="D131" s="87">
        <v>0</v>
      </c>
      <c r="E131" s="87">
        <v>0</v>
      </c>
      <c r="F131" s="87">
        <v>0</v>
      </c>
      <c r="G131" s="87">
        <v>0</v>
      </c>
      <c r="H131" s="87">
        <v>0</v>
      </c>
      <c r="I131" s="87">
        <v>0</v>
      </c>
      <c r="J131" s="87">
        <v>0</v>
      </c>
      <c r="K131" s="87">
        <v>0</v>
      </c>
      <c r="L131" s="87">
        <v>0</v>
      </c>
      <c r="M131" s="87">
        <v>0</v>
      </c>
      <c r="N131" s="87">
        <v>0</v>
      </c>
      <c r="O131" s="87">
        <v>0</v>
      </c>
      <c r="P131" s="87">
        <v>0</v>
      </c>
      <c r="Q131" s="87">
        <v>0</v>
      </c>
      <c r="R131" s="87">
        <v>0</v>
      </c>
      <c r="S131" s="87">
        <v>0</v>
      </c>
      <c r="T131" s="87">
        <v>0</v>
      </c>
      <c r="U131" s="87">
        <v>0</v>
      </c>
      <c r="V131" s="87">
        <v>0</v>
      </c>
      <c r="W131" s="87">
        <v>0</v>
      </c>
      <c r="X131" s="87">
        <v>0</v>
      </c>
      <c r="Y131" s="87">
        <v>0</v>
      </c>
      <c r="Z131" s="87">
        <v>0</v>
      </c>
      <c r="AA131" s="87">
        <v>0</v>
      </c>
      <c r="AB131" s="87">
        <v>0</v>
      </c>
      <c r="AC131" s="87">
        <v>0</v>
      </c>
      <c r="AD131" s="87">
        <v>0</v>
      </c>
      <c r="AE131" s="87">
        <v>0</v>
      </c>
      <c r="AF131" s="87">
        <v>0</v>
      </c>
      <c r="AG131" s="87">
        <v>0</v>
      </c>
      <c r="AH131" s="87">
        <v>0</v>
      </c>
      <c r="AI131" s="87">
        <v>0</v>
      </c>
      <c r="AJ131" s="87">
        <v>0</v>
      </c>
      <c r="AK131" s="87">
        <v>0</v>
      </c>
      <c r="AL131" s="87">
        <v>0</v>
      </c>
      <c r="AM131" s="87">
        <v>0</v>
      </c>
      <c r="AN131" s="87">
        <v>0</v>
      </c>
      <c r="AO131" s="87">
        <v>0</v>
      </c>
      <c r="AP131" s="87">
        <v>0</v>
      </c>
      <c r="AQ131" s="87">
        <v>0</v>
      </c>
      <c r="AR131" s="87">
        <v>0</v>
      </c>
      <c r="AS131" s="87">
        <v>0</v>
      </c>
      <c r="AT131" s="87">
        <v>0</v>
      </c>
      <c r="AU131" s="87">
        <v>0</v>
      </c>
      <c r="AV131" s="87">
        <v>0</v>
      </c>
      <c r="AW131" s="87">
        <v>0</v>
      </c>
      <c r="AX131" s="87">
        <v>0</v>
      </c>
      <c r="AY131" s="87">
        <v>0</v>
      </c>
      <c r="AZ131" s="87">
        <v>0</v>
      </c>
      <c r="BA131" s="87">
        <v>0</v>
      </c>
      <c r="BB131" s="87">
        <v>1</v>
      </c>
      <c r="BC131" s="87">
        <v>0</v>
      </c>
      <c r="BD131" s="87">
        <v>0</v>
      </c>
      <c r="BE131" s="87">
        <v>0</v>
      </c>
      <c r="BF131" s="87">
        <v>0</v>
      </c>
      <c r="BG131" s="87">
        <v>0</v>
      </c>
      <c r="BH131" s="87">
        <v>0</v>
      </c>
      <c r="BI131" s="87">
        <v>0</v>
      </c>
      <c r="BJ131" s="87">
        <v>0</v>
      </c>
      <c r="BK131" s="87">
        <v>0</v>
      </c>
      <c r="BL131" s="87">
        <v>0</v>
      </c>
      <c r="BM131" s="87">
        <v>0</v>
      </c>
      <c r="BN131" s="87">
        <v>0</v>
      </c>
      <c r="BO131" s="87">
        <v>0</v>
      </c>
      <c r="BP131" s="87">
        <v>0</v>
      </c>
      <c r="BQ131" s="87">
        <v>0</v>
      </c>
      <c r="BR131" s="87">
        <v>0</v>
      </c>
      <c r="BS131" s="87">
        <v>0</v>
      </c>
      <c r="BW131">
        <f>BW130</f>
        <v>232672.48590733891</v>
      </c>
      <c r="BX131">
        <f t="shared" si="75"/>
        <v>34839.716621068001</v>
      </c>
      <c r="BY131">
        <f t="shared" si="76"/>
        <v>371094.06353103736</v>
      </c>
      <c r="BZ131">
        <f t="shared" si="77"/>
        <v>76179.776535406141</v>
      </c>
      <c r="CA131">
        <f t="shared" si="78"/>
        <v>15011.396028380053</v>
      </c>
      <c r="CB131">
        <f t="shared" si="79"/>
        <v>51551.176130883803</v>
      </c>
      <c r="CC131">
        <f t="shared" si="80"/>
        <v>177768.63125311004</v>
      </c>
      <c r="CD131">
        <f t="shared" si="81"/>
        <v>128259.05724192546</v>
      </c>
      <c r="CE131">
        <f t="shared" si="82"/>
        <v>278847.59643141937</v>
      </c>
      <c r="CF131">
        <f t="shared" si="83"/>
        <v>119292.47302789842</v>
      </c>
      <c r="CG131">
        <f t="shared" si="84"/>
        <v>83770.04231671372</v>
      </c>
      <c r="CH131">
        <f t="shared" si="85"/>
        <v>300092.07254081866</v>
      </c>
      <c r="CI131">
        <f t="shared" si="86"/>
        <v>239004.30542355054</v>
      </c>
      <c r="CJ131">
        <f t="shared" si="87"/>
        <v>373508.54190304613</v>
      </c>
      <c r="CK131">
        <f t="shared" si="88"/>
        <v>335805.16136012977</v>
      </c>
      <c r="CL131">
        <f t="shared" si="89"/>
        <v>78625.343120143414</v>
      </c>
      <c r="CM131">
        <f t="shared" si="90"/>
        <v>243781.44385618682</v>
      </c>
      <c r="CN131">
        <f t="shared" si="91"/>
        <v>548861.54802201549</v>
      </c>
      <c r="CO131">
        <f t="shared" si="92"/>
        <v>143806.93864198707</v>
      </c>
      <c r="CP131">
        <f t="shared" si="93"/>
        <v>465205.04703729611</v>
      </c>
      <c r="CQ131">
        <f t="shared" si="94"/>
        <v>342340.40920507541</v>
      </c>
      <c r="CR131">
        <f t="shared" si="95"/>
        <v>216877.32727484047</v>
      </c>
      <c r="CS131">
        <f t="shared" si="96"/>
        <v>202257.42757550368</v>
      </c>
      <c r="CT131">
        <f t="shared" si="97"/>
        <v>45234.347346962793</v>
      </c>
      <c r="CU131">
        <f t="shared" si="98"/>
        <v>46567.357189394708</v>
      </c>
      <c r="CV131">
        <f t="shared" si="99"/>
        <v>174837.79805898081</v>
      </c>
      <c r="CW131">
        <f t="shared" si="100"/>
        <v>280799.51465892419</v>
      </c>
      <c r="CX131">
        <f t="shared" si="101"/>
        <v>535023.54635062267</v>
      </c>
      <c r="CY131">
        <f t="shared" si="102"/>
        <v>559587.29484140966</v>
      </c>
      <c r="CZ131">
        <f t="shared" si="103"/>
        <v>895036.38006964535</v>
      </c>
      <c r="DA131">
        <f t="shared" si="104"/>
        <v>396678.46605921059</v>
      </c>
      <c r="DB131">
        <f t="shared" si="105"/>
        <v>234239.97799612756</v>
      </c>
      <c r="DC131">
        <f t="shared" si="106"/>
        <v>473059.82230215718</v>
      </c>
      <c r="DD131">
        <f t="shared" si="107"/>
        <v>287782.4716443739</v>
      </c>
      <c r="DE131">
        <f t="shared" si="108"/>
        <v>16054.733336787096</v>
      </c>
      <c r="DF131">
        <f t="shared" si="109"/>
        <v>1286310.0508836138</v>
      </c>
      <c r="DG131">
        <f t="shared" si="110"/>
        <v>893143.98897724436</v>
      </c>
      <c r="DH131">
        <f t="shared" si="111"/>
        <v>1623548.423859294</v>
      </c>
      <c r="DI131">
        <f t="shared" si="112"/>
        <v>722831.67721237696</v>
      </c>
      <c r="DJ131">
        <f t="shared" si="113"/>
        <v>107926.25122295273</v>
      </c>
      <c r="DK131">
        <f t="shared" si="114"/>
        <v>242301.8182004696</v>
      </c>
      <c r="DL131">
        <f t="shared" si="115"/>
        <v>659312.97889831674</v>
      </c>
      <c r="DM131">
        <f t="shared" si="116"/>
        <v>524533.04434630182</v>
      </c>
      <c r="DN131">
        <f t="shared" si="117"/>
        <v>1075349.3540120444</v>
      </c>
      <c r="DO131">
        <f t="shared" si="118"/>
        <v>511028.73918927449</v>
      </c>
      <c r="DP131">
        <f t="shared" si="119"/>
        <v>407559.59327890177</v>
      </c>
      <c r="DQ131">
        <f t="shared" si="120"/>
        <v>1569650.1165033495</v>
      </c>
      <c r="DR131">
        <f t="shared" si="121"/>
        <v>957347.05206124531</v>
      </c>
      <c r="DS131">
        <f t="shared" si="122"/>
        <v>3083124.2803492225</v>
      </c>
      <c r="DT131">
        <f t="shared" si="123"/>
        <v>1424345.6888533481</v>
      </c>
      <c r="DU131">
        <f t="shared" si="124"/>
        <v>286432.00777863746</v>
      </c>
      <c r="DV131">
        <f t="shared" si="125"/>
        <v>821100.50361601345</v>
      </c>
      <c r="DW131">
        <f t="shared" si="126"/>
        <v>2299136.698331038</v>
      </c>
      <c r="DX131">
        <f t="shared" si="127"/>
        <v>293014.52491573431</v>
      </c>
      <c r="DY131">
        <f t="shared" si="128"/>
        <v>1915092.0855130535</v>
      </c>
      <c r="DZ131">
        <f t="shared" si="129"/>
        <v>1424598.8141382507</v>
      </c>
      <c r="EA131">
        <f t="shared" si="130"/>
        <v>893807.36194519117</v>
      </c>
      <c r="EB131">
        <f t="shared" si="131"/>
        <v>873045.10770683433</v>
      </c>
      <c r="EC131">
        <f t="shared" si="132"/>
        <v>172667.98047041756</v>
      </c>
      <c r="ED131">
        <f t="shared" si="133"/>
        <v>158275.61400955019</v>
      </c>
      <c r="EE131">
        <f t="shared" si="134"/>
        <v>339889.57649215817</v>
      </c>
      <c r="EF131">
        <f t="shared" si="135"/>
        <v>1066157.8740950515</v>
      </c>
      <c r="EG131">
        <f t="shared" si="136"/>
        <v>2400668.2565451581</v>
      </c>
      <c r="EH131">
        <f t="shared" si="137"/>
        <v>2048167.0876273166</v>
      </c>
      <c r="EI131">
        <f t="shared" si="138"/>
        <v>2607288.2817202033</v>
      </c>
      <c r="EJ131">
        <f t="shared" si="139"/>
        <v>2223661.2399123828</v>
      </c>
      <c r="EK131">
        <f t="shared" si="140"/>
        <v>572206.44202303689</v>
      </c>
      <c r="EL131">
        <f t="shared" si="141"/>
        <v>1331605.0107849902</v>
      </c>
      <c r="EM131">
        <f t="shared" si="142"/>
        <v>1055708.2325378691</v>
      </c>
      <c r="EN131">
        <f t="shared" si="143"/>
        <v>13763.763575251673</v>
      </c>
    </row>
    <row r="132" spans="2:144" x14ac:dyDescent="0.35">
      <c r="B132" s="87">
        <v>0</v>
      </c>
      <c r="C132" s="87">
        <v>0</v>
      </c>
      <c r="D132" s="87">
        <v>0</v>
      </c>
      <c r="E132" s="87">
        <v>0</v>
      </c>
      <c r="F132" s="87">
        <v>0</v>
      </c>
      <c r="G132" s="87">
        <v>0</v>
      </c>
      <c r="H132" s="87">
        <v>0</v>
      </c>
      <c r="I132" s="87">
        <v>0</v>
      </c>
      <c r="J132" s="87">
        <v>0</v>
      </c>
      <c r="K132" s="87">
        <v>0</v>
      </c>
      <c r="L132" s="87">
        <v>0</v>
      </c>
      <c r="M132" s="87">
        <v>0</v>
      </c>
      <c r="N132" s="87">
        <v>0</v>
      </c>
      <c r="O132" s="87">
        <v>0</v>
      </c>
      <c r="P132" s="87">
        <v>0</v>
      </c>
      <c r="Q132" s="87">
        <v>0</v>
      </c>
      <c r="R132" s="87">
        <v>0</v>
      </c>
      <c r="S132" s="87">
        <v>0</v>
      </c>
      <c r="T132" s="87">
        <v>0</v>
      </c>
      <c r="U132" s="87">
        <v>0</v>
      </c>
      <c r="V132" s="87">
        <v>0</v>
      </c>
      <c r="W132" s="87">
        <v>0</v>
      </c>
      <c r="X132" s="87">
        <v>0</v>
      </c>
      <c r="Y132" s="87">
        <v>0</v>
      </c>
      <c r="Z132" s="87">
        <v>0</v>
      </c>
      <c r="AA132" s="87">
        <v>0</v>
      </c>
      <c r="AB132" s="87">
        <v>0</v>
      </c>
      <c r="AC132" s="87">
        <v>0</v>
      </c>
      <c r="AD132" s="87">
        <v>0</v>
      </c>
      <c r="AE132" s="87">
        <v>0</v>
      </c>
      <c r="AF132" s="87">
        <v>0</v>
      </c>
      <c r="AG132" s="87">
        <v>0</v>
      </c>
      <c r="AH132" s="87">
        <v>0</v>
      </c>
      <c r="AI132" s="87">
        <v>0</v>
      </c>
      <c r="AJ132" s="87">
        <v>0</v>
      </c>
      <c r="AK132" s="87">
        <v>0</v>
      </c>
      <c r="AL132" s="87">
        <v>0</v>
      </c>
      <c r="AM132" s="87">
        <v>0</v>
      </c>
      <c r="AN132" s="87">
        <v>0</v>
      </c>
      <c r="AO132" s="87">
        <v>0</v>
      </c>
      <c r="AP132" s="87">
        <v>0</v>
      </c>
      <c r="AQ132" s="87">
        <v>0</v>
      </c>
      <c r="AR132" s="87">
        <v>0</v>
      </c>
      <c r="AS132" s="87">
        <v>0</v>
      </c>
      <c r="AT132" s="87">
        <v>0</v>
      </c>
      <c r="AU132" s="87">
        <v>0</v>
      </c>
      <c r="AV132" s="87">
        <v>0</v>
      </c>
      <c r="AW132" s="87">
        <v>0</v>
      </c>
      <c r="AX132" s="87">
        <v>0</v>
      </c>
      <c r="AY132" s="87">
        <v>0</v>
      </c>
      <c r="AZ132" s="87">
        <v>0</v>
      </c>
      <c r="BA132" s="87">
        <v>0</v>
      </c>
      <c r="BB132" s="87">
        <v>0</v>
      </c>
      <c r="BC132" s="87">
        <v>1</v>
      </c>
      <c r="BD132" s="87">
        <v>0</v>
      </c>
      <c r="BE132" s="87">
        <v>0</v>
      </c>
      <c r="BF132" s="87">
        <v>0</v>
      </c>
      <c r="BG132" s="87">
        <v>0</v>
      </c>
      <c r="BH132" s="87">
        <v>0</v>
      </c>
      <c r="BI132" s="87">
        <v>0</v>
      </c>
      <c r="BJ132" s="87">
        <v>0</v>
      </c>
      <c r="BK132" s="87">
        <v>0</v>
      </c>
      <c r="BL132" s="87">
        <v>0</v>
      </c>
      <c r="BM132" s="87">
        <v>0</v>
      </c>
      <c r="BN132" s="87">
        <v>0</v>
      </c>
      <c r="BO132" s="87">
        <v>0</v>
      </c>
      <c r="BP132" s="87">
        <v>0</v>
      </c>
      <c r="BQ132" s="87">
        <v>0</v>
      </c>
      <c r="BR132" s="87">
        <v>0</v>
      </c>
      <c r="BS132" s="87">
        <v>0</v>
      </c>
      <c r="BW132">
        <f t="shared" ref="BW132:BW147" si="144">BW131</f>
        <v>232672.48590733891</v>
      </c>
      <c r="BX132">
        <f t="shared" si="75"/>
        <v>34839.716621068001</v>
      </c>
      <c r="BY132">
        <f t="shared" si="76"/>
        <v>371094.06353103736</v>
      </c>
      <c r="BZ132">
        <f t="shared" si="77"/>
        <v>76179.776535406141</v>
      </c>
      <c r="CA132">
        <f t="shared" si="78"/>
        <v>15011.396028380053</v>
      </c>
      <c r="CB132">
        <f t="shared" si="79"/>
        <v>51551.176130883803</v>
      </c>
      <c r="CC132">
        <f t="shared" si="80"/>
        <v>177768.63125311004</v>
      </c>
      <c r="CD132">
        <f t="shared" si="81"/>
        <v>128259.05724192546</v>
      </c>
      <c r="CE132">
        <f t="shared" si="82"/>
        <v>278847.59643141937</v>
      </c>
      <c r="CF132">
        <f t="shared" si="83"/>
        <v>119292.47302789842</v>
      </c>
      <c r="CG132">
        <f t="shared" si="84"/>
        <v>83770.04231671372</v>
      </c>
      <c r="CH132">
        <f t="shared" si="85"/>
        <v>300092.07254081866</v>
      </c>
      <c r="CI132">
        <f t="shared" si="86"/>
        <v>239004.30542355054</v>
      </c>
      <c r="CJ132">
        <f t="shared" si="87"/>
        <v>373508.54190304613</v>
      </c>
      <c r="CK132">
        <f t="shared" si="88"/>
        <v>335805.16136012977</v>
      </c>
      <c r="CL132">
        <f t="shared" si="89"/>
        <v>78625.343120143414</v>
      </c>
      <c r="CM132">
        <f t="shared" si="90"/>
        <v>243781.44385618682</v>
      </c>
      <c r="CN132">
        <f t="shared" si="91"/>
        <v>548861.54802201549</v>
      </c>
      <c r="CO132">
        <f t="shared" si="92"/>
        <v>143806.93864198707</v>
      </c>
      <c r="CP132">
        <f t="shared" si="93"/>
        <v>465205.04703729611</v>
      </c>
      <c r="CQ132">
        <f t="shared" si="94"/>
        <v>342340.40920507541</v>
      </c>
      <c r="CR132">
        <f t="shared" si="95"/>
        <v>216877.32727484047</v>
      </c>
      <c r="CS132">
        <f t="shared" si="96"/>
        <v>202257.42757550368</v>
      </c>
      <c r="CT132">
        <f t="shared" si="97"/>
        <v>45234.347346962793</v>
      </c>
      <c r="CU132">
        <f t="shared" si="98"/>
        <v>46567.357189394708</v>
      </c>
      <c r="CV132">
        <f t="shared" si="99"/>
        <v>174837.79805898081</v>
      </c>
      <c r="CW132">
        <f t="shared" si="100"/>
        <v>280799.51465892419</v>
      </c>
      <c r="CX132">
        <f t="shared" si="101"/>
        <v>535023.54635062267</v>
      </c>
      <c r="CY132">
        <f t="shared" si="102"/>
        <v>559587.29484140966</v>
      </c>
      <c r="CZ132">
        <f t="shared" si="103"/>
        <v>895036.38006964535</v>
      </c>
      <c r="DA132">
        <f t="shared" si="104"/>
        <v>396678.46605921059</v>
      </c>
      <c r="DB132">
        <f t="shared" si="105"/>
        <v>234239.97799612756</v>
      </c>
      <c r="DC132">
        <f t="shared" si="106"/>
        <v>473059.82230215718</v>
      </c>
      <c r="DD132">
        <f t="shared" si="107"/>
        <v>287782.4716443739</v>
      </c>
      <c r="DE132">
        <f t="shared" si="108"/>
        <v>16054.733336787096</v>
      </c>
      <c r="DF132">
        <f t="shared" si="109"/>
        <v>1286310.0508836138</v>
      </c>
      <c r="DG132">
        <f t="shared" si="110"/>
        <v>893143.98897724436</v>
      </c>
      <c r="DH132">
        <f t="shared" si="111"/>
        <v>1623548.423859294</v>
      </c>
      <c r="DI132">
        <f t="shared" si="112"/>
        <v>722831.67721237696</v>
      </c>
      <c r="DJ132">
        <f t="shared" si="113"/>
        <v>107926.25122295273</v>
      </c>
      <c r="DK132">
        <f t="shared" si="114"/>
        <v>242301.8182004696</v>
      </c>
      <c r="DL132">
        <f t="shared" si="115"/>
        <v>659312.97889831674</v>
      </c>
      <c r="DM132">
        <f t="shared" si="116"/>
        <v>524533.04434630182</v>
      </c>
      <c r="DN132">
        <f t="shared" si="117"/>
        <v>1075349.3540120444</v>
      </c>
      <c r="DO132">
        <f t="shared" si="118"/>
        <v>511028.73918927449</v>
      </c>
      <c r="DP132">
        <f t="shared" si="119"/>
        <v>407559.59327890177</v>
      </c>
      <c r="DQ132">
        <f t="shared" si="120"/>
        <v>1569650.1165033495</v>
      </c>
      <c r="DR132">
        <f t="shared" si="121"/>
        <v>957347.05206124531</v>
      </c>
      <c r="DS132">
        <f t="shared" si="122"/>
        <v>3083124.2803492225</v>
      </c>
      <c r="DT132">
        <f t="shared" si="123"/>
        <v>1424345.6888533481</v>
      </c>
      <c r="DU132">
        <f t="shared" si="124"/>
        <v>286432.00777863746</v>
      </c>
      <c r="DV132">
        <f t="shared" si="125"/>
        <v>821100.50361601345</v>
      </c>
      <c r="DW132">
        <f t="shared" si="126"/>
        <v>2299136.698331038</v>
      </c>
      <c r="DX132">
        <f t="shared" si="127"/>
        <v>293014.52491573431</v>
      </c>
      <c r="DY132">
        <f t="shared" si="128"/>
        <v>1915092.0855130535</v>
      </c>
      <c r="DZ132">
        <f t="shared" si="129"/>
        <v>1424598.8141382507</v>
      </c>
      <c r="EA132">
        <f t="shared" si="130"/>
        <v>893807.36194519117</v>
      </c>
      <c r="EB132">
        <f t="shared" si="131"/>
        <v>873045.10770683433</v>
      </c>
      <c r="EC132">
        <f t="shared" si="132"/>
        <v>172667.98047041756</v>
      </c>
      <c r="ED132">
        <f t="shared" si="133"/>
        <v>158275.61400955019</v>
      </c>
      <c r="EE132">
        <f t="shared" si="134"/>
        <v>339889.57649215817</v>
      </c>
      <c r="EF132">
        <f t="shared" si="135"/>
        <v>1066157.8740950515</v>
      </c>
      <c r="EG132">
        <f t="shared" si="136"/>
        <v>2400668.2565451581</v>
      </c>
      <c r="EH132">
        <f t="shared" si="137"/>
        <v>2048167.0876273166</v>
      </c>
      <c r="EI132">
        <f t="shared" si="138"/>
        <v>2607288.2817202033</v>
      </c>
      <c r="EJ132">
        <f t="shared" si="139"/>
        <v>2223661.2399123828</v>
      </c>
      <c r="EK132">
        <f t="shared" si="140"/>
        <v>572206.44202303689</v>
      </c>
      <c r="EL132">
        <f t="shared" si="141"/>
        <v>1331605.0107849902</v>
      </c>
      <c r="EM132">
        <f t="shared" si="142"/>
        <v>1055708.2325378691</v>
      </c>
      <c r="EN132">
        <f t="shared" si="143"/>
        <v>13763.763575251673</v>
      </c>
    </row>
    <row r="133" spans="2:144" x14ac:dyDescent="0.35">
      <c r="B133" s="87">
        <v>0</v>
      </c>
      <c r="C133" s="87">
        <v>0</v>
      </c>
      <c r="D133" s="87">
        <v>0</v>
      </c>
      <c r="E133" s="87">
        <v>0</v>
      </c>
      <c r="F133" s="87">
        <v>0</v>
      </c>
      <c r="G133" s="87">
        <v>0</v>
      </c>
      <c r="H133" s="87">
        <v>0</v>
      </c>
      <c r="I133" s="87">
        <v>0</v>
      </c>
      <c r="J133" s="87">
        <v>0</v>
      </c>
      <c r="K133" s="87">
        <v>0</v>
      </c>
      <c r="L133" s="87">
        <v>0</v>
      </c>
      <c r="M133" s="87">
        <v>0</v>
      </c>
      <c r="N133" s="87">
        <v>0</v>
      </c>
      <c r="O133" s="87">
        <v>0</v>
      </c>
      <c r="P133" s="87">
        <v>0</v>
      </c>
      <c r="Q133" s="87">
        <v>0</v>
      </c>
      <c r="R133" s="87">
        <v>0</v>
      </c>
      <c r="S133" s="87">
        <v>0</v>
      </c>
      <c r="T133" s="87">
        <v>0</v>
      </c>
      <c r="U133" s="87">
        <v>0</v>
      </c>
      <c r="V133" s="87">
        <v>0</v>
      </c>
      <c r="W133" s="87">
        <v>0</v>
      </c>
      <c r="X133" s="87">
        <v>0</v>
      </c>
      <c r="Y133" s="87">
        <v>0</v>
      </c>
      <c r="Z133" s="87">
        <v>0</v>
      </c>
      <c r="AA133" s="87">
        <v>0</v>
      </c>
      <c r="AB133" s="87">
        <v>0</v>
      </c>
      <c r="AC133" s="87">
        <v>0</v>
      </c>
      <c r="AD133" s="87">
        <v>0</v>
      </c>
      <c r="AE133" s="87">
        <v>0</v>
      </c>
      <c r="AF133" s="87">
        <v>0</v>
      </c>
      <c r="AG133" s="87">
        <v>0</v>
      </c>
      <c r="AH133" s="87">
        <v>0</v>
      </c>
      <c r="AI133" s="87">
        <v>0</v>
      </c>
      <c r="AJ133" s="87">
        <v>0</v>
      </c>
      <c r="AK133" s="87">
        <v>0</v>
      </c>
      <c r="AL133" s="87">
        <v>0</v>
      </c>
      <c r="AM133" s="87">
        <v>0</v>
      </c>
      <c r="AN133" s="87">
        <v>0</v>
      </c>
      <c r="AO133" s="87">
        <v>0</v>
      </c>
      <c r="AP133" s="87">
        <v>0</v>
      </c>
      <c r="AQ133" s="87">
        <v>0</v>
      </c>
      <c r="AR133" s="87">
        <v>0</v>
      </c>
      <c r="AS133" s="87">
        <v>0</v>
      </c>
      <c r="AT133" s="87">
        <v>0</v>
      </c>
      <c r="AU133" s="87">
        <v>0</v>
      </c>
      <c r="AV133" s="87">
        <v>0</v>
      </c>
      <c r="AW133" s="87">
        <v>0</v>
      </c>
      <c r="AX133" s="87">
        <v>0</v>
      </c>
      <c r="AY133" s="87">
        <v>0</v>
      </c>
      <c r="AZ133" s="87">
        <v>0</v>
      </c>
      <c r="BA133" s="87">
        <v>0</v>
      </c>
      <c r="BB133" s="87">
        <v>0</v>
      </c>
      <c r="BC133" s="87">
        <v>0</v>
      </c>
      <c r="BD133" s="87">
        <v>1</v>
      </c>
      <c r="BE133" s="87">
        <v>0</v>
      </c>
      <c r="BF133" s="87">
        <v>0</v>
      </c>
      <c r="BG133" s="87">
        <v>0</v>
      </c>
      <c r="BH133" s="87">
        <v>0</v>
      </c>
      <c r="BI133" s="87">
        <v>0</v>
      </c>
      <c r="BJ133" s="87">
        <v>0</v>
      </c>
      <c r="BK133" s="87">
        <v>0</v>
      </c>
      <c r="BL133" s="87">
        <v>0</v>
      </c>
      <c r="BM133" s="87">
        <v>0</v>
      </c>
      <c r="BN133" s="87">
        <v>0</v>
      </c>
      <c r="BO133" s="87">
        <v>0</v>
      </c>
      <c r="BP133" s="87">
        <v>0</v>
      </c>
      <c r="BQ133" s="87">
        <v>0</v>
      </c>
      <c r="BR133" s="87">
        <v>0</v>
      </c>
      <c r="BS133" s="87">
        <v>0</v>
      </c>
      <c r="BW133">
        <f t="shared" si="144"/>
        <v>232672.48590733891</v>
      </c>
      <c r="BX133">
        <f t="shared" si="75"/>
        <v>34839.716621068001</v>
      </c>
      <c r="BY133">
        <f t="shared" si="76"/>
        <v>371094.06353103736</v>
      </c>
      <c r="BZ133">
        <f t="shared" si="77"/>
        <v>76179.776535406141</v>
      </c>
      <c r="CA133">
        <f t="shared" si="78"/>
        <v>15011.396028380053</v>
      </c>
      <c r="CB133">
        <f t="shared" si="79"/>
        <v>51551.176130883803</v>
      </c>
      <c r="CC133">
        <f t="shared" si="80"/>
        <v>177768.63125311004</v>
      </c>
      <c r="CD133">
        <f t="shared" si="81"/>
        <v>128259.05724192546</v>
      </c>
      <c r="CE133">
        <f t="shared" si="82"/>
        <v>278847.59643141937</v>
      </c>
      <c r="CF133">
        <f t="shared" si="83"/>
        <v>119292.47302789842</v>
      </c>
      <c r="CG133">
        <f t="shared" si="84"/>
        <v>83770.04231671372</v>
      </c>
      <c r="CH133">
        <f t="shared" si="85"/>
        <v>300092.07254081866</v>
      </c>
      <c r="CI133">
        <f t="shared" si="86"/>
        <v>239004.30542355054</v>
      </c>
      <c r="CJ133">
        <f t="shared" si="87"/>
        <v>373508.54190304613</v>
      </c>
      <c r="CK133">
        <f t="shared" si="88"/>
        <v>335805.16136012977</v>
      </c>
      <c r="CL133">
        <f t="shared" si="89"/>
        <v>78625.343120143414</v>
      </c>
      <c r="CM133">
        <f t="shared" si="90"/>
        <v>243781.44385618682</v>
      </c>
      <c r="CN133">
        <f t="shared" si="91"/>
        <v>548861.54802201549</v>
      </c>
      <c r="CO133">
        <f t="shared" si="92"/>
        <v>143806.93864198707</v>
      </c>
      <c r="CP133">
        <f t="shared" si="93"/>
        <v>465205.04703729611</v>
      </c>
      <c r="CQ133">
        <f t="shared" si="94"/>
        <v>342340.40920507541</v>
      </c>
      <c r="CR133">
        <f t="shared" si="95"/>
        <v>216877.32727484047</v>
      </c>
      <c r="CS133">
        <f t="shared" si="96"/>
        <v>202257.42757550368</v>
      </c>
      <c r="CT133">
        <f t="shared" si="97"/>
        <v>45234.347346962793</v>
      </c>
      <c r="CU133">
        <f t="shared" si="98"/>
        <v>46567.357189394708</v>
      </c>
      <c r="CV133">
        <f t="shared" si="99"/>
        <v>174837.79805898081</v>
      </c>
      <c r="CW133">
        <f t="shared" si="100"/>
        <v>280799.51465892419</v>
      </c>
      <c r="CX133">
        <f t="shared" si="101"/>
        <v>535023.54635062267</v>
      </c>
      <c r="CY133">
        <f t="shared" si="102"/>
        <v>559587.29484140966</v>
      </c>
      <c r="CZ133">
        <f t="shared" si="103"/>
        <v>895036.38006964535</v>
      </c>
      <c r="DA133">
        <f t="shared" si="104"/>
        <v>396678.46605921059</v>
      </c>
      <c r="DB133">
        <f t="shared" si="105"/>
        <v>234239.97799612756</v>
      </c>
      <c r="DC133">
        <f t="shared" si="106"/>
        <v>473059.82230215718</v>
      </c>
      <c r="DD133">
        <f t="shared" si="107"/>
        <v>287782.4716443739</v>
      </c>
      <c r="DE133">
        <f t="shared" si="108"/>
        <v>16054.733336787096</v>
      </c>
      <c r="DF133">
        <f t="shared" si="109"/>
        <v>1286310.0508836138</v>
      </c>
      <c r="DG133">
        <f t="shared" si="110"/>
        <v>893143.98897724436</v>
      </c>
      <c r="DH133">
        <f t="shared" si="111"/>
        <v>1623548.423859294</v>
      </c>
      <c r="DI133">
        <f t="shared" si="112"/>
        <v>722831.67721237696</v>
      </c>
      <c r="DJ133">
        <f t="shared" si="113"/>
        <v>107926.25122295273</v>
      </c>
      <c r="DK133">
        <f t="shared" si="114"/>
        <v>242301.8182004696</v>
      </c>
      <c r="DL133">
        <f t="shared" si="115"/>
        <v>659312.97889831674</v>
      </c>
      <c r="DM133">
        <f t="shared" si="116"/>
        <v>524533.04434630182</v>
      </c>
      <c r="DN133">
        <f t="shared" si="117"/>
        <v>1075349.3540120444</v>
      </c>
      <c r="DO133">
        <f t="shared" si="118"/>
        <v>511028.73918927449</v>
      </c>
      <c r="DP133">
        <f t="shared" si="119"/>
        <v>407559.59327890177</v>
      </c>
      <c r="DQ133">
        <f t="shared" si="120"/>
        <v>1569650.1165033495</v>
      </c>
      <c r="DR133">
        <f t="shared" si="121"/>
        <v>957347.05206124531</v>
      </c>
      <c r="DS133">
        <f t="shared" si="122"/>
        <v>3083124.2803492225</v>
      </c>
      <c r="DT133">
        <f t="shared" si="123"/>
        <v>1424345.6888533481</v>
      </c>
      <c r="DU133">
        <f t="shared" si="124"/>
        <v>286432.00777863746</v>
      </c>
      <c r="DV133">
        <f t="shared" si="125"/>
        <v>821100.50361601345</v>
      </c>
      <c r="DW133">
        <f t="shared" si="126"/>
        <v>2299136.698331038</v>
      </c>
      <c r="DX133">
        <f t="shared" si="127"/>
        <v>293014.52491573431</v>
      </c>
      <c r="DY133">
        <f t="shared" si="128"/>
        <v>1915092.0855130535</v>
      </c>
      <c r="DZ133">
        <f t="shared" si="129"/>
        <v>1424598.8141382507</v>
      </c>
      <c r="EA133">
        <f t="shared" si="130"/>
        <v>893807.36194519117</v>
      </c>
      <c r="EB133">
        <f t="shared" si="131"/>
        <v>873045.10770683433</v>
      </c>
      <c r="EC133">
        <f t="shared" si="132"/>
        <v>172667.98047041756</v>
      </c>
      <c r="ED133">
        <f t="shared" si="133"/>
        <v>158275.61400955019</v>
      </c>
      <c r="EE133">
        <f t="shared" si="134"/>
        <v>339889.57649215817</v>
      </c>
      <c r="EF133">
        <f t="shared" si="135"/>
        <v>1066157.8740950515</v>
      </c>
      <c r="EG133">
        <f t="shared" si="136"/>
        <v>2400668.2565451581</v>
      </c>
      <c r="EH133">
        <f t="shared" si="137"/>
        <v>2048167.0876273166</v>
      </c>
      <c r="EI133">
        <f t="shared" si="138"/>
        <v>2607288.2817202033</v>
      </c>
      <c r="EJ133">
        <f t="shared" si="139"/>
        <v>2223661.2399123828</v>
      </c>
      <c r="EK133">
        <f t="shared" si="140"/>
        <v>572206.44202303689</v>
      </c>
      <c r="EL133">
        <f t="shared" si="141"/>
        <v>1331605.0107849902</v>
      </c>
      <c r="EM133">
        <f t="shared" si="142"/>
        <v>1055708.2325378691</v>
      </c>
      <c r="EN133">
        <f t="shared" si="143"/>
        <v>13763.763575251673</v>
      </c>
    </row>
    <row r="134" spans="2:144" x14ac:dyDescent="0.35">
      <c r="B134" s="87">
        <v>0</v>
      </c>
      <c r="C134" s="87">
        <v>0</v>
      </c>
      <c r="D134" s="87">
        <v>0</v>
      </c>
      <c r="E134" s="87">
        <v>0</v>
      </c>
      <c r="F134" s="87">
        <v>0</v>
      </c>
      <c r="G134" s="87">
        <v>0</v>
      </c>
      <c r="H134" s="87">
        <v>0</v>
      </c>
      <c r="I134" s="87">
        <v>0</v>
      </c>
      <c r="J134" s="87">
        <v>0</v>
      </c>
      <c r="K134" s="87">
        <v>0</v>
      </c>
      <c r="L134" s="87">
        <v>0</v>
      </c>
      <c r="M134" s="87">
        <v>0</v>
      </c>
      <c r="N134" s="87">
        <v>0</v>
      </c>
      <c r="O134" s="87">
        <v>0</v>
      </c>
      <c r="P134" s="87">
        <v>0</v>
      </c>
      <c r="Q134" s="87">
        <v>0</v>
      </c>
      <c r="R134" s="87">
        <v>0</v>
      </c>
      <c r="S134" s="87">
        <v>0</v>
      </c>
      <c r="T134" s="87">
        <v>0</v>
      </c>
      <c r="U134" s="87">
        <v>0</v>
      </c>
      <c r="V134" s="87">
        <v>0</v>
      </c>
      <c r="W134" s="87">
        <v>0</v>
      </c>
      <c r="X134" s="87">
        <v>0</v>
      </c>
      <c r="Y134" s="87">
        <v>0</v>
      </c>
      <c r="Z134" s="87">
        <v>0</v>
      </c>
      <c r="AA134" s="87">
        <v>0</v>
      </c>
      <c r="AB134" s="87">
        <v>0</v>
      </c>
      <c r="AC134" s="87">
        <v>0</v>
      </c>
      <c r="AD134" s="87">
        <v>0</v>
      </c>
      <c r="AE134" s="87">
        <v>0</v>
      </c>
      <c r="AF134" s="87">
        <v>0</v>
      </c>
      <c r="AG134" s="87">
        <v>0</v>
      </c>
      <c r="AH134" s="87">
        <v>0</v>
      </c>
      <c r="AI134" s="87">
        <v>0</v>
      </c>
      <c r="AJ134" s="87">
        <v>0</v>
      </c>
      <c r="AK134" s="87">
        <v>0</v>
      </c>
      <c r="AL134" s="87">
        <v>0</v>
      </c>
      <c r="AM134" s="87">
        <v>0</v>
      </c>
      <c r="AN134" s="87">
        <v>0</v>
      </c>
      <c r="AO134" s="87">
        <v>0</v>
      </c>
      <c r="AP134" s="87">
        <v>0</v>
      </c>
      <c r="AQ134" s="87">
        <v>0</v>
      </c>
      <c r="AR134" s="87">
        <v>0</v>
      </c>
      <c r="AS134" s="87">
        <v>0</v>
      </c>
      <c r="AT134" s="87">
        <v>0</v>
      </c>
      <c r="AU134" s="87">
        <v>0</v>
      </c>
      <c r="AV134" s="87">
        <v>0</v>
      </c>
      <c r="AW134" s="87">
        <v>0</v>
      </c>
      <c r="AX134" s="87">
        <v>0</v>
      </c>
      <c r="AY134" s="87">
        <v>0</v>
      </c>
      <c r="AZ134" s="87">
        <v>0</v>
      </c>
      <c r="BA134" s="87">
        <v>0</v>
      </c>
      <c r="BB134" s="87">
        <v>0</v>
      </c>
      <c r="BC134" s="87">
        <v>0</v>
      </c>
      <c r="BD134" s="87">
        <v>0</v>
      </c>
      <c r="BE134" s="87">
        <v>1</v>
      </c>
      <c r="BF134" s="87">
        <v>0</v>
      </c>
      <c r="BG134" s="87">
        <v>0</v>
      </c>
      <c r="BH134" s="87">
        <v>0</v>
      </c>
      <c r="BI134" s="87">
        <v>0</v>
      </c>
      <c r="BJ134" s="87">
        <v>0</v>
      </c>
      <c r="BK134" s="87">
        <v>0</v>
      </c>
      <c r="BL134" s="87">
        <v>0</v>
      </c>
      <c r="BM134" s="87">
        <v>0</v>
      </c>
      <c r="BN134" s="87">
        <v>0</v>
      </c>
      <c r="BO134" s="87">
        <v>0</v>
      </c>
      <c r="BP134" s="87">
        <v>0</v>
      </c>
      <c r="BQ134" s="87">
        <v>0</v>
      </c>
      <c r="BR134" s="87">
        <v>0</v>
      </c>
      <c r="BS134" s="87">
        <v>0</v>
      </c>
      <c r="BW134">
        <f t="shared" si="144"/>
        <v>232672.48590733891</v>
      </c>
      <c r="BX134">
        <f t="shared" si="75"/>
        <v>34839.716621068001</v>
      </c>
      <c r="BY134">
        <f t="shared" si="76"/>
        <v>371094.06353103736</v>
      </c>
      <c r="BZ134">
        <f t="shared" si="77"/>
        <v>76179.776535406141</v>
      </c>
      <c r="CA134">
        <f t="shared" si="78"/>
        <v>15011.396028380053</v>
      </c>
      <c r="CB134">
        <f t="shared" si="79"/>
        <v>51551.176130883803</v>
      </c>
      <c r="CC134">
        <f t="shared" si="80"/>
        <v>177768.63125311004</v>
      </c>
      <c r="CD134">
        <f t="shared" si="81"/>
        <v>128259.05724192546</v>
      </c>
      <c r="CE134">
        <f t="shared" si="82"/>
        <v>278847.59643141937</v>
      </c>
      <c r="CF134">
        <f t="shared" si="83"/>
        <v>119292.47302789842</v>
      </c>
      <c r="CG134">
        <f t="shared" si="84"/>
        <v>83770.04231671372</v>
      </c>
      <c r="CH134">
        <f t="shared" si="85"/>
        <v>300092.07254081866</v>
      </c>
      <c r="CI134">
        <f t="shared" si="86"/>
        <v>239004.30542355054</v>
      </c>
      <c r="CJ134">
        <f t="shared" si="87"/>
        <v>373508.54190304613</v>
      </c>
      <c r="CK134">
        <f t="shared" si="88"/>
        <v>335805.16136012977</v>
      </c>
      <c r="CL134">
        <f t="shared" si="89"/>
        <v>78625.343120143414</v>
      </c>
      <c r="CM134">
        <f t="shared" si="90"/>
        <v>243781.44385618682</v>
      </c>
      <c r="CN134">
        <f t="shared" si="91"/>
        <v>548861.54802201549</v>
      </c>
      <c r="CO134">
        <f t="shared" si="92"/>
        <v>143806.93864198707</v>
      </c>
      <c r="CP134">
        <f t="shared" si="93"/>
        <v>465205.04703729611</v>
      </c>
      <c r="CQ134">
        <f t="shared" si="94"/>
        <v>342340.40920507541</v>
      </c>
      <c r="CR134">
        <f t="shared" si="95"/>
        <v>216877.32727484047</v>
      </c>
      <c r="CS134">
        <f t="shared" si="96"/>
        <v>202257.42757550368</v>
      </c>
      <c r="CT134">
        <f t="shared" si="97"/>
        <v>45234.347346962793</v>
      </c>
      <c r="CU134">
        <f t="shared" si="98"/>
        <v>46567.357189394708</v>
      </c>
      <c r="CV134">
        <f t="shared" si="99"/>
        <v>174837.79805898081</v>
      </c>
      <c r="CW134">
        <f t="shared" si="100"/>
        <v>280799.51465892419</v>
      </c>
      <c r="CX134">
        <f t="shared" si="101"/>
        <v>535023.54635062267</v>
      </c>
      <c r="CY134">
        <f t="shared" si="102"/>
        <v>559587.29484140966</v>
      </c>
      <c r="CZ134">
        <f t="shared" si="103"/>
        <v>895036.38006964535</v>
      </c>
      <c r="DA134">
        <f t="shared" si="104"/>
        <v>396678.46605921059</v>
      </c>
      <c r="DB134">
        <f t="shared" si="105"/>
        <v>234239.97799612756</v>
      </c>
      <c r="DC134">
        <f t="shared" si="106"/>
        <v>473059.82230215718</v>
      </c>
      <c r="DD134">
        <f t="shared" si="107"/>
        <v>287782.4716443739</v>
      </c>
      <c r="DE134">
        <f t="shared" si="108"/>
        <v>16054.733336787096</v>
      </c>
      <c r="DF134">
        <f t="shared" si="109"/>
        <v>1286310.0508836138</v>
      </c>
      <c r="DG134">
        <f t="shared" si="110"/>
        <v>893143.98897724436</v>
      </c>
      <c r="DH134">
        <f t="shared" si="111"/>
        <v>1623548.423859294</v>
      </c>
      <c r="DI134">
        <f t="shared" si="112"/>
        <v>722831.67721237696</v>
      </c>
      <c r="DJ134">
        <f t="shared" si="113"/>
        <v>107926.25122295273</v>
      </c>
      <c r="DK134">
        <f t="shared" si="114"/>
        <v>242301.8182004696</v>
      </c>
      <c r="DL134">
        <f t="shared" si="115"/>
        <v>659312.97889831674</v>
      </c>
      <c r="DM134">
        <f t="shared" si="116"/>
        <v>524533.04434630182</v>
      </c>
      <c r="DN134">
        <f t="shared" si="117"/>
        <v>1075349.3540120444</v>
      </c>
      <c r="DO134">
        <f t="shared" si="118"/>
        <v>511028.73918927449</v>
      </c>
      <c r="DP134">
        <f t="shared" si="119"/>
        <v>407559.59327890177</v>
      </c>
      <c r="DQ134">
        <f t="shared" si="120"/>
        <v>1569650.1165033495</v>
      </c>
      <c r="DR134">
        <f t="shared" si="121"/>
        <v>957347.05206124531</v>
      </c>
      <c r="DS134">
        <f t="shared" si="122"/>
        <v>3083124.2803492225</v>
      </c>
      <c r="DT134">
        <f t="shared" si="123"/>
        <v>1424345.6888533481</v>
      </c>
      <c r="DU134">
        <f t="shared" si="124"/>
        <v>286432.00777863746</v>
      </c>
      <c r="DV134">
        <f t="shared" si="125"/>
        <v>821100.50361601345</v>
      </c>
      <c r="DW134">
        <f t="shared" si="126"/>
        <v>2299136.698331038</v>
      </c>
      <c r="DX134">
        <f t="shared" si="127"/>
        <v>293014.52491573431</v>
      </c>
      <c r="DY134">
        <f t="shared" si="128"/>
        <v>1915092.0855130535</v>
      </c>
      <c r="DZ134">
        <f t="shared" si="129"/>
        <v>1424598.8141382507</v>
      </c>
      <c r="EA134">
        <f t="shared" si="130"/>
        <v>893807.36194519117</v>
      </c>
      <c r="EB134">
        <f t="shared" si="131"/>
        <v>873045.10770683433</v>
      </c>
      <c r="EC134">
        <f t="shared" si="132"/>
        <v>172667.98047041756</v>
      </c>
      <c r="ED134">
        <f t="shared" si="133"/>
        <v>158275.61400955019</v>
      </c>
      <c r="EE134">
        <f t="shared" si="134"/>
        <v>339889.57649215817</v>
      </c>
      <c r="EF134">
        <f t="shared" si="135"/>
        <v>1066157.8740950515</v>
      </c>
      <c r="EG134">
        <f t="shared" si="136"/>
        <v>2400668.2565451581</v>
      </c>
      <c r="EH134">
        <f t="shared" si="137"/>
        <v>2048167.0876273166</v>
      </c>
      <c r="EI134">
        <f t="shared" si="138"/>
        <v>2607288.2817202033</v>
      </c>
      <c r="EJ134">
        <f t="shared" si="139"/>
        <v>2223661.2399123828</v>
      </c>
      <c r="EK134">
        <f t="shared" si="140"/>
        <v>572206.44202303689</v>
      </c>
      <c r="EL134">
        <f t="shared" si="141"/>
        <v>1331605.0107849902</v>
      </c>
      <c r="EM134">
        <f t="shared" si="142"/>
        <v>1055708.2325378691</v>
      </c>
      <c r="EN134">
        <f t="shared" si="143"/>
        <v>13763.763575251673</v>
      </c>
    </row>
    <row r="135" spans="2:144" x14ac:dyDescent="0.35">
      <c r="B135" s="87">
        <v>0</v>
      </c>
      <c r="C135" s="87">
        <v>0</v>
      </c>
      <c r="D135" s="87">
        <v>0</v>
      </c>
      <c r="E135" s="87">
        <v>0</v>
      </c>
      <c r="F135" s="87">
        <v>0</v>
      </c>
      <c r="G135" s="87">
        <v>0</v>
      </c>
      <c r="H135" s="87">
        <v>0</v>
      </c>
      <c r="I135" s="87">
        <v>0</v>
      </c>
      <c r="J135" s="87">
        <v>0</v>
      </c>
      <c r="K135" s="87">
        <v>0</v>
      </c>
      <c r="L135" s="87">
        <v>0</v>
      </c>
      <c r="M135" s="87">
        <v>0</v>
      </c>
      <c r="N135" s="87">
        <v>0</v>
      </c>
      <c r="O135" s="87">
        <v>0</v>
      </c>
      <c r="P135" s="87">
        <v>0</v>
      </c>
      <c r="Q135" s="87">
        <v>0</v>
      </c>
      <c r="R135" s="87">
        <v>0</v>
      </c>
      <c r="S135" s="87">
        <v>0</v>
      </c>
      <c r="T135" s="87">
        <v>0</v>
      </c>
      <c r="U135" s="87">
        <v>0</v>
      </c>
      <c r="V135" s="87">
        <v>0</v>
      </c>
      <c r="W135" s="87">
        <v>0</v>
      </c>
      <c r="X135" s="87">
        <v>0</v>
      </c>
      <c r="Y135" s="87">
        <v>0</v>
      </c>
      <c r="Z135" s="87">
        <v>0</v>
      </c>
      <c r="AA135" s="87">
        <v>0</v>
      </c>
      <c r="AB135" s="87">
        <v>0</v>
      </c>
      <c r="AC135" s="87">
        <v>0</v>
      </c>
      <c r="AD135" s="87">
        <v>0</v>
      </c>
      <c r="AE135" s="87">
        <v>0</v>
      </c>
      <c r="AF135" s="87">
        <v>0</v>
      </c>
      <c r="AG135" s="87">
        <v>0</v>
      </c>
      <c r="AH135" s="87">
        <v>0</v>
      </c>
      <c r="AI135" s="87">
        <v>0</v>
      </c>
      <c r="AJ135" s="87">
        <v>0</v>
      </c>
      <c r="AK135" s="87">
        <v>0</v>
      </c>
      <c r="AL135" s="87">
        <v>0</v>
      </c>
      <c r="AM135" s="87">
        <v>0</v>
      </c>
      <c r="AN135" s="87">
        <v>0</v>
      </c>
      <c r="AO135" s="87">
        <v>0</v>
      </c>
      <c r="AP135" s="87">
        <v>0</v>
      </c>
      <c r="AQ135" s="87">
        <v>0</v>
      </c>
      <c r="AR135" s="87">
        <v>0</v>
      </c>
      <c r="AS135" s="87">
        <v>0</v>
      </c>
      <c r="AT135" s="87">
        <v>0</v>
      </c>
      <c r="AU135" s="87">
        <v>0</v>
      </c>
      <c r="AV135" s="87">
        <v>0</v>
      </c>
      <c r="AW135" s="87">
        <v>0</v>
      </c>
      <c r="AX135" s="87">
        <v>0</v>
      </c>
      <c r="AY135" s="87">
        <v>0</v>
      </c>
      <c r="AZ135" s="87">
        <v>0</v>
      </c>
      <c r="BA135" s="87">
        <v>0</v>
      </c>
      <c r="BB135" s="87">
        <v>0</v>
      </c>
      <c r="BC135" s="87">
        <v>0</v>
      </c>
      <c r="BD135" s="87">
        <v>0</v>
      </c>
      <c r="BE135" s="87">
        <v>0</v>
      </c>
      <c r="BF135" s="87">
        <v>1</v>
      </c>
      <c r="BG135" s="87">
        <v>0</v>
      </c>
      <c r="BH135" s="87">
        <v>0</v>
      </c>
      <c r="BI135" s="87">
        <v>0</v>
      </c>
      <c r="BJ135" s="87">
        <v>0</v>
      </c>
      <c r="BK135" s="87">
        <v>0</v>
      </c>
      <c r="BL135" s="87">
        <v>0</v>
      </c>
      <c r="BM135" s="87">
        <v>0</v>
      </c>
      <c r="BN135" s="87">
        <v>0</v>
      </c>
      <c r="BO135" s="87">
        <v>0</v>
      </c>
      <c r="BP135" s="87">
        <v>0</v>
      </c>
      <c r="BQ135" s="87">
        <v>0</v>
      </c>
      <c r="BR135" s="87">
        <v>0</v>
      </c>
      <c r="BS135" s="87">
        <v>0</v>
      </c>
      <c r="BW135">
        <f t="shared" si="144"/>
        <v>232672.48590733891</v>
      </c>
      <c r="BX135">
        <f t="shared" si="75"/>
        <v>34839.716621068001</v>
      </c>
      <c r="BY135">
        <f t="shared" si="76"/>
        <v>371094.06353103736</v>
      </c>
      <c r="BZ135">
        <f t="shared" si="77"/>
        <v>76179.776535406141</v>
      </c>
      <c r="CA135">
        <f t="shared" si="78"/>
        <v>15011.396028380053</v>
      </c>
      <c r="CB135">
        <f t="shared" si="79"/>
        <v>51551.176130883803</v>
      </c>
      <c r="CC135">
        <f t="shared" si="80"/>
        <v>177768.63125311004</v>
      </c>
      <c r="CD135">
        <f t="shared" si="81"/>
        <v>128259.05724192546</v>
      </c>
      <c r="CE135">
        <f t="shared" si="82"/>
        <v>278847.59643141937</v>
      </c>
      <c r="CF135">
        <f t="shared" si="83"/>
        <v>119292.47302789842</v>
      </c>
      <c r="CG135">
        <f t="shared" si="84"/>
        <v>83770.04231671372</v>
      </c>
      <c r="CH135">
        <f t="shared" si="85"/>
        <v>300092.07254081866</v>
      </c>
      <c r="CI135">
        <f t="shared" si="86"/>
        <v>239004.30542355054</v>
      </c>
      <c r="CJ135">
        <f t="shared" si="87"/>
        <v>373508.54190304613</v>
      </c>
      <c r="CK135">
        <f t="shared" si="88"/>
        <v>335805.16136012977</v>
      </c>
      <c r="CL135">
        <f t="shared" si="89"/>
        <v>78625.343120143414</v>
      </c>
      <c r="CM135">
        <f t="shared" si="90"/>
        <v>243781.44385618682</v>
      </c>
      <c r="CN135">
        <f t="shared" si="91"/>
        <v>548861.54802201549</v>
      </c>
      <c r="CO135">
        <f t="shared" si="92"/>
        <v>143806.93864198707</v>
      </c>
      <c r="CP135">
        <f t="shared" si="93"/>
        <v>465205.04703729611</v>
      </c>
      <c r="CQ135">
        <f t="shared" si="94"/>
        <v>342340.40920507541</v>
      </c>
      <c r="CR135">
        <f t="shared" si="95"/>
        <v>216877.32727484047</v>
      </c>
      <c r="CS135">
        <f t="shared" si="96"/>
        <v>202257.42757550368</v>
      </c>
      <c r="CT135">
        <f t="shared" si="97"/>
        <v>45234.347346962793</v>
      </c>
      <c r="CU135">
        <f t="shared" si="98"/>
        <v>46567.357189394708</v>
      </c>
      <c r="CV135">
        <f t="shared" si="99"/>
        <v>174837.79805898081</v>
      </c>
      <c r="CW135">
        <f t="shared" si="100"/>
        <v>280799.51465892419</v>
      </c>
      <c r="CX135">
        <f t="shared" si="101"/>
        <v>535023.54635062267</v>
      </c>
      <c r="CY135">
        <f t="shared" si="102"/>
        <v>559587.29484140966</v>
      </c>
      <c r="CZ135">
        <f t="shared" si="103"/>
        <v>895036.38006964535</v>
      </c>
      <c r="DA135">
        <f t="shared" si="104"/>
        <v>396678.46605921059</v>
      </c>
      <c r="DB135">
        <f t="shared" si="105"/>
        <v>234239.97799612756</v>
      </c>
      <c r="DC135">
        <f t="shared" si="106"/>
        <v>473059.82230215718</v>
      </c>
      <c r="DD135">
        <f t="shared" si="107"/>
        <v>287782.4716443739</v>
      </c>
      <c r="DE135">
        <f t="shared" si="108"/>
        <v>16054.733336787096</v>
      </c>
      <c r="DF135">
        <f t="shared" si="109"/>
        <v>1286310.0508836138</v>
      </c>
      <c r="DG135">
        <f t="shared" si="110"/>
        <v>893143.98897724436</v>
      </c>
      <c r="DH135">
        <f t="shared" si="111"/>
        <v>1623548.423859294</v>
      </c>
      <c r="DI135">
        <f t="shared" si="112"/>
        <v>722831.67721237696</v>
      </c>
      <c r="DJ135">
        <f t="shared" si="113"/>
        <v>107926.25122295273</v>
      </c>
      <c r="DK135">
        <f t="shared" si="114"/>
        <v>242301.8182004696</v>
      </c>
      <c r="DL135">
        <f t="shared" si="115"/>
        <v>659312.97889831674</v>
      </c>
      <c r="DM135">
        <f t="shared" si="116"/>
        <v>524533.04434630182</v>
      </c>
      <c r="DN135">
        <f t="shared" si="117"/>
        <v>1075349.3540120444</v>
      </c>
      <c r="DO135">
        <f t="shared" si="118"/>
        <v>511028.73918927449</v>
      </c>
      <c r="DP135">
        <f t="shared" si="119"/>
        <v>407559.59327890177</v>
      </c>
      <c r="DQ135">
        <f t="shared" si="120"/>
        <v>1569650.1165033495</v>
      </c>
      <c r="DR135">
        <f t="shared" si="121"/>
        <v>957347.05206124531</v>
      </c>
      <c r="DS135">
        <f t="shared" si="122"/>
        <v>3083124.2803492225</v>
      </c>
      <c r="DT135">
        <f t="shared" si="123"/>
        <v>1424345.6888533481</v>
      </c>
      <c r="DU135">
        <f t="shared" si="124"/>
        <v>286432.00777863746</v>
      </c>
      <c r="DV135">
        <f t="shared" si="125"/>
        <v>821100.50361601345</v>
      </c>
      <c r="DW135">
        <f t="shared" si="126"/>
        <v>2299136.698331038</v>
      </c>
      <c r="DX135">
        <f t="shared" si="127"/>
        <v>293014.52491573431</v>
      </c>
      <c r="DY135">
        <f t="shared" si="128"/>
        <v>1915092.0855130535</v>
      </c>
      <c r="DZ135">
        <f t="shared" si="129"/>
        <v>1424598.8141382507</v>
      </c>
      <c r="EA135">
        <f t="shared" si="130"/>
        <v>893807.36194519117</v>
      </c>
      <c r="EB135">
        <f t="shared" si="131"/>
        <v>873045.10770683433</v>
      </c>
      <c r="EC135">
        <f t="shared" si="132"/>
        <v>172667.98047041756</v>
      </c>
      <c r="ED135">
        <f t="shared" si="133"/>
        <v>158275.61400955019</v>
      </c>
      <c r="EE135">
        <f t="shared" si="134"/>
        <v>339889.57649215817</v>
      </c>
      <c r="EF135">
        <f t="shared" si="135"/>
        <v>1066157.8740950515</v>
      </c>
      <c r="EG135">
        <f t="shared" si="136"/>
        <v>2400668.2565451581</v>
      </c>
      <c r="EH135">
        <f t="shared" si="137"/>
        <v>2048167.0876273166</v>
      </c>
      <c r="EI135">
        <f t="shared" si="138"/>
        <v>2607288.2817202033</v>
      </c>
      <c r="EJ135">
        <f t="shared" si="139"/>
        <v>2223661.2399123828</v>
      </c>
      <c r="EK135">
        <f t="shared" si="140"/>
        <v>572206.44202303689</v>
      </c>
      <c r="EL135">
        <f t="shared" si="141"/>
        <v>1331605.0107849902</v>
      </c>
      <c r="EM135">
        <f t="shared" si="142"/>
        <v>1055708.2325378691</v>
      </c>
      <c r="EN135">
        <f t="shared" si="143"/>
        <v>13763.763575251673</v>
      </c>
    </row>
    <row r="136" spans="2:144" x14ac:dyDescent="0.35">
      <c r="B136" s="87">
        <v>0</v>
      </c>
      <c r="C136" s="87">
        <v>0</v>
      </c>
      <c r="D136" s="87">
        <v>0</v>
      </c>
      <c r="E136" s="87">
        <v>0</v>
      </c>
      <c r="F136" s="87">
        <v>0</v>
      </c>
      <c r="G136" s="87">
        <v>0</v>
      </c>
      <c r="H136" s="87">
        <v>0</v>
      </c>
      <c r="I136" s="87">
        <v>0</v>
      </c>
      <c r="J136" s="87">
        <v>0</v>
      </c>
      <c r="K136" s="87">
        <v>0</v>
      </c>
      <c r="L136" s="87">
        <v>0</v>
      </c>
      <c r="M136" s="87">
        <v>0</v>
      </c>
      <c r="N136" s="87">
        <v>0</v>
      </c>
      <c r="O136" s="87">
        <v>0</v>
      </c>
      <c r="P136" s="87">
        <v>0</v>
      </c>
      <c r="Q136" s="87">
        <v>0</v>
      </c>
      <c r="R136" s="87">
        <v>0</v>
      </c>
      <c r="S136" s="87">
        <v>0</v>
      </c>
      <c r="T136" s="87">
        <v>0</v>
      </c>
      <c r="U136" s="87">
        <v>0</v>
      </c>
      <c r="V136" s="87">
        <v>0</v>
      </c>
      <c r="W136" s="87">
        <v>0</v>
      </c>
      <c r="X136" s="87">
        <v>0</v>
      </c>
      <c r="Y136" s="87">
        <v>0</v>
      </c>
      <c r="Z136" s="87">
        <v>0</v>
      </c>
      <c r="AA136" s="87">
        <v>0</v>
      </c>
      <c r="AB136" s="87">
        <v>0</v>
      </c>
      <c r="AC136" s="87">
        <v>0</v>
      </c>
      <c r="AD136" s="87">
        <v>0</v>
      </c>
      <c r="AE136" s="87">
        <v>0</v>
      </c>
      <c r="AF136" s="87">
        <v>0</v>
      </c>
      <c r="AG136" s="87">
        <v>0</v>
      </c>
      <c r="AH136" s="87">
        <v>0</v>
      </c>
      <c r="AI136" s="87">
        <v>0</v>
      </c>
      <c r="AJ136" s="87">
        <v>0</v>
      </c>
      <c r="AK136" s="87">
        <v>0</v>
      </c>
      <c r="AL136" s="87">
        <v>0</v>
      </c>
      <c r="AM136" s="87">
        <v>0</v>
      </c>
      <c r="AN136" s="87">
        <v>0</v>
      </c>
      <c r="AO136" s="87">
        <v>0</v>
      </c>
      <c r="AP136" s="87">
        <v>0</v>
      </c>
      <c r="AQ136" s="87">
        <v>0</v>
      </c>
      <c r="AR136" s="87">
        <v>0</v>
      </c>
      <c r="AS136" s="87">
        <v>0</v>
      </c>
      <c r="AT136" s="87">
        <v>0</v>
      </c>
      <c r="AU136" s="87">
        <v>0</v>
      </c>
      <c r="AV136" s="87">
        <v>0</v>
      </c>
      <c r="AW136" s="87">
        <v>0</v>
      </c>
      <c r="AX136" s="87">
        <v>0</v>
      </c>
      <c r="AY136" s="87">
        <v>0</v>
      </c>
      <c r="AZ136" s="87">
        <v>0</v>
      </c>
      <c r="BA136" s="87">
        <v>0</v>
      </c>
      <c r="BB136" s="87">
        <v>0</v>
      </c>
      <c r="BC136" s="87">
        <v>0</v>
      </c>
      <c r="BD136" s="87">
        <v>0</v>
      </c>
      <c r="BE136" s="87">
        <v>0</v>
      </c>
      <c r="BF136" s="87">
        <v>0</v>
      </c>
      <c r="BG136" s="87">
        <v>1</v>
      </c>
      <c r="BH136" s="87">
        <v>0</v>
      </c>
      <c r="BI136" s="87">
        <v>0</v>
      </c>
      <c r="BJ136" s="87">
        <v>0</v>
      </c>
      <c r="BK136" s="87">
        <v>0</v>
      </c>
      <c r="BL136" s="87">
        <v>0</v>
      </c>
      <c r="BM136" s="87">
        <v>0</v>
      </c>
      <c r="BN136" s="87">
        <v>0</v>
      </c>
      <c r="BO136" s="87">
        <v>0</v>
      </c>
      <c r="BP136" s="87">
        <v>0</v>
      </c>
      <c r="BQ136" s="87">
        <v>0</v>
      </c>
      <c r="BR136" s="87">
        <v>0</v>
      </c>
      <c r="BS136" s="87">
        <v>0</v>
      </c>
      <c r="BW136">
        <f t="shared" si="144"/>
        <v>232672.48590733891</v>
      </c>
      <c r="BX136">
        <f t="shared" si="75"/>
        <v>34839.716621068001</v>
      </c>
      <c r="BY136">
        <f t="shared" si="76"/>
        <v>371094.06353103736</v>
      </c>
      <c r="BZ136">
        <f t="shared" si="77"/>
        <v>76179.776535406141</v>
      </c>
      <c r="CA136">
        <f t="shared" si="78"/>
        <v>15011.396028380053</v>
      </c>
      <c r="CB136">
        <f t="shared" si="79"/>
        <v>51551.176130883803</v>
      </c>
      <c r="CC136">
        <f t="shared" si="80"/>
        <v>177768.63125311004</v>
      </c>
      <c r="CD136">
        <f t="shared" si="81"/>
        <v>128259.05724192546</v>
      </c>
      <c r="CE136">
        <f t="shared" si="82"/>
        <v>278847.59643141937</v>
      </c>
      <c r="CF136">
        <f t="shared" si="83"/>
        <v>119292.47302789842</v>
      </c>
      <c r="CG136">
        <f t="shared" si="84"/>
        <v>83770.04231671372</v>
      </c>
      <c r="CH136">
        <f t="shared" si="85"/>
        <v>300092.07254081866</v>
      </c>
      <c r="CI136">
        <f t="shared" si="86"/>
        <v>239004.30542355054</v>
      </c>
      <c r="CJ136">
        <f t="shared" si="87"/>
        <v>373508.54190304613</v>
      </c>
      <c r="CK136">
        <f t="shared" si="88"/>
        <v>335805.16136012977</v>
      </c>
      <c r="CL136">
        <f t="shared" si="89"/>
        <v>78625.343120143414</v>
      </c>
      <c r="CM136">
        <f t="shared" si="90"/>
        <v>243781.44385618682</v>
      </c>
      <c r="CN136">
        <f t="shared" si="91"/>
        <v>548861.54802201549</v>
      </c>
      <c r="CO136">
        <f t="shared" si="92"/>
        <v>143806.93864198707</v>
      </c>
      <c r="CP136">
        <f t="shared" si="93"/>
        <v>465205.04703729611</v>
      </c>
      <c r="CQ136">
        <f t="shared" si="94"/>
        <v>342340.40920507541</v>
      </c>
      <c r="CR136">
        <f t="shared" si="95"/>
        <v>216877.32727484047</v>
      </c>
      <c r="CS136">
        <f t="shared" si="96"/>
        <v>202257.42757550368</v>
      </c>
      <c r="CT136">
        <f t="shared" si="97"/>
        <v>45234.347346962793</v>
      </c>
      <c r="CU136">
        <f t="shared" si="98"/>
        <v>46567.357189394708</v>
      </c>
      <c r="CV136">
        <f t="shared" si="99"/>
        <v>174837.79805898081</v>
      </c>
      <c r="CW136">
        <f t="shared" si="100"/>
        <v>280799.51465892419</v>
      </c>
      <c r="CX136">
        <f t="shared" si="101"/>
        <v>535023.54635062267</v>
      </c>
      <c r="CY136">
        <f t="shared" si="102"/>
        <v>559587.29484140966</v>
      </c>
      <c r="CZ136">
        <f t="shared" si="103"/>
        <v>895036.38006964535</v>
      </c>
      <c r="DA136">
        <f t="shared" si="104"/>
        <v>396678.46605921059</v>
      </c>
      <c r="DB136">
        <f t="shared" si="105"/>
        <v>234239.97799612756</v>
      </c>
      <c r="DC136">
        <f t="shared" si="106"/>
        <v>473059.82230215718</v>
      </c>
      <c r="DD136">
        <f t="shared" si="107"/>
        <v>287782.4716443739</v>
      </c>
      <c r="DE136">
        <f t="shared" si="108"/>
        <v>16054.733336787096</v>
      </c>
      <c r="DF136">
        <f t="shared" si="109"/>
        <v>1286310.0508836138</v>
      </c>
      <c r="DG136">
        <f t="shared" si="110"/>
        <v>893143.98897724436</v>
      </c>
      <c r="DH136">
        <f t="shared" si="111"/>
        <v>1623548.423859294</v>
      </c>
      <c r="DI136">
        <f t="shared" si="112"/>
        <v>722831.67721237696</v>
      </c>
      <c r="DJ136">
        <f t="shared" si="113"/>
        <v>107926.25122295273</v>
      </c>
      <c r="DK136">
        <f t="shared" si="114"/>
        <v>242301.8182004696</v>
      </c>
      <c r="DL136">
        <f t="shared" si="115"/>
        <v>659312.97889831674</v>
      </c>
      <c r="DM136">
        <f t="shared" si="116"/>
        <v>524533.04434630182</v>
      </c>
      <c r="DN136">
        <f t="shared" si="117"/>
        <v>1075349.3540120444</v>
      </c>
      <c r="DO136">
        <f t="shared" si="118"/>
        <v>511028.73918927449</v>
      </c>
      <c r="DP136">
        <f t="shared" si="119"/>
        <v>407559.59327890177</v>
      </c>
      <c r="DQ136">
        <f t="shared" si="120"/>
        <v>1569650.1165033495</v>
      </c>
      <c r="DR136">
        <f t="shared" si="121"/>
        <v>957347.05206124531</v>
      </c>
      <c r="DS136">
        <f t="shared" si="122"/>
        <v>3083124.2803492225</v>
      </c>
      <c r="DT136">
        <f t="shared" si="123"/>
        <v>1424345.6888533481</v>
      </c>
      <c r="DU136">
        <f t="shared" si="124"/>
        <v>286432.00777863746</v>
      </c>
      <c r="DV136">
        <f t="shared" si="125"/>
        <v>821100.50361601345</v>
      </c>
      <c r="DW136">
        <f t="shared" si="126"/>
        <v>2299136.698331038</v>
      </c>
      <c r="DX136">
        <f t="shared" si="127"/>
        <v>293014.52491573431</v>
      </c>
      <c r="DY136">
        <f t="shared" si="128"/>
        <v>1915092.0855130535</v>
      </c>
      <c r="DZ136">
        <f t="shared" si="129"/>
        <v>1424598.8141382507</v>
      </c>
      <c r="EA136">
        <f t="shared" si="130"/>
        <v>893807.36194519117</v>
      </c>
      <c r="EB136">
        <f t="shared" si="131"/>
        <v>873045.10770683433</v>
      </c>
      <c r="EC136">
        <f t="shared" si="132"/>
        <v>172667.98047041756</v>
      </c>
      <c r="ED136">
        <f t="shared" si="133"/>
        <v>158275.61400955019</v>
      </c>
      <c r="EE136">
        <f t="shared" si="134"/>
        <v>339889.57649215817</v>
      </c>
      <c r="EF136">
        <f t="shared" si="135"/>
        <v>1066157.8740950515</v>
      </c>
      <c r="EG136">
        <f t="shared" si="136"/>
        <v>2400668.2565451581</v>
      </c>
      <c r="EH136">
        <f t="shared" si="137"/>
        <v>2048167.0876273166</v>
      </c>
      <c r="EI136">
        <f t="shared" si="138"/>
        <v>2607288.2817202033</v>
      </c>
      <c r="EJ136">
        <f t="shared" si="139"/>
        <v>2223661.2399123828</v>
      </c>
      <c r="EK136">
        <f t="shared" si="140"/>
        <v>572206.44202303689</v>
      </c>
      <c r="EL136">
        <f t="shared" si="141"/>
        <v>1331605.0107849902</v>
      </c>
      <c r="EM136">
        <f t="shared" si="142"/>
        <v>1055708.2325378691</v>
      </c>
      <c r="EN136">
        <f t="shared" si="143"/>
        <v>13763.763575251673</v>
      </c>
    </row>
    <row r="137" spans="2:144" x14ac:dyDescent="0.35">
      <c r="B137" s="87">
        <v>0</v>
      </c>
      <c r="C137" s="87">
        <v>0</v>
      </c>
      <c r="D137" s="87">
        <v>0</v>
      </c>
      <c r="E137" s="87">
        <v>0</v>
      </c>
      <c r="F137" s="87">
        <v>0</v>
      </c>
      <c r="G137" s="87">
        <v>0</v>
      </c>
      <c r="H137" s="87">
        <v>0</v>
      </c>
      <c r="I137" s="87">
        <v>0</v>
      </c>
      <c r="J137" s="87">
        <v>0</v>
      </c>
      <c r="K137" s="87">
        <v>0</v>
      </c>
      <c r="L137" s="87">
        <v>0</v>
      </c>
      <c r="M137" s="87">
        <v>0</v>
      </c>
      <c r="N137" s="87">
        <v>0</v>
      </c>
      <c r="O137" s="87">
        <v>0</v>
      </c>
      <c r="P137" s="87">
        <v>0</v>
      </c>
      <c r="Q137" s="87">
        <v>0</v>
      </c>
      <c r="R137" s="87">
        <v>0</v>
      </c>
      <c r="S137" s="87">
        <v>0</v>
      </c>
      <c r="T137" s="87">
        <v>0</v>
      </c>
      <c r="U137" s="87">
        <v>0</v>
      </c>
      <c r="V137" s="87">
        <v>0</v>
      </c>
      <c r="W137" s="87">
        <v>0</v>
      </c>
      <c r="X137" s="87">
        <v>0</v>
      </c>
      <c r="Y137" s="87">
        <v>0</v>
      </c>
      <c r="Z137" s="87">
        <v>0</v>
      </c>
      <c r="AA137" s="87">
        <v>0</v>
      </c>
      <c r="AB137" s="87">
        <v>0</v>
      </c>
      <c r="AC137" s="87">
        <v>0</v>
      </c>
      <c r="AD137" s="87">
        <v>0</v>
      </c>
      <c r="AE137" s="87">
        <v>0</v>
      </c>
      <c r="AF137" s="87">
        <v>0</v>
      </c>
      <c r="AG137" s="87">
        <v>0</v>
      </c>
      <c r="AH137" s="87">
        <v>0</v>
      </c>
      <c r="AI137" s="87">
        <v>0</v>
      </c>
      <c r="AJ137" s="87">
        <v>0</v>
      </c>
      <c r="AK137" s="87">
        <v>0</v>
      </c>
      <c r="AL137" s="87">
        <v>0</v>
      </c>
      <c r="AM137" s="87">
        <v>0</v>
      </c>
      <c r="AN137" s="87">
        <v>0</v>
      </c>
      <c r="AO137" s="87">
        <v>0</v>
      </c>
      <c r="AP137" s="87">
        <v>0</v>
      </c>
      <c r="AQ137" s="87">
        <v>0</v>
      </c>
      <c r="AR137" s="87">
        <v>0</v>
      </c>
      <c r="AS137" s="87">
        <v>0</v>
      </c>
      <c r="AT137" s="87">
        <v>0</v>
      </c>
      <c r="AU137" s="87">
        <v>0</v>
      </c>
      <c r="AV137" s="87">
        <v>0</v>
      </c>
      <c r="AW137" s="87">
        <v>0</v>
      </c>
      <c r="AX137" s="87">
        <v>0</v>
      </c>
      <c r="AY137" s="87">
        <v>0</v>
      </c>
      <c r="AZ137" s="87">
        <v>0</v>
      </c>
      <c r="BA137" s="87">
        <v>0</v>
      </c>
      <c r="BB137" s="87">
        <v>0</v>
      </c>
      <c r="BC137" s="87">
        <v>0</v>
      </c>
      <c r="BD137" s="87">
        <v>0</v>
      </c>
      <c r="BE137" s="87">
        <v>0</v>
      </c>
      <c r="BF137" s="87">
        <v>0</v>
      </c>
      <c r="BG137" s="87">
        <v>0</v>
      </c>
      <c r="BH137" s="87">
        <v>1</v>
      </c>
      <c r="BI137" s="87">
        <v>0</v>
      </c>
      <c r="BJ137" s="87">
        <v>0</v>
      </c>
      <c r="BK137" s="87">
        <v>0</v>
      </c>
      <c r="BL137" s="87">
        <v>0</v>
      </c>
      <c r="BM137" s="87">
        <v>0</v>
      </c>
      <c r="BN137" s="87">
        <v>0</v>
      </c>
      <c r="BO137" s="87">
        <v>0</v>
      </c>
      <c r="BP137" s="87">
        <v>0</v>
      </c>
      <c r="BQ137" s="87">
        <v>0</v>
      </c>
      <c r="BR137" s="87">
        <v>0</v>
      </c>
      <c r="BS137" s="87">
        <v>0</v>
      </c>
      <c r="BW137">
        <f t="shared" si="144"/>
        <v>232672.48590733891</v>
      </c>
      <c r="BX137">
        <f t="shared" si="75"/>
        <v>34839.716621068001</v>
      </c>
      <c r="BY137">
        <f t="shared" si="76"/>
        <v>371094.06353103736</v>
      </c>
      <c r="BZ137">
        <f t="shared" si="77"/>
        <v>76179.776535406141</v>
      </c>
      <c r="CA137">
        <f t="shared" si="78"/>
        <v>15011.396028380053</v>
      </c>
      <c r="CB137">
        <f t="shared" si="79"/>
        <v>51551.176130883803</v>
      </c>
      <c r="CC137">
        <f t="shared" si="80"/>
        <v>177768.63125311004</v>
      </c>
      <c r="CD137">
        <f t="shared" si="81"/>
        <v>128259.05724192546</v>
      </c>
      <c r="CE137">
        <f t="shared" si="82"/>
        <v>278847.59643141937</v>
      </c>
      <c r="CF137">
        <f t="shared" si="83"/>
        <v>119292.47302789842</v>
      </c>
      <c r="CG137">
        <f t="shared" si="84"/>
        <v>83770.04231671372</v>
      </c>
      <c r="CH137">
        <f t="shared" si="85"/>
        <v>300092.07254081866</v>
      </c>
      <c r="CI137">
        <f t="shared" si="86"/>
        <v>239004.30542355054</v>
      </c>
      <c r="CJ137">
        <f t="shared" si="87"/>
        <v>373508.54190304613</v>
      </c>
      <c r="CK137">
        <f t="shared" si="88"/>
        <v>335805.16136012977</v>
      </c>
      <c r="CL137">
        <f t="shared" si="89"/>
        <v>78625.343120143414</v>
      </c>
      <c r="CM137">
        <f t="shared" si="90"/>
        <v>243781.44385618682</v>
      </c>
      <c r="CN137">
        <f t="shared" si="91"/>
        <v>548861.54802201549</v>
      </c>
      <c r="CO137">
        <f t="shared" si="92"/>
        <v>143806.93864198707</v>
      </c>
      <c r="CP137">
        <f t="shared" si="93"/>
        <v>465205.04703729611</v>
      </c>
      <c r="CQ137">
        <f t="shared" si="94"/>
        <v>342340.40920507541</v>
      </c>
      <c r="CR137">
        <f t="shared" si="95"/>
        <v>216877.32727484047</v>
      </c>
      <c r="CS137">
        <f t="shared" si="96"/>
        <v>202257.42757550368</v>
      </c>
      <c r="CT137">
        <f t="shared" si="97"/>
        <v>45234.347346962793</v>
      </c>
      <c r="CU137">
        <f t="shared" si="98"/>
        <v>46567.357189394708</v>
      </c>
      <c r="CV137">
        <f t="shared" si="99"/>
        <v>174837.79805898081</v>
      </c>
      <c r="CW137">
        <f t="shared" si="100"/>
        <v>280799.51465892419</v>
      </c>
      <c r="CX137">
        <f t="shared" si="101"/>
        <v>535023.54635062267</v>
      </c>
      <c r="CY137">
        <f t="shared" si="102"/>
        <v>559587.29484140966</v>
      </c>
      <c r="CZ137">
        <f t="shared" si="103"/>
        <v>895036.38006964535</v>
      </c>
      <c r="DA137">
        <f t="shared" si="104"/>
        <v>396678.46605921059</v>
      </c>
      <c r="DB137">
        <f t="shared" si="105"/>
        <v>234239.97799612756</v>
      </c>
      <c r="DC137">
        <f t="shared" si="106"/>
        <v>473059.82230215718</v>
      </c>
      <c r="DD137">
        <f t="shared" si="107"/>
        <v>287782.4716443739</v>
      </c>
      <c r="DE137">
        <f t="shared" si="108"/>
        <v>16054.733336787096</v>
      </c>
      <c r="DF137">
        <f t="shared" si="109"/>
        <v>1286310.0508836138</v>
      </c>
      <c r="DG137">
        <f t="shared" si="110"/>
        <v>893143.98897724436</v>
      </c>
      <c r="DH137">
        <f t="shared" si="111"/>
        <v>1623548.423859294</v>
      </c>
      <c r="DI137">
        <f t="shared" si="112"/>
        <v>722831.67721237696</v>
      </c>
      <c r="DJ137">
        <f t="shared" si="113"/>
        <v>107926.25122295273</v>
      </c>
      <c r="DK137">
        <f t="shared" si="114"/>
        <v>242301.8182004696</v>
      </c>
      <c r="DL137">
        <f t="shared" si="115"/>
        <v>659312.97889831674</v>
      </c>
      <c r="DM137">
        <f t="shared" si="116"/>
        <v>524533.04434630182</v>
      </c>
      <c r="DN137">
        <f t="shared" si="117"/>
        <v>1075349.3540120444</v>
      </c>
      <c r="DO137">
        <f t="shared" si="118"/>
        <v>511028.73918927449</v>
      </c>
      <c r="DP137">
        <f t="shared" si="119"/>
        <v>407559.59327890177</v>
      </c>
      <c r="DQ137">
        <f t="shared" si="120"/>
        <v>1569650.1165033495</v>
      </c>
      <c r="DR137">
        <f t="shared" si="121"/>
        <v>957347.05206124531</v>
      </c>
      <c r="DS137">
        <f t="shared" si="122"/>
        <v>3083124.2803492225</v>
      </c>
      <c r="DT137">
        <f t="shared" si="123"/>
        <v>1424345.6888533481</v>
      </c>
      <c r="DU137">
        <f t="shared" si="124"/>
        <v>286432.00777863746</v>
      </c>
      <c r="DV137">
        <f t="shared" si="125"/>
        <v>821100.50361601345</v>
      </c>
      <c r="DW137">
        <f t="shared" si="126"/>
        <v>2299136.698331038</v>
      </c>
      <c r="DX137">
        <f t="shared" si="127"/>
        <v>293014.52491573431</v>
      </c>
      <c r="DY137">
        <f t="shared" si="128"/>
        <v>1915092.0855130535</v>
      </c>
      <c r="DZ137">
        <f t="shared" si="129"/>
        <v>1424598.8141382507</v>
      </c>
      <c r="EA137">
        <f t="shared" si="130"/>
        <v>893807.36194519117</v>
      </c>
      <c r="EB137">
        <f t="shared" si="131"/>
        <v>873045.10770683433</v>
      </c>
      <c r="EC137">
        <f t="shared" si="132"/>
        <v>172667.98047041756</v>
      </c>
      <c r="ED137">
        <f t="shared" si="133"/>
        <v>158275.61400955019</v>
      </c>
      <c r="EE137">
        <f t="shared" si="134"/>
        <v>339889.57649215817</v>
      </c>
      <c r="EF137">
        <f t="shared" si="135"/>
        <v>1066157.8740950515</v>
      </c>
      <c r="EG137">
        <f t="shared" si="136"/>
        <v>2400668.2565451581</v>
      </c>
      <c r="EH137">
        <f t="shared" si="137"/>
        <v>2048167.0876273166</v>
      </c>
      <c r="EI137">
        <f t="shared" si="138"/>
        <v>2607288.2817202033</v>
      </c>
      <c r="EJ137">
        <f t="shared" si="139"/>
        <v>2223661.2399123828</v>
      </c>
      <c r="EK137">
        <f t="shared" si="140"/>
        <v>572206.44202303689</v>
      </c>
      <c r="EL137">
        <f t="shared" si="141"/>
        <v>1331605.0107849902</v>
      </c>
      <c r="EM137">
        <f t="shared" si="142"/>
        <v>1055708.2325378691</v>
      </c>
      <c r="EN137">
        <f t="shared" si="143"/>
        <v>13763.763575251673</v>
      </c>
    </row>
    <row r="138" spans="2:144" x14ac:dyDescent="0.35">
      <c r="B138" s="87">
        <v>0</v>
      </c>
      <c r="C138" s="87">
        <v>0</v>
      </c>
      <c r="D138" s="87">
        <v>0</v>
      </c>
      <c r="E138" s="87">
        <v>0</v>
      </c>
      <c r="F138" s="87">
        <v>0</v>
      </c>
      <c r="G138" s="87">
        <v>0</v>
      </c>
      <c r="H138" s="87">
        <v>0</v>
      </c>
      <c r="I138" s="87">
        <v>0</v>
      </c>
      <c r="J138" s="87">
        <v>0</v>
      </c>
      <c r="K138" s="87">
        <v>0</v>
      </c>
      <c r="L138" s="87">
        <v>0</v>
      </c>
      <c r="M138" s="87">
        <v>0</v>
      </c>
      <c r="N138" s="87">
        <v>0</v>
      </c>
      <c r="O138" s="87">
        <v>0</v>
      </c>
      <c r="P138" s="87">
        <v>0</v>
      </c>
      <c r="Q138" s="87">
        <v>0</v>
      </c>
      <c r="R138" s="87">
        <v>0</v>
      </c>
      <c r="S138" s="87">
        <v>0</v>
      </c>
      <c r="T138" s="87">
        <v>0</v>
      </c>
      <c r="U138" s="87">
        <v>0</v>
      </c>
      <c r="V138" s="87">
        <v>0</v>
      </c>
      <c r="W138" s="87">
        <v>0</v>
      </c>
      <c r="X138" s="87">
        <v>0</v>
      </c>
      <c r="Y138" s="87">
        <v>0</v>
      </c>
      <c r="Z138" s="87">
        <v>0</v>
      </c>
      <c r="AA138" s="87">
        <v>0</v>
      </c>
      <c r="AB138" s="87">
        <v>0</v>
      </c>
      <c r="AC138" s="87">
        <v>0</v>
      </c>
      <c r="AD138" s="87">
        <v>0</v>
      </c>
      <c r="AE138" s="87">
        <v>0</v>
      </c>
      <c r="AF138" s="87">
        <v>0</v>
      </c>
      <c r="AG138" s="87">
        <v>0</v>
      </c>
      <c r="AH138" s="87">
        <v>0</v>
      </c>
      <c r="AI138" s="87">
        <v>0</v>
      </c>
      <c r="AJ138" s="87">
        <v>0</v>
      </c>
      <c r="AK138" s="87">
        <v>0</v>
      </c>
      <c r="AL138" s="87">
        <v>0</v>
      </c>
      <c r="AM138" s="87">
        <v>0</v>
      </c>
      <c r="AN138" s="87">
        <v>0</v>
      </c>
      <c r="AO138" s="87">
        <v>0</v>
      </c>
      <c r="AP138" s="87">
        <v>0</v>
      </c>
      <c r="AQ138" s="87">
        <v>0</v>
      </c>
      <c r="AR138" s="87">
        <v>0</v>
      </c>
      <c r="AS138" s="87">
        <v>0</v>
      </c>
      <c r="AT138" s="87">
        <v>0</v>
      </c>
      <c r="AU138" s="87">
        <v>0</v>
      </c>
      <c r="AV138" s="87">
        <v>0</v>
      </c>
      <c r="AW138" s="87">
        <v>0</v>
      </c>
      <c r="AX138" s="87">
        <v>0</v>
      </c>
      <c r="AY138" s="87">
        <v>0</v>
      </c>
      <c r="AZ138" s="87">
        <v>0</v>
      </c>
      <c r="BA138" s="87">
        <v>0</v>
      </c>
      <c r="BB138" s="87">
        <v>0</v>
      </c>
      <c r="BC138" s="87">
        <v>0</v>
      </c>
      <c r="BD138" s="87">
        <v>0</v>
      </c>
      <c r="BE138" s="87">
        <v>0</v>
      </c>
      <c r="BF138" s="87">
        <v>0</v>
      </c>
      <c r="BG138" s="87">
        <v>0</v>
      </c>
      <c r="BH138" s="87">
        <v>0</v>
      </c>
      <c r="BI138" s="87">
        <v>1</v>
      </c>
      <c r="BJ138" s="87">
        <v>0</v>
      </c>
      <c r="BK138" s="87">
        <v>0</v>
      </c>
      <c r="BL138" s="87">
        <v>0</v>
      </c>
      <c r="BM138" s="87">
        <v>0</v>
      </c>
      <c r="BN138" s="87">
        <v>0</v>
      </c>
      <c r="BO138" s="87">
        <v>0</v>
      </c>
      <c r="BP138" s="87">
        <v>0</v>
      </c>
      <c r="BQ138" s="87">
        <v>0</v>
      </c>
      <c r="BR138" s="87">
        <v>0</v>
      </c>
      <c r="BS138" s="87">
        <v>0</v>
      </c>
      <c r="BW138">
        <f t="shared" si="144"/>
        <v>232672.48590733891</v>
      </c>
      <c r="BX138">
        <f t="shared" si="75"/>
        <v>34839.716621068001</v>
      </c>
      <c r="BY138">
        <f t="shared" si="76"/>
        <v>371094.06353103736</v>
      </c>
      <c r="BZ138">
        <f t="shared" si="77"/>
        <v>76179.776535406141</v>
      </c>
      <c r="CA138">
        <f t="shared" si="78"/>
        <v>15011.396028380053</v>
      </c>
      <c r="CB138">
        <f t="shared" si="79"/>
        <v>51551.176130883803</v>
      </c>
      <c r="CC138">
        <f t="shared" si="80"/>
        <v>177768.63125311004</v>
      </c>
      <c r="CD138">
        <f t="shared" si="81"/>
        <v>128259.05724192546</v>
      </c>
      <c r="CE138">
        <f t="shared" si="82"/>
        <v>278847.59643141937</v>
      </c>
      <c r="CF138">
        <f t="shared" si="83"/>
        <v>119292.47302789842</v>
      </c>
      <c r="CG138">
        <f t="shared" si="84"/>
        <v>83770.04231671372</v>
      </c>
      <c r="CH138">
        <f t="shared" si="85"/>
        <v>300092.07254081866</v>
      </c>
      <c r="CI138">
        <f t="shared" si="86"/>
        <v>239004.30542355054</v>
      </c>
      <c r="CJ138">
        <f t="shared" si="87"/>
        <v>373508.54190304613</v>
      </c>
      <c r="CK138">
        <f t="shared" si="88"/>
        <v>335805.16136012977</v>
      </c>
      <c r="CL138">
        <f t="shared" si="89"/>
        <v>78625.343120143414</v>
      </c>
      <c r="CM138">
        <f t="shared" si="90"/>
        <v>243781.44385618682</v>
      </c>
      <c r="CN138">
        <f t="shared" si="91"/>
        <v>548861.54802201549</v>
      </c>
      <c r="CO138">
        <f t="shared" si="92"/>
        <v>143806.93864198707</v>
      </c>
      <c r="CP138">
        <f t="shared" si="93"/>
        <v>465205.04703729611</v>
      </c>
      <c r="CQ138">
        <f t="shared" si="94"/>
        <v>342340.40920507541</v>
      </c>
      <c r="CR138">
        <f t="shared" si="95"/>
        <v>216877.32727484047</v>
      </c>
      <c r="CS138">
        <f t="shared" si="96"/>
        <v>202257.42757550368</v>
      </c>
      <c r="CT138">
        <f t="shared" si="97"/>
        <v>45234.347346962793</v>
      </c>
      <c r="CU138">
        <f t="shared" si="98"/>
        <v>46567.357189394708</v>
      </c>
      <c r="CV138">
        <f t="shared" si="99"/>
        <v>174837.79805898081</v>
      </c>
      <c r="CW138">
        <f t="shared" si="100"/>
        <v>280799.51465892419</v>
      </c>
      <c r="CX138">
        <f t="shared" si="101"/>
        <v>535023.54635062267</v>
      </c>
      <c r="CY138">
        <f t="shared" si="102"/>
        <v>559587.29484140966</v>
      </c>
      <c r="CZ138">
        <f t="shared" si="103"/>
        <v>895036.38006964535</v>
      </c>
      <c r="DA138">
        <f t="shared" si="104"/>
        <v>396678.46605921059</v>
      </c>
      <c r="DB138">
        <f t="shared" si="105"/>
        <v>234239.97799612756</v>
      </c>
      <c r="DC138">
        <f t="shared" si="106"/>
        <v>473059.82230215718</v>
      </c>
      <c r="DD138">
        <f t="shared" si="107"/>
        <v>287782.4716443739</v>
      </c>
      <c r="DE138">
        <f t="shared" si="108"/>
        <v>16054.733336787096</v>
      </c>
      <c r="DF138">
        <f t="shared" si="109"/>
        <v>1286310.0508836138</v>
      </c>
      <c r="DG138">
        <f t="shared" si="110"/>
        <v>893143.98897724436</v>
      </c>
      <c r="DH138">
        <f t="shared" si="111"/>
        <v>1623548.423859294</v>
      </c>
      <c r="DI138">
        <f t="shared" si="112"/>
        <v>722831.67721237696</v>
      </c>
      <c r="DJ138">
        <f t="shared" si="113"/>
        <v>107926.25122295273</v>
      </c>
      <c r="DK138">
        <f t="shared" si="114"/>
        <v>242301.8182004696</v>
      </c>
      <c r="DL138">
        <f t="shared" si="115"/>
        <v>659312.97889831674</v>
      </c>
      <c r="DM138">
        <f t="shared" si="116"/>
        <v>524533.04434630182</v>
      </c>
      <c r="DN138">
        <f t="shared" si="117"/>
        <v>1075349.3540120444</v>
      </c>
      <c r="DO138">
        <f t="shared" si="118"/>
        <v>511028.73918927449</v>
      </c>
      <c r="DP138">
        <f t="shared" si="119"/>
        <v>407559.59327890177</v>
      </c>
      <c r="DQ138">
        <f t="shared" si="120"/>
        <v>1569650.1165033495</v>
      </c>
      <c r="DR138">
        <f t="shared" si="121"/>
        <v>957347.05206124531</v>
      </c>
      <c r="DS138">
        <f t="shared" si="122"/>
        <v>3083124.2803492225</v>
      </c>
      <c r="DT138">
        <f t="shared" si="123"/>
        <v>1424345.6888533481</v>
      </c>
      <c r="DU138">
        <f t="shared" si="124"/>
        <v>286432.00777863746</v>
      </c>
      <c r="DV138">
        <f t="shared" si="125"/>
        <v>821100.50361601345</v>
      </c>
      <c r="DW138">
        <f t="shared" si="126"/>
        <v>2299136.698331038</v>
      </c>
      <c r="DX138">
        <f t="shared" si="127"/>
        <v>293014.52491573431</v>
      </c>
      <c r="DY138">
        <f t="shared" si="128"/>
        <v>1915092.0855130535</v>
      </c>
      <c r="DZ138">
        <f t="shared" si="129"/>
        <v>1424598.8141382507</v>
      </c>
      <c r="EA138">
        <f t="shared" si="130"/>
        <v>893807.36194519117</v>
      </c>
      <c r="EB138">
        <f t="shared" si="131"/>
        <v>873045.10770683433</v>
      </c>
      <c r="EC138">
        <f t="shared" si="132"/>
        <v>172667.98047041756</v>
      </c>
      <c r="ED138">
        <f t="shared" si="133"/>
        <v>158275.61400955019</v>
      </c>
      <c r="EE138">
        <f t="shared" si="134"/>
        <v>339889.57649215817</v>
      </c>
      <c r="EF138">
        <f t="shared" si="135"/>
        <v>1066157.8740950515</v>
      </c>
      <c r="EG138">
        <f t="shared" si="136"/>
        <v>2400668.2565451581</v>
      </c>
      <c r="EH138">
        <f t="shared" si="137"/>
        <v>2048167.0876273166</v>
      </c>
      <c r="EI138">
        <f t="shared" si="138"/>
        <v>2607288.2817202033</v>
      </c>
      <c r="EJ138">
        <f t="shared" si="139"/>
        <v>2223661.2399123828</v>
      </c>
      <c r="EK138">
        <f t="shared" si="140"/>
        <v>572206.44202303689</v>
      </c>
      <c r="EL138">
        <f t="shared" si="141"/>
        <v>1331605.0107849902</v>
      </c>
      <c r="EM138">
        <f t="shared" si="142"/>
        <v>1055708.2325378691</v>
      </c>
      <c r="EN138">
        <f t="shared" si="143"/>
        <v>13763.763575251673</v>
      </c>
    </row>
    <row r="139" spans="2:144" x14ac:dyDescent="0.35">
      <c r="B139" s="87">
        <v>0</v>
      </c>
      <c r="C139" s="87">
        <v>0</v>
      </c>
      <c r="D139" s="87">
        <v>0</v>
      </c>
      <c r="E139" s="87">
        <v>0</v>
      </c>
      <c r="F139" s="87">
        <v>0</v>
      </c>
      <c r="G139" s="87">
        <v>0</v>
      </c>
      <c r="H139" s="87">
        <v>0</v>
      </c>
      <c r="I139" s="87">
        <v>0</v>
      </c>
      <c r="J139" s="87">
        <v>0</v>
      </c>
      <c r="K139" s="87">
        <v>0</v>
      </c>
      <c r="L139" s="87">
        <v>0</v>
      </c>
      <c r="M139" s="87">
        <v>0</v>
      </c>
      <c r="N139" s="87">
        <v>0</v>
      </c>
      <c r="O139" s="87">
        <v>0</v>
      </c>
      <c r="P139" s="87">
        <v>0</v>
      </c>
      <c r="Q139" s="87">
        <v>0</v>
      </c>
      <c r="R139" s="87">
        <v>0</v>
      </c>
      <c r="S139" s="87">
        <v>0</v>
      </c>
      <c r="T139" s="87">
        <v>0</v>
      </c>
      <c r="U139" s="87">
        <v>0</v>
      </c>
      <c r="V139" s="87">
        <v>0</v>
      </c>
      <c r="W139" s="87">
        <v>0</v>
      </c>
      <c r="X139" s="87">
        <v>0</v>
      </c>
      <c r="Y139" s="87">
        <v>0</v>
      </c>
      <c r="Z139" s="87">
        <v>0</v>
      </c>
      <c r="AA139" s="87">
        <v>0</v>
      </c>
      <c r="AB139" s="87">
        <v>0</v>
      </c>
      <c r="AC139" s="87">
        <v>0</v>
      </c>
      <c r="AD139" s="87">
        <v>0</v>
      </c>
      <c r="AE139" s="87">
        <v>0</v>
      </c>
      <c r="AF139" s="87">
        <v>0</v>
      </c>
      <c r="AG139" s="87">
        <v>0</v>
      </c>
      <c r="AH139" s="87">
        <v>0</v>
      </c>
      <c r="AI139" s="87">
        <v>0</v>
      </c>
      <c r="AJ139" s="87">
        <v>0</v>
      </c>
      <c r="AK139" s="87">
        <v>0</v>
      </c>
      <c r="AL139" s="87">
        <v>0</v>
      </c>
      <c r="AM139" s="87">
        <v>0</v>
      </c>
      <c r="AN139" s="87">
        <v>0</v>
      </c>
      <c r="AO139" s="87">
        <v>0</v>
      </c>
      <c r="AP139" s="87">
        <v>0</v>
      </c>
      <c r="AQ139" s="87">
        <v>0</v>
      </c>
      <c r="AR139" s="87">
        <v>0</v>
      </c>
      <c r="AS139" s="87">
        <v>0</v>
      </c>
      <c r="AT139" s="87">
        <v>0</v>
      </c>
      <c r="AU139" s="87">
        <v>0</v>
      </c>
      <c r="AV139" s="87">
        <v>0</v>
      </c>
      <c r="AW139" s="87">
        <v>0</v>
      </c>
      <c r="AX139" s="87">
        <v>0</v>
      </c>
      <c r="AY139" s="87">
        <v>0</v>
      </c>
      <c r="AZ139" s="87">
        <v>0</v>
      </c>
      <c r="BA139" s="87">
        <v>0</v>
      </c>
      <c r="BB139" s="87">
        <v>0</v>
      </c>
      <c r="BC139" s="87">
        <v>0</v>
      </c>
      <c r="BD139" s="87">
        <v>0</v>
      </c>
      <c r="BE139" s="87">
        <v>0</v>
      </c>
      <c r="BF139" s="87">
        <v>0</v>
      </c>
      <c r="BG139" s="87">
        <v>0</v>
      </c>
      <c r="BH139" s="87">
        <v>0</v>
      </c>
      <c r="BI139" s="87">
        <v>0</v>
      </c>
      <c r="BJ139" s="87">
        <v>1</v>
      </c>
      <c r="BK139" s="87">
        <v>0</v>
      </c>
      <c r="BL139" s="87">
        <v>0</v>
      </c>
      <c r="BM139" s="87">
        <v>0</v>
      </c>
      <c r="BN139" s="87">
        <v>0</v>
      </c>
      <c r="BO139" s="87">
        <v>0</v>
      </c>
      <c r="BP139" s="87">
        <v>0</v>
      </c>
      <c r="BQ139" s="87">
        <v>0</v>
      </c>
      <c r="BR139" s="87">
        <v>0</v>
      </c>
      <c r="BS139" s="87">
        <v>0</v>
      </c>
      <c r="BW139">
        <f t="shared" si="144"/>
        <v>232672.48590733891</v>
      </c>
      <c r="BX139">
        <f t="shared" si="75"/>
        <v>34839.716621068001</v>
      </c>
      <c r="BY139">
        <f t="shared" si="76"/>
        <v>371094.06353103736</v>
      </c>
      <c r="BZ139">
        <f t="shared" si="77"/>
        <v>76179.776535406141</v>
      </c>
      <c r="CA139">
        <f t="shared" si="78"/>
        <v>15011.396028380053</v>
      </c>
      <c r="CB139">
        <f t="shared" si="79"/>
        <v>51551.176130883803</v>
      </c>
      <c r="CC139">
        <f t="shared" si="80"/>
        <v>177768.63125311004</v>
      </c>
      <c r="CD139">
        <f t="shared" si="81"/>
        <v>128259.05724192546</v>
      </c>
      <c r="CE139">
        <f t="shared" si="82"/>
        <v>278847.59643141937</v>
      </c>
      <c r="CF139">
        <f t="shared" si="83"/>
        <v>119292.47302789842</v>
      </c>
      <c r="CG139">
        <f t="shared" si="84"/>
        <v>83770.04231671372</v>
      </c>
      <c r="CH139">
        <f t="shared" si="85"/>
        <v>300092.07254081866</v>
      </c>
      <c r="CI139">
        <f t="shared" si="86"/>
        <v>239004.30542355054</v>
      </c>
      <c r="CJ139">
        <f t="shared" si="87"/>
        <v>373508.54190304613</v>
      </c>
      <c r="CK139">
        <f t="shared" si="88"/>
        <v>335805.16136012977</v>
      </c>
      <c r="CL139">
        <f t="shared" si="89"/>
        <v>78625.343120143414</v>
      </c>
      <c r="CM139">
        <f t="shared" si="90"/>
        <v>243781.44385618682</v>
      </c>
      <c r="CN139">
        <f t="shared" si="91"/>
        <v>548861.54802201549</v>
      </c>
      <c r="CO139">
        <f t="shared" si="92"/>
        <v>143806.93864198707</v>
      </c>
      <c r="CP139">
        <f t="shared" si="93"/>
        <v>465205.04703729611</v>
      </c>
      <c r="CQ139">
        <f t="shared" si="94"/>
        <v>342340.40920507541</v>
      </c>
      <c r="CR139">
        <f t="shared" si="95"/>
        <v>216877.32727484047</v>
      </c>
      <c r="CS139">
        <f t="shared" si="96"/>
        <v>202257.42757550368</v>
      </c>
      <c r="CT139">
        <f t="shared" si="97"/>
        <v>45234.347346962793</v>
      </c>
      <c r="CU139">
        <f t="shared" si="98"/>
        <v>46567.357189394708</v>
      </c>
      <c r="CV139">
        <f t="shared" si="99"/>
        <v>174837.79805898081</v>
      </c>
      <c r="CW139">
        <f t="shared" si="100"/>
        <v>280799.51465892419</v>
      </c>
      <c r="CX139">
        <f t="shared" si="101"/>
        <v>535023.54635062267</v>
      </c>
      <c r="CY139">
        <f t="shared" si="102"/>
        <v>559587.29484140966</v>
      </c>
      <c r="CZ139">
        <f t="shared" si="103"/>
        <v>895036.38006964535</v>
      </c>
      <c r="DA139">
        <f t="shared" si="104"/>
        <v>396678.46605921059</v>
      </c>
      <c r="DB139">
        <f t="shared" si="105"/>
        <v>234239.97799612756</v>
      </c>
      <c r="DC139">
        <f t="shared" si="106"/>
        <v>473059.82230215718</v>
      </c>
      <c r="DD139">
        <f t="shared" si="107"/>
        <v>287782.4716443739</v>
      </c>
      <c r="DE139">
        <f t="shared" si="108"/>
        <v>16054.733336787096</v>
      </c>
      <c r="DF139">
        <f t="shared" si="109"/>
        <v>1286310.0508836138</v>
      </c>
      <c r="DG139">
        <f t="shared" si="110"/>
        <v>893143.98897724436</v>
      </c>
      <c r="DH139">
        <f t="shared" si="111"/>
        <v>1623548.423859294</v>
      </c>
      <c r="DI139">
        <f t="shared" si="112"/>
        <v>722831.67721237696</v>
      </c>
      <c r="DJ139">
        <f t="shared" si="113"/>
        <v>107926.25122295273</v>
      </c>
      <c r="DK139">
        <f t="shared" si="114"/>
        <v>242301.8182004696</v>
      </c>
      <c r="DL139">
        <f t="shared" si="115"/>
        <v>659312.97889831674</v>
      </c>
      <c r="DM139">
        <f t="shared" si="116"/>
        <v>524533.04434630182</v>
      </c>
      <c r="DN139">
        <f t="shared" si="117"/>
        <v>1075349.3540120444</v>
      </c>
      <c r="DO139">
        <f t="shared" si="118"/>
        <v>511028.73918927449</v>
      </c>
      <c r="DP139">
        <f t="shared" si="119"/>
        <v>407559.59327890177</v>
      </c>
      <c r="DQ139">
        <f t="shared" si="120"/>
        <v>1569650.1165033495</v>
      </c>
      <c r="DR139">
        <f t="shared" si="121"/>
        <v>957347.05206124531</v>
      </c>
      <c r="DS139">
        <f t="shared" si="122"/>
        <v>3083124.2803492225</v>
      </c>
      <c r="DT139">
        <f t="shared" si="123"/>
        <v>1424345.6888533481</v>
      </c>
      <c r="DU139">
        <f t="shared" si="124"/>
        <v>286432.00777863746</v>
      </c>
      <c r="DV139">
        <f t="shared" si="125"/>
        <v>821100.50361601345</v>
      </c>
      <c r="DW139">
        <f t="shared" si="126"/>
        <v>2299136.698331038</v>
      </c>
      <c r="DX139">
        <f t="shared" si="127"/>
        <v>293014.52491573431</v>
      </c>
      <c r="DY139">
        <f t="shared" si="128"/>
        <v>1915092.0855130535</v>
      </c>
      <c r="DZ139">
        <f t="shared" si="129"/>
        <v>1424598.8141382507</v>
      </c>
      <c r="EA139">
        <f t="shared" si="130"/>
        <v>893807.36194519117</v>
      </c>
      <c r="EB139">
        <f t="shared" si="131"/>
        <v>873045.10770683433</v>
      </c>
      <c r="EC139">
        <f t="shared" si="132"/>
        <v>172667.98047041756</v>
      </c>
      <c r="ED139">
        <f t="shared" si="133"/>
        <v>158275.61400955019</v>
      </c>
      <c r="EE139">
        <f t="shared" si="134"/>
        <v>339889.57649215817</v>
      </c>
      <c r="EF139">
        <f t="shared" si="135"/>
        <v>1066157.8740950515</v>
      </c>
      <c r="EG139">
        <f t="shared" si="136"/>
        <v>2400668.2565451581</v>
      </c>
      <c r="EH139">
        <f t="shared" si="137"/>
        <v>2048167.0876273166</v>
      </c>
      <c r="EI139">
        <f t="shared" si="138"/>
        <v>2607288.2817202033</v>
      </c>
      <c r="EJ139">
        <f t="shared" si="139"/>
        <v>2223661.2399123828</v>
      </c>
      <c r="EK139">
        <f t="shared" si="140"/>
        <v>572206.44202303689</v>
      </c>
      <c r="EL139">
        <f t="shared" si="141"/>
        <v>1331605.0107849902</v>
      </c>
      <c r="EM139">
        <f t="shared" si="142"/>
        <v>1055708.2325378691</v>
      </c>
      <c r="EN139">
        <f t="shared" si="143"/>
        <v>13763.763575251673</v>
      </c>
    </row>
    <row r="140" spans="2:144" x14ac:dyDescent="0.35">
      <c r="B140" s="87">
        <v>0</v>
      </c>
      <c r="C140" s="87">
        <v>0</v>
      </c>
      <c r="D140" s="87">
        <v>0</v>
      </c>
      <c r="E140" s="87">
        <v>0</v>
      </c>
      <c r="F140" s="87">
        <v>0</v>
      </c>
      <c r="G140" s="87">
        <v>0</v>
      </c>
      <c r="H140" s="87">
        <v>0</v>
      </c>
      <c r="I140" s="87">
        <v>0</v>
      </c>
      <c r="J140" s="87">
        <v>0</v>
      </c>
      <c r="K140" s="87">
        <v>0</v>
      </c>
      <c r="L140" s="87">
        <v>0</v>
      </c>
      <c r="M140" s="87">
        <v>0</v>
      </c>
      <c r="N140" s="87">
        <v>0</v>
      </c>
      <c r="O140" s="87">
        <v>0</v>
      </c>
      <c r="P140" s="87">
        <v>0</v>
      </c>
      <c r="Q140" s="87">
        <v>0</v>
      </c>
      <c r="R140" s="87">
        <v>0</v>
      </c>
      <c r="S140" s="87">
        <v>0</v>
      </c>
      <c r="T140" s="87">
        <v>0</v>
      </c>
      <c r="U140" s="87">
        <v>0</v>
      </c>
      <c r="V140" s="87">
        <v>0</v>
      </c>
      <c r="W140" s="87">
        <v>0</v>
      </c>
      <c r="X140" s="87">
        <v>0</v>
      </c>
      <c r="Y140" s="87">
        <v>0</v>
      </c>
      <c r="Z140" s="87">
        <v>0</v>
      </c>
      <c r="AA140" s="87">
        <v>0</v>
      </c>
      <c r="AB140" s="87">
        <v>0</v>
      </c>
      <c r="AC140" s="87">
        <v>0</v>
      </c>
      <c r="AD140" s="87">
        <v>0</v>
      </c>
      <c r="AE140" s="87">
        <v>0</v>
      </c>
      <c r="AF140" s="87">
        <v>0</v>
      </c>
      <c r="AG140" s="87">
        <v>0</v>
      </c>
      <c r="AH140" s="87">
        <v>0</v>
      </c>
      <c r="AI140" s="87">
        <v>0</v>
      </c>
      <c r="AJ140" s="87">
        <v>0</v>
      </c>
      <c r="AK140" s="87">
        <v>0</v>
      </c>
      <c r="AL140" s="87">
        <v>0</v>
      </c>
      <c r="AM140" s="87">
        <v>0</v>
      </c>
      <c r="AN140" s="87">
        <v>0</v>
      </c>
      <c r="AO140" s="87">
        <v>0</v>
      </c>
      <c r="AP140" s="87">
        <v>0</v>
      </c>
      <c r="AQ140" s="87">
        <v>0</v>
      </c>
      <c r="AR140" s="87">
        <v>0</v>
      </c>
      <c r="AS140" s="87">
        <v>0</v>
      </c>
      <c r="AT140" s="87">
        <v>0</v>
      </c>
      <c r="AU140" s="87">
        <v>0</v>
      </c>
      <c r="AV140" s="87">
        <v>0</v>
      </c>
      <c r="AW140" s="87">
        <v>0</v>
      </c>
      <c r="AX140" s="87">
        <v>0</v>
      </c>
      <c r="AY140" s="87">
        <v>0</v>
      </c>
      <c r="AZ140" s="87">
        <v>0</v>
      </c>
      <c r="BA140" s="87">
        <v>0</v>
      </c>
      <c r="BB140" s="87">
        <v>0</v>
      </c>
      <c r="BC140" s="87">
        <v>0</v>
      </c>
      <c r="BD140" s="87">
        <v>0</v>
      </c>
      <c r="BE140" s="87">
        <v>0</v>
      </c>
      <c r="BF140" s="87">
        <v>0</v>
      </c>
      <c r="BG140" s="87">
        <v>0</v>
      </c>
      <c r="BH140" s="87">
        <v>0</v>
      </c>
      <c r="BI140" s="87">
        <v>0</v>
      </c>
      <c r="BJ140" s="87">
        <v>0</v>
      </c>
      <c r="BK140" s="87">
        <v>1</v>
      </c>
      <c r="BL140" s="87">
        <v>0</v>
      </c>
      <c r="BM140" s="87">
        <v>0</v>
      </c>
      <c r="BN140" s="87">
        <v>0</v>
      </c>
      <c r="BO140" s="87">
        <v>0</v>
      </c>
      <c r="BP140" s="87">
        <v>0</v>
      </c>
      <c r="BQ140" s="87">
        <v>0</v>
      </c>
      <c r="BR140" s="87">
        <v>0</v>
      </c>
      <c r="BS140" s="87">
        <v>0</v>
      </c>
      <c r="BW140">
        <f t="shared" si="144"/>
        <v>232672.48590733891</v>
      </c>
      <c r="BX140">
        <f t="shared" si="75"/>
        <v>34839.716621068001</v>
      </c>
      <c r="BY140">
        <f t="shared" si="76"/>
        <v>371094.06353103736</v>
      </c>
      <c r="BZ140">
        <f t="shared" si="77"/>
        <v>76179.776535406141</v>
      </c>
      <c r="CA140">
        <f t="shared" si="78"/>
        <v>15011.396028380053</v>
      </c>
      <c r="CB140">
        <f t="shared" si="79"/>
        <v>51551.176130883803</v>
      </c>
      <c r="CC140">
        <f t="shared" si="80"/>
        <v>177768.63125311004</v>
      </c>
      <c r="CD140">
        <f t="shared" si="81"/>
        <v>128259.05724192546</v>
      </c>
      <c r="CE140">
        <f t="shared" si="82"/>
        <v>278847.59643141937</v>
      </c>
      <c r="CF140">
        <f t="shared" si="83"/>
        <v>119292.47302789842</v>
      </c>
      <c r="CG140">
        <f t="shared" si="84"/>
        <v>83770.04231671372</v>
      </c>
      <c r="CH140">
        <f t="shared" si="85"/>
        <v>300092.07254081866</v>
      </c>
      <c r="CI140">
        <f t="shared" si="86"/>
        <v>239004.30542355054</v>
      </c>
      <c r="CJ140">
        <f t="shared" si="87"/>
        <v>373508.54190304613</v>
      </c>
      <c r="CK140">
        <f t="shared" si="88"/>
        <v>335805.16136012977</v>
      </c>
      <c r="CL140">
        <f t="shared" si="89"/>
        <v>78625.343120143414</v>
      </c>
      <c r="CM140">
        <f t="shared" si="90"/>
        <v>243781.44385618682</v>
      </c>
      <c r="CN140">
        <f t="shared" si="91"/>
        <v>548861.54802201549</v>
      </c>
      <c r="CO140">
        <f t="shared" si="92"/>
        <v>143806.93864198707</v>
      </c>
      <c r="CP140">
        <f t="shared" si="93"/>
        <v>465205.04703729611</v>
      </c>
      <c r="CQ140">
        <f t="shared" si="94"/>
        <v>342340.40920507541</v>
      </c>
      <c r="CR140">
        <f t="shared" si="95"/>
        <v>216877.32727484047</v>
      </c>
      <c r="CS140">
        <f t="shared" si="96"/>
        <v>202257.42757550368</v>
      </c>
      <c r="CT140">
        <f t="shared" si="97"/>
        <v>45234.347346962793</v>
      </c>
      <c r="CU140">
        <f t="shared" si="98"/>
        <v>46567.357189394708</v>
      </c>
      <c r="CV140">
        <f t="shared" si="99"/>
        <v>174837.79805898081</v>
      </c>
      <c r="CW140">
        <f t="shared" si="100"/>
        <v>280799.51465892419</v>
      </c>
      <c r="CX140">
        <f t="shared" si="101"/>
        <v>535023.54635062267</v>
      </c>
      <c r="CY140">
        <f t="shared" si="102"/>
        <v>559587.29484140966</v>
      </c>
      <c r="CZ140">
        <f t="shared" si="103"/>
        <v>895036.38006964535</v>
      </c>
      <c r="DA140">
        <f t="shared" si="104"/>
        <v>396678.46605921059</v>
      </c>
      <c r="DB140">
        <f t="shared" si="105"/>
        <v>234239.97799612756</v>
      </c>
      <c r="DC140">
        <f t="shared" si="106"/>
        <v>473059.82230215718</v>
      </c>
      <c r="DD140">
        <f t="shared" si="107"/>
        <v>287782.4716443739</v>
      </c>
      <c r="DE140">
        <f t="shared" si="108"/>
        <v>16054.733336787096</v>
      </c>
      <c r="DF140">
        <f t="shared" si="109"/>
        <v>1286310.0508836138</v>
      </c>
      <c r="DG140">
        <f t="shared" si="110"/>
        <v>893143.98897724436</v>
      </c>
      <c r="DH140">
        <f t="shared" si="111"/>
        <v>1623548.423859294</v>
      </c>
      <c r="DI140">
        <f t="shared" si="112"/>
        <v>722831.67721237696</v>
      </c>
      <c r="DJ140">
        <f t="shared" si="113"/>
        <v>107926.25122295273</v>
      </c>
      <c r="DK140">
        <f t="shared" si="114"/>
        <v>242301.8182004696</v>
      </c>
      <c r="DL140">
        <f t="shared" si="115"/>
        <v>659312.97889831674</v>
      </c>
      <c r="DM140">
        <f t="shared" si="116"/>
        <v>524533.04434630182</v>
      </c>
      <c r="DN140">
        <f t="shared" si="117"/>
        <v>1075349.3540120444</v>
      </c>
      <c r="DO140">
        <f t="shared" si="118"/>
        <v>511028.73918927449</v>
      </c>
      <c r="DP140">
        <f t="shared" si="119"/>
        <v>407559.59327890177</v>
      </c>
      <c r="DQ140">
        <f t="shared" si="120"/>
        <v>1569650.1165033495</v>
      </c>
      <c r="DR140">
        <f t="shared" si="121"/>
        <v>957347.05206124531</v>
      </c>
      <c r="DS140">
        <f t="shared" si="122"/>
        <v>3083124.2803492225</v>
      </c>
      <c r="DT140">
        <f t="shared" si="123"/>
        <v>1424345.6888533481</v>
      </c>
      <c r="DU140">
        <f t="shared" si="124"/>
        <v>286432.00777863746</v>
      </c>
      <c r="DV140">
        <f t="shared" si="125"/>
        <v>821100.50361601345</v>
      </c>
      <c r="DW140">
        <f t="shared" si="126"/>
        <v>2299136.698331038</v>
      </c>
      <c r="DX140">
        <f t="shared" si="127"/>
        <v>293014.52491573431</v>
      </c>
      <c r="DY140">
        <f t="shared" si="128"/>
        <v>1915092.0855130535</v>
      </c>
      <c r="DZ140">
        <f t="shared" si="129"/>
        <v>1424598.8141382507</v>
      </c>
      <c r="EA140">
        <f t="shared" si="130"/>
        <v>893807.36194519117</v>
      </c>
      <c r="EB140">
        <f t="shared" si="131"/>
        <v>873045.10770683433</v>
      </c>
      <c r="EC140">
        <f t="shared" si="132"/>
        <v>172667.98047041756</v>
      </c>
      <c r="ED140">
        <f t="shared" si="133"/>
        <v>158275.61400955019</v>
      </c>
      <c r="EE140">
        <f t="shared" si="134"/>
        <v>339889.57649215817</v>
      </c>
      <c r="EF140">
        <f t="shared" si="135"/>
        <v>1066157.8740950515</v>
      </c>
      <c r="EG140">
        <f t="shared" si="136"/>
        <v>2400668.2565451581</v>
      </c>
      <c r="EH140">
        <f t="shared" si="137"/>
        <v>2048167.0876273166</v>
      </c>
      <c r="EI140">
        <f t="shared" si="138"/>
        <v>2607288.2817202033</v>
      </c>
      <c r="EJ140">
        <f t="shared" si="139"/>
        <v>2223661.2399123828</v>
      </c>
      <c r="EK140">
        <f t="shared" si="140"/>
        <v>572206.44202303689</v>
      </c>
      <c r="EL140">
        <f t="shared" si="141"/>
        <v>1331605.0107849902</v>
      </c>
      <c r="EM140">
        <f t="shared" si="142"/>
        <v>1055708.2325378691</v>
      </c>
      <c r="EN140">
        <f t="shared" si="143"/>
        <v>13763.763575251673</v>
      </c>
    </row>
    <row r="141" spans="2:144" x14ac:dyDescent="0.35">
      <c r="B141" s="87">
        <v>0</v>
      </c>
      <c r="C141" s="87">
        <v>0</v>
      </c>
      <c r="D141" s="87">
        <v>0</v>
      </c>
      <c r="E141" s="87">
        <v>0</v>
      </c>
      <c r="F141" s="87">
        <v>0</v>
      </c>
      <c r="G141" s="87">
        <v>0</v>
      </c>
      <c r="H141" s="87">
        <v>0</v>
      </c>
      <c r="I141" s="87">
        <v>0</v>
      </c>
      <c r="J141" s="87">
        <v>0</v>
      </c>
      <c r="K141" s="87">
        <v>0</v>
      </c>
      <c r="L141" s="87">
        <v>0</v>
      </c>
      <c r="M141" s="87">
        <v>0</v>
      </c>
      <c r="N141" s="87">
        <v>0</v>
      </c>
      <c r="O141" s="87">
        <v>0</v>
      </c>
      <c r="P141" s="87">
        <v>0</v>
      </c>
      <c r="Q141" s="87">
        <v>0</v>
      </c>
      <c r="R141" s="87">
        <v>0</v>
      </c>
      <c r="S141" s="87">
        <v>0</v>
      </c>
      <c r="T141" s="87">
        <v>0</v>
      </c>
      <c r="U141" s="87">
        <v>0</v>
      </c>
      <c r="V141" s="87">
        <v>0</v>
      </c>
      <c r="W141" s="87">
        <v>0</v>
      </c>
      <c r="X141" s="87">
        <v>0</v>
      </c>
      <c r="Y141" s="87">
        <v>0</v>
      </c>
      <c r="Z141" s="87">
        <v>0</v>
      </c>
      <c r="AA141" s="87">
        <v>0</v>
      </c>
      <c r="AB141" s="87">
        <v>0</v>
      </c>
      <c r="AC141" s="87">
        <v>0</v>
      </c>
      <c r="AD141" s="87">
        <v>0</v>
      </c>
      <c r="AE141" s="87">
        <v>0</v>
      </c>
      <c r="AF141" s="87">
        <v>0</v>
      </c>
      <c r="AG141" s="87">
        <v>0</v>
      </c>
      <c r="AH141" s="87">
        <v>0</v>
      </c>
      <c r="AI141" s="87">
        <v>0</v>
      </c>
      <c r="AJ141" s="87">
        <v>0</v>
      </c>
      <c r="AK141" s="87">
        <v>0</v>
      </c>
      <c r="AL141" s="87">
        <v>0</v>
      </c>
      <c r="AM141" s="87">
        <v>0</v>
      </c>
      <c r="AN141" s="87">
        <v>0</v>
      </c>
      <c r="AO141" s="87">
        <v>0</v>
      </c>
      <c r="AP141" s="87">
        <v>0</v>
      </c>
      <c r="AQ141" s="87">
        <v>0</v>
      </c>
      <c r="AR141" s="87">
        <v>0</v>
      </c>
      <c r="AS141" s="87">
        <v>0</v>
      </c>
      <c r="AT141" s="87">
        <v>0</v>
      </c>
      <c r="AU141" s="87">
        <v>0</v>
      </c>
      <c r="AV141" s="87">
        <v>0</v>
      </c>
      <c r="AW141" s="87">
        <v>0</v>
      </c>
      <c r="AX141" s="87">
        <v>0</v>
      </c>
      <c r="AY141" s="87">
        <v>0</v>
      </c>
      <c r="AZ141" s="87">
        <v>0</v>
      </c>
      <c r="BA141" s="87">
        <v>0</v>
      </c>
      <c r="BB141" s="87">
        <v>0</v>
      </c>
      <c r="BC141" s="87">
        <v>0</v>
      </c>
      <c r="BD141" s="87">
        <v>0</v>
      </c>
      <c r="BE141" s="87">
        <v>0</v>
      </c>
      <c r="BF141" s="87">
        <v>0</v>
      </c>
      <c r="BG141" s="87">
        <v>0</v>
      </c>
      <c r="BH141" s="87">
        <v>0</v>
      </c>
      <c r="BI141" s="87">
        <v>0</v>
      </c>
      <c r="BJ141" s="87">
        <v>0</v>
      </c>
      <c r="BK141" s="87">
        <v>0</v>
      </c>
      <c r="BL141" s="87">
        <v>1</v>
      </c>
      <c r="BM141" s="87">
        <v>0</v>
      </c>
      <c r="BN141" s="87">
        <v>0</v>
      </c>
      <c r="BO141" s="87">
        <v>0</v>
      </c>
      <c r="BP141" s="87">
        <v>0</v>
      </c>
      <c r="BQ141" s="87">
        <v>0</v>
      </c>
      <c r="BR141" s="87">
        <v>0</v>
      </c>
      <c r="BS141" s="87">
        <v>0</v>
      </c>
      <c r="BW141">
        <f t="shared" si="144"/>
        <v>232672.48590733891</v>
      </c>
      <c r="BX141">
        <f t="shared" si="75"/>
        <v>34839.716621068001</v>
      </c>
      <c r="BY141">
        <f t="shared" si="76"/>
        <v>371094.06353103736</v>
      </c>
      <c r="BZ141">
        <f t="shared" si="77"/>
        <v>76179.776535406141</v>
      </c>
      <c r="CA141">
        <f t="shared" si="78"/>
        <v>15011.396028380053</v>
      </c>
      <c r="CB141">
        <f t="shared" si="79"/>
        <v>51551.176130883803</v>
      </c>
      <c r="CC141">
        <f t="shared" si="80"/>
        <v>177768.63125311004</v>
      </c>
      <c r="CD141">
        <f t="shared" si="81"/>
        <v>128259.05724192546</v>
      </c>
      <c r="CE141">
        <f t="shared" si="82"/>
        <v>278847.59643141937</v>
      </c>
      <c r="CF141">
        <f t="shared" si="83"/>
        <v>119292.47302789842</v>
      </c>
      <c r="CG141">
        <f t="shared" si="84"/>
        <v>83770.04231671372</v>
      </c>
      <c r="CH141">
        <f t="shared" si="85"/>
        <v>300092.07254081866</v>
      </c>
      <c r="CI141">
        <f t="shared" si="86"/>
        <v>239004.30542355054</v>
      </c>
      <c r="CJ141">
        <f t="shared" si="87"/>
        <v>373508.54190304613</v>
      </c>
      <c r="CK141">
        <f t="shared" si="88"/>
        <v>335805.16136012977</v>
      </c>
      <c r="CL141">
        <f t="shared" si="89"/>
        <v>78625.343120143414</v>
      </c>
      <c r="CM141">
        <f t="shared" si="90"/>
        <v>243781.44385618682</v>
      </c>
      <c r="CN141">
        <f t="shared" si="91"/>
        <v>548861.54802201549</v>
      </c>
      <c r="CO141">
        <f t="shared" si="92"/>
        <v>143806.93864198707</v>
      </c>
      <c r="CP141">
        <f t="shared" si="93"/>
        <v>465205.04703729611</v>
      </c>
      <c r="CQ141">
        <f t="shared" si="94"/>
        <v>342340.40920507541</v>
      </c>
      <c r="CR141">
        <f t="shared" si="95"/>
        <v>216877.32727484047</v>
      </c>
      <c r="CS141">
        <f t="shared" si="96"/>
        <v>202257.42757550368</v>
      </c>
      <c r="CT141">
        <f t="shared" si="97"/>
        <v>45234.347346962793</v>
      </c>
      <c r="CU141">
        <f t="shared" si="98"/>
        <v>46567.357189394708</v>
      </c>
      <c r="CV141">
        <f t="shared" si="99"/>
        <v>174837.79805898081</v>
      </c>
      <c r="CW141">
        <f t="shared" si="100"/>
        <v>280799.51465892419</v>
      </c>
      <c r="CX141">
        <f t="shared" si="101"/>
        <v>535023.54635062267</v>
      </c>
      <c r="CY141">
        <f t="shared" si="102"/>
        <v>559587.29484140966</v>
      </c>
      <c r="CZ141">
        <f t="shared" si="103"/>
        <v>895036.38006964535</v>
      </c>
      <c r="DA141">
        <f t="shared" si="104"/>
        <v>396678.46605921059</v>
      </c>
      <c r="DB141">
        <f t="shared" si="105"/>
        <v>234239.97799612756</v>
      </c>
      <c r="DC141">
        <f t="shared" si="106"/>
        <v>473059.82230215718</v>
      </c>
      <c r="DD141">
        <f t="shared" si="107"/>
        <v>287782.4716443739</v>
      </c>
      <c r="DE141">
        <f t="shared" si="108"/>
        <v>16054.733336787096</v>
      </c>
      <c r="DF141">
        <f t="shared" si="109"/>
        <v>1286310.0508836138</v>
      </c>
      <c r="DG141">
        <f t="shared" si="110"/>
        <v>893143.98897724436</v>
      </c>
      <c r="DH141">
        <f t="shared" si="111"/>
        <v>1623548.423859294</v>
      </c>
      <c r="DI141">
        <f t="shared" si="112"/>
        <v>722831.67721237696</v>
      </c>
      <c r="DJ141">
        <f t="shared" si="113"/>
        <v>107926.25122295273</v>
      </c>
      <c r="DK141">
        <f t="shared" si="114"/>
        <v>242301.8182004696</v>
      </c>
      <c r="DL141">
        <f t="shared" si="115"/>
        <v>659312.97889831674</v>
      </c>
      <c r="DM141">
        <f t="shared" si="116"/>
        <v>524533.04434630182</v>
      </c>
      <c r="DN141">
        <f t="shared" si="117"/>
        <v>1075349.3540120444</v>
      </c>
      <c r="DO141">
        <f t="shared" si="118"/>
        <v>511028.73918927449</v>
      </c>
      <c r="DP141">
        <f t="shared" si="119"/>
        <v>407559.59327890177</v>
      </c>
      <c r="DQ141">
        <f t="shared" si="120"/>
        <v>1569650.1165033495</v>
      </c>
      <c r="DR141">
        <f t="shared" si="121"/>
        <v>957347.05206124531</v>
      </c>
      <c r="DS141">
        <f t="shared" si="122"/>
        <v>3083124.2803492225</v>
      </c>
      <c r="DT141">
        <f t="shared" si="123"/>
        <v>1424345.6888533481</v>
      </c>
      <c r="DU141">
        <f t="shared" si="124"/>
        <v>286432.00777863746</v>
      </c>
      <c r="DV141">
        <f t="shared" si="125"/>
        <v>821100.50361601345</v>
      </c>
      <c r="DW141">
        <f t="shared" si="126"/>
        <v>2299136.698331038</v>
      </c>
      <c r="DX141">
        <f t="shared" si="127"/>
        <v>293014.52491573431</v>
      </c>
      <c r="DY141">
        <f t="shared" si="128"/>
        <v>1915092.0855130535</v>
      </c>
      <c r="DZ141">
        <f t="shared" si="129"/>
        <v>1424598.8141382507</v>
      </c>
      <c r="EA141">
        <f t="shared" si="130"/>
        <v>893807.36194519117</v>
      </c>
      <c r="EB141">
        <f t="shared" si="131"/>
        <v>873045.10770683433</v>
      </c>
      <c r="EC141">
        <f t="shared" si="132"/>
        <v>172667.98047041756</v>
      </c>
      <c r="ED141">
        <f t="shared" si="133"/>
        <v>158275.61400955019</v>
      </c>
      <c r="EE141">
        <f t="shared" si="134"/>
        <v>339889.57649215817</v>
      </c>
      <c r="EF141">
        <f t="shared" si="135"/>
        <v>1066157.8740950515</v>
      </c>
      <c r="EG141">
        <f t="shared" si="136"/>
        <v>2400668.2565451581</v>
      </c>
      <c r="EH141">
        <f t="shared" si="137"/>
        <v>2048167.0876273166</v>
      </c>
      <c r="EI141">
        <f t="shared" si="138"/>
        <v>2607288.2817202033</v>
      </c>
      <c r="EJ141">
        <f t="shared" si="139"/>
        <v>2223661.2399123828</v>
      </c>
      <c r="EK141">
        <f t="shared" si="140"/>
        <v>572206.44202303689</v>
      </c>
      <c r="EL141">
        <f t="shared" si="141"/>
        <v>1331605.0107849902</v>
      </c>
      <c r="EM141">
        <f t="shared" si="142"/>
        <v>1055708.2325378691</v>
      </c>
      <c r="EN141">
        <f t="shared" si="143"/>
        <v>13763.763575251673</v>
      </c>
    </row>
    <row r="142" spans="2:144" x14ac:dyDescent="0.35">
      <c r="B142" s="87">
        <v>0</v>
      </c>
      <c r="C142" s="87">
        <v>0</v>
      </c>
      <c r="D142" s="87">
        <v>0</v>
      </c>
      <c r="E142" s="87">
        <v>0</v>
      </c>
      <c r="F142" s="87">
        <v>0</v>
      </c>
      <c r="G142" s="87">
        <v>0</v>
      </c>
      <c r="H142" s="87">
        <v>0</v>
      </c>
      <c r="I142" s="87">
        <v>0</v>
      </c>
      <c r="J142" s="87">
        <v>0</v>
      </c>
      <c r="K142" s="87">
        <v>0</v>
      </c>
      <c r="L142" s="87">
        <v>0</v>
      </c>
      <c r="M142" s="87">
        <v>0</v>
      </c>
      <c r="N142" s="87">
        <v>0</v>
      </c>
      <c r="O142" s="87">
        <v>0</v>
      </c>
      <c r="P142" s="87">
        <v>0</v>
      </c>
      <c r="Q142" s="87">
        <v>0</v>
      </c>
      <c r="R142" s="87">
        <v>0</v>
      </c>
      <c r="S142" s="87">
        <v>0</v>
      </c>
      <c r="T142" s="87">
        <v>0</v>
      </c>
      <c r="U142" s="87">
        <v>0</v>
      </c>
      <c r="V142" s="87">
        <v>0</v>
      </c>
      <c r="W142" s="87">
        <v>0</v>
      </c>
      <c r="X142" s="87">
        <v>0</v>
      </c>
      <c r="Y142" s="87">
        <v>0</v>
      </c>
      <c r="Z142" s="87">
        <v>0</v>
      </c>
      <c r="AA142" s="87">
        <v>0</v>
      </c>
      <c r="AB142" s="87">
        <v>0</v>
      </c>
      <c r="AC142" s="87">
        <v>0</v>
      </c>
      <c r="AD142" s="87">
        <v>0</v>
      </c>
      <c r="AE142" s="87">
        <v>0</v>
      </c>
      <c r="AF142" s="87">
        <v>0</v>
      </c>
      <c r="AG142" s="87">
        <v>0</v>
      </c>
      <c r="AH142" s="87">
        <v>0</v>
      </c>
      <c r="AI142" s="87">
        <v>0</v>
      </c>
      <c r="AJ142" s="87">
        <v>0</v>
      </c>
      <c r="AK142" s="87">
        <v>0</v>
      </c>
      <c r="AL142" s="87">
        <v>0</v>
      </c>
      <c r="AM142" s="87">
        <v>0</v>
      </c>
      <c r="AN142" s="87">
        <v>0</v>
      </c>
      <c r="AO142" s="87">
        <v>0</v>
      </c>
      <c r="AP142" s="87">
        <v>0</v>
      </c>
      <c r="AQ142" s="87">
        <v>0</v>
      </c>
      <c r="AR142" s="87">
        <v>0</v>
      </c>
      <c r="AS142" s="87">
        <v>0</v>
      </c>
      <c r="AT142" s="87">
        <v>0</v>
      </c>
      <c r="AU142" s="87">
        <v>0</v>
      </c>
      <c r="AV142" s="87">
        <v>0</v>
      </c>
      <c r="AW142" s="87">
        <v>0</v>
      </c>
      <c r="AX142" s="87">
        <v>0</v>
      </c>
      <c r="AY142" s="87">
        <v>0</v>
      </c>
      <c r="AZ142" s="87">
        <v>0</v>
      </c>
      <c r="BA142" s="87">
        <v>0</v>
      </c>
      <c r="BB142" s="87">
        <v>0</v>
      </c>
      <c r="BC142" s="87">
        <v>0</v>
      </c>
      <c r="BD142" s="87">
        <v>0</v>
      </c>
      <c r="BE142" s="87">
        <v>0</v>
      </c>
      <c r="BF142" s="87">
        <v>0</v>
      </c>
      <c r="BG142" s="87">
        <v>0</v>
      </c>
      <c r="BH142" s="87">
        <v>0</v>
      </c>
      <c r="BI142" s="87">
        <v>0</v>
      </c>
      <c r="BJ142" s="87">
        <v>0</v>
      </c>
      <c r="BK142" s="87">
        <v>0</v>
      </c>
      <c r="BL142" s="87">
        <v>0</v>
      </c>
      <c r="BM142" s="87">
        <v>1</v>
      </c>
      <c r="BN142" s="87">
        <v>0</v>
      </c>
      <c r="BO142" s="87">
        <v>0</v>
      </c>
      <c r="BP142" s="87">
        <v>0</v>
      </c>
      <c r="BQ142" s="87">
        <v>0</v>
      </c>
      <c r="BR142" s="87">
        <v>0</v>
      </c>
      <c r="BS142" s="87">
        <v>0</v>
      </c>
      <c r="BW142">
        <f t="shared" si="144"/>
        <v>232672.48590733891</v>
      </c>
      <c r="BX142">
        <f t="shared" si="75"/>
        <v>34839.716621068001</v>
      </c>
      <c r="BY142">
        <f t="shared" si="76"/>
        <v>371094.06353103736</v>
      </c>
      <c r="BZ142">
        <f t="shared" si="77"/>
        <v>76179.776535406141</v>
      </c>
      <c r="CA142">
        <f t="shared" si="78"/>
        <v>15011.396028380053</v>
      </c>
      <c r="CB142">
        <f t="shared" si="79"/>
        <v>51551.176130883803</v>
      </c>
      <c r="CC142">
        <f t="shared" si="80"/>
        <v>177768.63125311004</v>
      </c>
      <c r="CD142">
        <f t="shared" si="81"/>
        <v>128259.05724192546</v>
      </c>
      <c r="CE142">
        <f t="shared" si="82"/>
        <v>278847.59643141937</v>
      </c>
      <c r="CF142">
        <f t="shared" si="83"/>
        <v>119292.47302789842</v>
      </c>
      <c r="CG142">
        <f t="shared" si="84"/>
        <v>83770.04231671372</v>
      </c>
      <c r="CH142">
        <f t="shared" si="85"/>
        <v>300092.07254081866</v>
      </c>
      <c r="CI142">
        <f t="shared" si="86"/>
        <v>239004.30542355054</v>
      </c>
      <c r="CJ142">
        <f t="shared" si="87"/>
        <v>373508.54190304613</v>
      </c>
      <c r="CK142">
        <f t="shared" si="88"/>
        <v>335805.16136012977</v>
      </c>
      <c r="CL142">
        <f t="shared" si="89"/>
        <v>78625.343120143414</v>
      </c>
      <c r="CM142">
        <f t="shared" si="90"/>
        <v>243781.44385618682</v>
      </c>
      <c r="CN142">
        <f t="shared" si="91"/>
        <v>548861.54802201549</v>
      </c>
      <c r="CO142">
        <f t="shared" si="92"/>
        <v>143806.93864198707</v>
      </c>
      <c r="CP142">
        <f t="shared" si="93"/>
        <v>465205.04703729611</v>
      </c>
      <c r="CQ142">
        <f t="shared" si="94"/>
        <v>342340.40920507541</v>
      </c>
      <c r="CR142">
        <f t="shared" si="95"/>
        <v>216877.32727484047</v>
      </c>
      <c r="CS142">
        <f t="shared" si="96"/>
        <v>202257.42757550368</v>
      </c>
      <c r="CT142">
        <f t="shared" si="97"/>
        <v>45234.347346962793</v>
      </c>
      <c r="CU142">
        <f t="shared" si="98"/>
        <v>46567.357189394708</v>
      </c>
      <c r="CV142">
        <f t="shared" si="99"/>
        <v>174837.79805898081</v>
      </c>
      <c r="CW142">
        <f t="shared" si="100"/>
        <v>280799.51465892419</v>
      </c>
      <c r="CX142">
        <f t="shared" si="101"/>
        <v>535023.54635062267</v>
      </c>
      <c r="CY142">
        <f t="shared" si="102"/>
        <v>559587.29484140966</v>
      </c>
      <c r="CZ142">
        <f t="shared" si="103"/>
        <v>895036.38006964535</v>
      </c>
      <c r="DA142">
        <f t="shared" si="104"/>
        <v>396678.46605921059</v>
      </c>
      <c r="DB142">
        <f t="shared" si="105"/>
        <v>234239.97799612756</v>
      </c>
      <c r="DC142">
        <f t="shared" si="106"/>
        <v>473059.82230215718</v>
      </c>
      <c r="DD142">
        <f t="shared" si="107"/>
        <v>287782.4716443739</v>
      </c>
      <c r="DE142">
        <f t="shared" si="108"/>
        <v>16054.733336787096</v>
      </c>
      <c r="DF142">
        <f t="shared" si="109"/>
        <v>1286310.0508836138</v>
      </c>
      <c r="DG142">
        <f t="shared" si="110"/>
        <v>893143.98897724436</v>
      </c>
      <c r="DH142">
        <f t="shared" si="111"/>
        <v>1623548.423859294</v>
      </c>
      <c r="DI142">
        <f t="shared" si="112"/>
        <v>722831.67721237696</v>
      </c>
      <c r="DJ142">
        <f t="shared" si="113"/>
        <v>107926.25122295273</v>
      </c>
      <c r="DK142">
        <f t="shared" si="114"/>
        <v>242301.8182004696</v>
      </c>
      <c r="DL142">
        <f t="shared" si="115"/>
        <v>659312.97889831674</v>
      </c>
      <c r="DM142">
        <f t="shared" si="116"/>
        <v>524533.04434630182</v>
      </c>
      <c r="DN142">
        <f t="shared" si="117"/>
        <v>1075349.3540120444</v>
      </c>
      <c r="DO142">
        <f t="shared" si="118"/>
        <v>511028.73918927449</v>
      </c>
      <c r="DP142">
        <f t="shared" si="119"/>
        <v>407559.59327890177</v>
      </c>
      <c r="DQ142">
        <f t="shared" si="120"/>
        <v>1569650.1165033495</v>
      </c>
      <c r="DR142">
        <f t="shared" si="121"/>
        <v>957347.05206124531</v>
      </c>
      <c r="DS142">
        <f t="shared" si="122"/>
        <v>3083124.2803492225</v>
      </c>
      <c r="DT142">
        <f t="shared" si="123"/>
        <v>1424345.6888533481</v>
      </c>
      <c r="DU142">
        <f t="shared" si="124"/>
        <v>286432.00777863746</v>
      </c>
      <c r="DV142">
        <f t="shared" si="125"/>
        <v>821100.50361601345</v>
      </c>
      <c r="DW142">
        <f t="shared" si="126"/>
        <v>2299136.698331038</v>
      </c>
      <c r="DX142">
        <f t="shared" si="127"/>
        <v>293014.52491573431</v>
      </c>
      <c r="DY142">
        <f t="shared" si="128"/>
        <v>1915092.0855130535</v>
      </c>
      <c r="DZ142">
        <f t="shared" si="129"/>
        <v>1424598.8141382507</v>
      </c>
      <c r="EA142">
        <f t="shared" si="130"/>
        <v>893807.36194519117</v>
      </c>
      <c r="EB142">
        <f t="shared" si="131"/>
        <v>873045.10770683433</v>
      </c>
      <c r="EC142">
        <f t="shared" si="132"/>
        <v>172667.98047041756</v>
      </c>
      <c r="ED142">
        <f t="shared" si="133"/>
        <v>158275.61400955019</v>
      </c>
      <c r="EE142">
        <f t="shared" si="134"/>
        <v>339889.57649215817</v>
      </c>
      <c r="EF142">
        <f t="shared" si="135"/>
        <v>1066157.8740950515</v>
      </c>
      <c r="EG142">
        <f t="shared" si="136"/>
        <v>2400668.2565451581</v>
      </c>
      <c r="EH142">
        <f t="shared" si="137"/>
        <v>2048167.0876273166</v>
      </c>
      <c r="EI142">
        <f t="shared" si="138"/>
        <v>2607288.2817202033</v>
      </c>
      <c r="EJ142">
        <f t="shared" si="139"/>
        <v>2223661.2399123828</v>
      </c>
      <c r="EK142">
        <f t="shared" si="140"/>
        <v>572206.44202303689</v>
      </c>
      <c r="EL142">
        <f t="shared" si="141"/>
        <v>1331605.0107849902</v>
      </c>
      <c r="EM142">
        <f t="shared" si="142"/>
        <v>1055708.2325378691</v>
      </c>
      <c r="EN142">
        <f t="shared" si="143"/>
        <v>13763.763575251673</v>
      </c>
    </row>
    <row r="143" spans="2:144" x14ac:dyDescent="0.35">
      <c r="B143" s="87">
        <v>0</v>
      </c>
      <c r="C143" s="87">
        <v>0</v>
      </c>
      <c r="D143" s="87">
        <v>0</v>
      </c>
      <c r="E143" s="87">
        <v>0</v>
      </c>
      <c r="F143" s="87">
        <v>0</v>
      </c>
      <c r="G143" s="87">
        <v>0</v>
      </c>
      <c r="H143" s="87">
        <v>0</v>
      </c>
      <c r="I143" s="87">
        <v>0</v>
      </c>
      <c r="J143" s="87">
        <v>0</v>
      </c>
      <c r="K143" s="87">
        <v>0</v>
      </c>
      <c r="L143" s="87">
        <v>0</v>
      </c>
      <c r="M143" s="87">
        <v>0</v>
      </c>
      <c r="N143" s="87">
        <v>0</v>
      </c>
      <c r="O143" s="87">
        <v>0</v>
      </c>
      <c r="P143" s="87">
        <v>0</v>
      </c>
      <c r="Q143" s="87">
        <v>0</v>
      </c>
      <c r="R143" s="87">
        <v>0</v>
      </c>
      <c r="S143" s="87">
        <v>0</v>
      </c>
      <c r="T143" s="87">
        <v>0</v>
      </c>
      <c r="U143" s="87">
        <v>0</v>
      </c>
      <c r="V143" s="87">
        <v>0</v>
      </c>
      <c r="W143" s="87">
        <v>0</v>
      </c>
      <c r="X143" s="87">
        <v>0</v>
      </c>
      <c r="Y143" s="87">
        <v>0</v>
      </c>
      <c r="Z143" s="87">
        <v>0</v>
      </c>
      <c r="AA143" s="87">
        <v>0</v>
      </c>
      <c r="AB143" s="87">
        <v>0</v>
      </c>
      <c r="AC143" s="87">
        <v>0</v>
      </c>
      <c r="AD143" s="87">
        <v>0</v>
      </c>
      <c r="AE143" s="87">
        <v>0</v>
      </c>
      <c r="AF143" s="87">
        <v>0</v>
      </c>
      <c r="AG143" s="87">
        <v>0</v>
      </c>
      <c r="AH143" s="87">
        <v>0</v>
      </c>
      <c r="AI143" s="87">
        <v>0</v>
      </c>
      <c r="AJ143" s="87">
        <v>0</v>
      </c>
      <c r="AK143" s="87">
        <v>0</v>
      </c>
      <c r="AL143" s="87">
        <v>0</v>
      </c>
      <c r="AM143" s="87">
        <v>0</v>
      </c>
      <c r="AN143" s="87">
        <v>0</v>
      </c>
      <c r="AO143" s="87">
        <v>0</v>
      </c>
      <c r="AP143" s="87">
        <v>0</v>
      </c>
      <c r="AQ143" s="87">
        <v>0</v>
      </c>
      <c r="AR143" s="87">
        <v>0</v>
      </c>
      <c r="AS143" s="87">
        <v>0</v>
      </c>
      <c r="AT143" s="87">
        <v>0</v>
      </c>
      <c r="AU143" s="87">
        <v>0</v>
      </c>
      <c r="AV143" s="87">
        <v>0</v>
      </c>
      <c r="AW143" s="87">
        <v>0</v>
      </c>
      <c r="AX143" s="87">
        <v>0</v>
      </c>
      <c r="AY143" s="87">
        <v>0</v>
      </c>
      <c r="AZ143" s="87">
        <v>0</v>
      </c>
      <c r="BA143" s="87">
        <v>0</v>
      </c>
      <c r="BB143" s="87">
        <v>0</v>
      </c>
      <c r="BC143" s="87">
        <v>0</v>
      </c>
      <c r="BD143" s="87">
        <v>0</v>
      </c>
      <c r="BE143" s="87">
        <v>0</v>
      </c>
      <c r="BF143" s="87">
        <v>0</v>
      </c>
      <c r="BG143" s="87">
        <v>0</v>
      </c>
      <c r="BH143" s="87">
        <v>0</v>
      </c>
      <c r="BI143" s="87">
        <v>0</v>
      </c>
      <c r="BJ143" s="87">
        <v>0</v>
      </c>
      <c r="BK143" s="87">
        <v>0</v>
      </c>
      <c r="BL143" s="87">
        <v>0</v>
      </c>
      <c r="BM143" s="87">
        <v>0</v>
      </c>
      <c r="BN143" s="87">
        <v>1</v>
      </c>
      <c r="BO143" s="87">
        <v>0</v>
      </c>
      <c r="BP143" s="87">
        <v>0</v>
      </c>
      <c r="BQ143" s="87">
        <v>0</v>
      </c>
      <c r="BR143" s="87">
        <v>0</v>
      </c>
      <c r="BS143" s="87">
        <v>0</v>
      </c>
      <c r="BW143">
        <f t="shared" si="144"/>
        <v>232672.48590733891</v>
      </c>
      <c r="BX143">
        <f t="shared" si="75"/>
        <v>34839.716621068001</v>
      </c>
      <c r="BY143">
        <f t="shared" si="76"/>
        <v>371094.06353103736</v>
      </c>
      <c r="BZ143">
        <f t="shared" si="77"/>
        <v>76179.776535406141</v>
      </c>
      <c r="CA143">
        <f t="shared" si="78"/>
        <v>15011.396028380053</v>
      </c>
      <c r="CB143">
        <f t="shared" si="79"/>
        <v>51551.176130883803</v>
      </c>
      <c r="CC143">
        <f t="shared" si="80"/>
        <v>177768.63125311004</v>
      </c>
      <c r="CD143">
        <f t="shared" si="81"/>
        <v>128259.05724192546</v>
      </c>
      <c r="CE143">
        <f t="shared" si="82"/>
        <v>278847.59643141937</v>
      </c>
      <c r="CF143">
        <f t="shared" si="83"/>
        <v>119292.47302789842</v>
      </c>
      <c r="CG143">
        <f t="shared" si="84"/>
        <v>83770.04231671372</v>
      </c>
      <c r="CH143">
        <f t="shared" si="85"/>
        <v>300092.07254081866</v>
      </c>
      <c r="CI143">
        <f t="shared" si="86"/>
        <v>239004.30542355054</v>
      </c>
      <c r="CJ143">
        <f t="shared" si="87"/>
        <v>373508.54190304613</v>
      </c>
      <c r="CK143">
        <f t="shared" si="88"/>
        <v>335805.16136012977</v>
      </c>
      <c r="CL143">
        <f t="shared" si="89"/>
        <v>78625.343120143414</v>
      </c>
      <c r="CM143">
        <f t="shared" si="90"/>
        <v>243781.44385618682</v>
      </c>
      <c r="CN143">
        <f t="shared" si="91"/>
        <v>548861.54802201549</v>
      </c>
      <c r="CO143">
        <f t="shared" si="92"/>
        <v>143806.93864198707</v>
      </c>
      <c r="CP143">
        <f t="shared" si="93"/>
        <v>465205.04703729611</v>
      </c>
      <c r="CQ143">
        <f t="shared" si="94"/>
        <v>342340.40920507541</v>
      </c>
      <c r="CR143">
        <f t="shared" si="95"/>
        <v>216877.32727484047</v>
      </c>
      <c r="CS143">
        <f t="shared" si="96"/>
        <v>202257.42757550368</v>
      </c>
      <c r="CT143">
        <f t="shared" si="97"/>
        <v>45234.347346962793</v>
      </c>
      <c r="CU143">
        <f t="shared" si="98"/>
        <v>46567.357189394708</v>
      </c>
      <c r="CV143">
        <f t="shared" si="99"/>
        <v>174837.79805898081</v>
      </c>
      <c r="CW143">
        <f t="shared" si="100"/>
        <v>280799.51465892419</v>
      </c>
      <c r="CX143">
        <f t="shared" si="101"/>
        <v>535023.54635062267</v>
      </c>
      <c r="CY143">
        <f t="shared" si="102"/>
        <v>559587.29484140966</v>
      </c>
      <c r="CZ143">
        <f t="shared" si="103"/>
        <v>895036.38006964535</v>
      </c>
      <c r="DA143">
        <f t="shared" si="104"/>
        <v>396678.46605921059</v>
      </c>
      <c r="DB143">
        <f t="shared" si="105"/>
        <v>234239.97799612756</v>
      </c>
      <c r="DC143">
        <f t="shared" si="106"/>
        <v>473059.82230215718</v>
      </c>
      <c r="DD143">
        <f t="shared" si="107"/>
        <v>287782.4716443739</v>
      </c>
      <c r="DE143">
        <f t="shared" si="108"/>
        <v>16054.733336787096</v>
      </c>
      <c r="DF143">
        <f t="shared" si="109"/>
        <v>1286310.0508836138</v>
      </c>
      <c r="DG143">
        <f t="shared" si="110"/>
        <v>893143.98897724436</v>
      </c>
      <c r="DH143">
        <f t="shared" si="111"/>
        <v>1623548.423859294</v>
      </c>
      <c r="DI143">
        <f t="shared" si="112"/>
        <v>722831.67721237696</v>
      </c>
      <c r="DJ143">
        <f t="shared" si="113"/>
        <v>107926.25122295273</v>
      </c>
      <c r="DK143">
        <f t="shared" si="114"/>
        <v>242301.8182004696</v>
      </c>
      <c r="DL143">
        <f t="shared" si="115"/>
        <v>659312.97889831674</v>
      </c>
      <c r="DM143">
        <f t="shared" si="116"/>
        <v>524533.04434630182</v>
      </c>
      <c r="DN143">
        <f t="shared" si="117"/>
        <v>1075349.3540120444</v>
      </c>
      <c r="DO143">
        <f t="shared" si="118"/>
        <v>511028.73918927449</v>
      </c>
      <c r="DP143">
        <f t="shared" si="119"/>
        <v>407559.59327890177</v>
      </c>
      <c r="DQ143">
        <f t="shared" si="120"/>
        <v>1569650.1165033495</v>
      </c>
      <c r="DR143">
        <f t="shared" si="121"/>
        <v>957347.05206124531</v>
      </c>
      <c r="DS143">
        <f t="shared" si="122"/>
        <v>3083124.2803492225</v>
      </c>
      <c r="DT143">
        <f t="shared" si="123"/>
        <v>1424345.6888533481</v>
      </c>
      <c r="DU143">
        <f t="shared" si="124"/>
        <v>286432.00777863746</v>
      </c>
      <c r="DV143">
        <f t="shared" si="125"/>
        <v>821100.50361601345</v>
      </c>
      <c r="DW143">
        <f t="shared" si="126"/>
        <v>2299136.698331038</v>
      </c>
      <c r="DX143">
        <f t="shared" si="127"/>
        <v>293014.52491573431</v>
      </c>
      <c r="DY143">
        <f t="shared" si="128"/>
        <v>1915092.0855130535</v>
      </c>
      <c r="DZ143">
        <f t="shared" si="129"/>
        <v>1424598.8141382507</v>
      </c>
      <c r="EA143">
        <f t="shared" si="130"/>
        <v>893807.36194519117</v>
      </c>
      <c r="EB143">
        <f t="shared" si="131"/>
        <v>873045.10770683433</v>
      </c>
      <c r="EC143">
        <f t="shared" si="132"/>
        <v>172667.98047041756</v>
      </c>
      <c r="ED143">
        <f t="shared" si="133"/>
        <v>158275.61400955019</v>
      </c>
      <c r="EE143">
        <f t="shared" si="134"/>
        <v>339889.57649215817</v>
      </c>
      <c r="EF143">
        <f t="shared" si="135"/>
        <v>1066157.8740950515</v>
      </c>
      <c r="EG143">
        <f t="shared" si="136"/>
        <v>2400668.2565451581</v>
      </c>
      <c r="EH143">
        <f t="shared" si="137"/>
        <v>2048167.0876273166</v>
      </c>
      <c r="EI143">
        <f t="shared" si="138"/>
        <v>2607288.2817202033</v>
      </c>
      <c r="EJ143">
        <f t="shared" si="139"/>
        <v>2223661.2399123828</v>
      </c>
      <c r="EK143">
        <f t="shared" si="140"/>
        <v>572206.44202303689</v>
      </c>
      <c r="EL143">
        <f t="shared" si="141"/>
        <v>1331605.0107849902</v>
      </c>
      <c r="EM143">
        <f t="shared" si="142"/>
        <v>1055708.2325378691</v>
      </c>
      <c r="EN143">
        <f t="shared" si="143"/>
        <v>13763.763575251673</v>
      </c>
    </row>
    <row r="144" spans="2:144" x14ac:dyDescent="0.35">
      <c r="B144" s="87">
        <v>0</v>
      </c>
      <c r="C144" s="87">
        <v>0</v>
      </c>
      <c r="D144" s="87">
        <v>0</v>
      </c>
      <c r="E144" s="87">
        <v>0</v>
      </c>
      <c r="F144" s="87">
        <v>0</v>
      </c>
      <c r="G144" s="87">
        <v>0</v>
      </c>
      <c r="H144" s="87">
        <v>0</v>
      </c>
      <c r="I144" s="87">
        <v>0</v>
      </c>
      <c r="J144" s="87">
        <v>0</v>
      </c>
      <c r="K144" s="87">
        <v>0</v>
      </c>
      <c r="L144" s="87">
        <v>0</v>
      </c>
      <c r="M144" s="87">
        <v>0</v>
      </c>
      <c r="N144" s="87">
        <v>0</v>
      </c>
      <c r="O144" s="87">
        <v>0</v>
      </c>
      <c r="P144" s="87">
        <v>0</v>
      </c>
      <c r="Q144" s="87">
        <v>0</v>
      </c>
      <c r="R144" s="87">
        <v>0</v>
      </c>
      <c r="S144" s="87">
        <v>0</v>
      </c>
      <c r="T144" s="87">
        <v>0</v>
      </c>
      <c r="U144" s="87">
        <v>0</v>
      </c>
      <c r="V144" s="87">
        <v>0</v>
      </c>
      <c r="W144" s="87">
        <v>0</v>
      </c>
      <c r="X144" s="87">
        <v>0</v>
      </c>
      <c r="Y144" s="87">
        <v>0</v>
      </c>
      <c r="Z144" s="87">
        <v>0</v>
      </c>
      <c r="AA144" s="87">
        <v>0</v>
      </c>
      <c r="AB144" s="87">
        <v>0</v>
      </c>
      <c r="AC144" s="87">
        <v>0</v>
      </c>
      <c r="AD144" s="87">
        <v>0</v>
      </c>
      <c r="AE144" s="87">
        <v>0</v>
      </c>
      <c r="AF144" s="87">
        <v>0</v>
      </c>
      <c r="AG144" s="87">
        <v>0</v>
      </c>
      <c r="AH144" s="87">
        <v>0</v>
      </c>
      <c r="AI144" s="87">
        <v>0</v>
      </c>
      <c r="AJ144" s="87">
        <v>0</v>
      </c>
      <c r="AK144" s="87">
        <v>0</v>
      </c>
      <c r="AL144" s="87">
        <v>0</v>
      </c>
      <c r="AM144" s="87">
        <v>0</v>
      </c>
      <c r="AN144" s="87">
        <v>0</v>
      </c>
      <c r="AO144" s="87">
        <v>0</v>
      </c>
      <c r="AP144" s="87">
        <v>0</v>
      </c>
      <c r="AQ144" s="87">
        <v>0</v>
      </c>
      <c r="AR144" s="87">
        <v>0</v>
      </c>
      <c r="AS144" s="87">
        <v>0</v>
      </c>
      <c r="AT144" s="87">
        <v>0</v>
      </c>
      <c r="AU144" s="87">
        <v>0</v>
      </c>
      <c r="AV144" s="87">
        <v>0</v>
      </c>
      <c r="AW144" s="87">
        <v>0</v>
      </c>
      <c r="AX144" s="87">
        <v>0</v>
      </c>
      <c r="AY144" s="87">
        <v>0</v>
      </c>
      <c r="AZ144" s="87">
        <v>0</v>
      </c>
      <c r="BA144" s="87">
        <v>0</v>
      </c>
      <c r="BB144" s="87">
        <v>0</v>
      </c>
      <c r="BC144" s="87">
        <v>0</v>
      </c>
      <c r="BD144" s="87">
        <v>0</v>
      </c>
      <c r="BE144" s="87">
        <v>0</v>
      </c>
      <c r="BF144" s="87">
        <v>0</v>
      </c>
      <c r="BG144" s="87">
        <v>0</v>
      </c>
      <c r="BH144" s="87">
        <v>0</v>
      </c>
      <c r="BI144" s="87">
        <v>0</v>
      </c>
      <c r="BJ144" s="87">
        <v>0</v>
      </c>
      <c r="BK144" s="87">
        <v>0</v>
      </c>
      <c r="BL144" s="87">
        <v>0</v>
      </c>
      <c r="BM144" s="87">
        <v>0</v>
      </c>
      <c r="BN144" s="87">
        <v>0</v>
      </c>
      <c r="BO144" s="87">
        <v>1</v>
      </c>
      <c r="BP144" s="87">
        <v>0</v>
      </c>
      <c r="BQ144" s="87">
        <v>0</v>
      </c>
      <c r="BR144" s="87">
        <v>0</v>
      </c>
      <c r="BS144" s="87">
        <v>0</v>
      </c>
      <c r="BW144">
        <f t="shared" si="144"/>
        <v>232672.48590733891</v>
      </c>
      <c r="BX144">
        <f t="shared" si="75"/>
        <v>34839.716621068001</v>
      </c>
      <c r="BY144">
        <f t="shared" si="76"/>
        <v>371094.06353103736</v>
      </c>
      <c r="BZ144">
        <f t="shared" si="77"/>
        <v>76179.776535406141</v>
      </c>
      <c r="CA144">
        <f t="shared" si="78"/>
        <v>15011.396028380053</v>
      </c>
      <c r="CB144">
        <f t="shared" si="79"/>
        <v>51551.176130883803</v>
      </c>
      <c r="CC144">
        <f t="shared" si="80"/>
        <v>177768.63125311004</v>
      </c>
      <c r="CD144">
        <f t="shared" si="81"/>
        <v>128259.05724192546</v>
      </c>
      <c r="CE144">
        <f t="shared" si="82"/>
        <v>278847.59643141937</v>
      </c>
      <c r="CF144">
        <f t="shared" si="83"/>
        <v>119292.47302789842</v>
      </c>
      <c r="CG144">
        <f t="shared" si="84"/>
        <v>83770.04231671372</v>
      </c>
      <c r="CH144">
        <f t="shared" si="85"/>
        <v>300092.07254081866</v>
      </c>
      <c r="CI144">
        <f t="shared" si="86"/>
        <v>239004.30542355054</v>
      </c>
      <c r="CJ144">
        <f t="shared" si="87"/>
        <v>373508.54190304613</v>
      </c>
      <c r="CK144">
        <f t="shared" si="88"/>
        <v>335805.16136012977</v>
      </c>
      <c r="CL144">
        <f t="shared" si="89"/>
        <v>78625.343120143414</v>
      </c>
      <c r="CM144">
        <f t="shared" si="90"/>
        <v>243781.44385618682</v>
      </c>
      <c r="CN144">
        <f t="shared" si="91"/>
        <v>548861.54802201549</v>
      </c>
      <c r="CO144">
        <f t="shared" si="92"/>
        <v>143806.93864198707</v>
      </c>
      <c r="CP144">
        <f t="shared" si="93"/>
        <v>465205.04703729611</v>
      </c>
      <c r="CQ144">
        <f t="shared" si="94"/>
        <v>342340.40920507541</v>
      </c>
      <c r="CR144">
        <f t="shared" si="95"/>
        <v>216877.32727484047</v>
      </c>
      <c r="CS144">
        <f t="shared" si="96"/>
        <v>202257.42757550368</v>
      </c>
      <c r="CT144">
        <f t="shared" si="97"/>
        <v>45234.347346962793</v>
      </c>
      <c r="CU144">
        <f t="shared" si="98"/>
        <v>46567.357189394708</v>
      </c>
      <c r="CV144">
        <f t="shared" si="99"/>
        <v>174837.79805898081</v>
      </c>
      <c r="CW144">
        <f t="shared" si="100"/>
        <v>280799.51465892419</v>
      </c>
      <c r="CX144">
        <f t="shared" si="101"/>
        <v>535023.54635062267</v>
      </c>
      <c r="CY144">
        <f t="shared" si="102"/>
        <v>559587.29484140966</v>
      </c>
      <c r="CZ144">
        <f t="shared" si="103"/>
        <v>895036.38006964535</v>
      </c>
      <c r="DA144">
        <f t="shared" si="104"/>
        <v>396678.46605921059</v>
      </c>
      <c r="DB144">
        <f t="shared" si="105"/>
        <v>234239.97799612756</v>
      </c>
      <c r="DC144">
        <f t="shared" si="106"/>
        <v>473059.82230215718</v>
      </c>
      <c r="DD144">
        <f t="shared" si="107"/>
        <v>287782.4716443739</v>
      </c>
      <c r="DE144">
        <f t="shared" si="108"/>
        <v>16054.733336787096</v>
      </c>
      <c r="DF144">
        <f t="shared" si="109"/>
        <v>1286310.0508836138</v>
      </c>
      <c r="DG144">
        <f t="shared" si="110"/>
        <v>893143.98897724436</v>
      </c>
      <c r="DH144">
        <f t="shared" si="111"/>
        <v>1623548.423859294</v>
      </c>
      <c r="DI144">
        <f t="shared" si="112"/>
        <v>722831.67721237696</v>
      </c>
      <c r="DJ144">
        <f t="shared" si="113"/>
        <v>107926.25122295273</v>
      </c>
      <c r="DK144">
        <f t="shared" si="114"/>
        <v>242301.8182004696</v>
      </c>
      <c r="DL144">
        <f t="shared" si="115"/>
        <v>659312.97889831674</v>
      </c>
      <c r="DM144">
        <f t="shared" si="116"/>
        <v>524533.04434630182</v>
      </c>
      <c r="DN144">
        <f t="shared" si="117"/>
        <v>1075349.3540120444</v>
      </c>
      <c r="DO144">
        <f t="shared" si="118"/>
        <v>511028.73918927449</v>
      </c>
      <c r="DP144">
        <f t="shared" si="119"/>
        <v>407559.59327890177</v>
      </c>
      <c r="DQ144">
        <f t="shared" si="120"/>
        <v>1569650.1165033495</v>
      </c>
      <c r="DR144">
        <f t="shared" si="121"/>
        <v>957347.05206124531</v>
      </c>
      <c r="DS144">
        <f t="shared" si="122"/>
        <v>3083124.2803492225</v>
      </c>
      <c r="DT144">
        <f t="shared" si="123"/>
        <v>1424345.6888533481</v>
      </c>
      <c r="DU144">
        <f t="shared" si="124"/>
        <v>286432.00777863746</v>
      </c>
      <c r="DV144">
        <f t="shared" si="125"/>
        <v>821100.50361601345</v>
      </c>
      <c r="DW144">
        <f t="shared" si="126"/>
        <v>2299136.698331038</v>
      </c>
      <c r="DX144">
        <f t="shared" si="127"/>
        <v>293014.52491573431</v>
      </c>
      <c r="DY144">
        <f t="shared" si="128"/>
        <v>1915092.0855130535</v>
      </c>
      <c r="DZ144">
        <f t="shared" si="129"/>
        <v>1424598.8141382507</v>
      </c>
      <c r="EA144">
        <f t="shared" si="130"/>
        <v>893807.36194519117</v>
      </c>
      <c r="EB144">
        <f t="shared" si="131"/>
        <v>873045.10770683433</v>
      </c>
      <c r="EC144">
        <f t="shared" si="132"/>
        <v>172667.98047041756</v>
      </c>
      <c r="ED144">
        <f t="shared" si="133"/>
        <v>158275.61400955019</v>
      </c>
      <c r="EE144">
        <f t="shared" si="134"/>
        <v>339889.57649215817</v>
      </c>
      <c r="EF144">
        <f t="shared" si="135"/>
        <v>1066157.8740950515</v>
      </c>
      <c r="EG144">
        <f t="shared" si="136"/>
        <v>2400668.2565451581</v>
      </c>
      <c r="EH144">
        <f t="shared" si="137"/>
        <v>2048167.0876273166</v>
      </c>
      <c r="EI144">
        <f t="shared" si="138"/>
        <v>2607288.2817202033</v>
      </c>
      <c r="EJ144">
        <f t="shared" si="139"/>
        <v>2223661.2399123828</v>
      </c>
      <c r="EK144">
        <f t="shared" si="140"/>
        <v>572206.44202303689</v>
      </c>
      <c r="EL144">
        <f t="shared" si="141"/>
        <v>1331605.0107849902</v>
      </c>
      <c r="EM144">
        <f t="shared" si="142"/>
        <v>1055708.2325378691</v>
      </c>
      <c r="EN144">
        <f t="shared" si="143"/>
        <v>13763.763575251673</v>
      </c>
    </row>
    <row r="145" spans="1:153" x14ac:dyDescent="0.35">
      <c r="B145" s="87">
        <v>0</v>
      </c>
      <c r="C145" s="87">
        <v>0</v>
      </c>
      <c r="D145" s="87">
        <v>0</v>
      </c>
      <c r="E145" s="87">
        <v>0</v>
      </c>
      <c r="F145" s="87">
        <v>0</v>
      </c>
      <c r="G145" s="87">
        <v>0</v>
      </c>
      <c r="H145" s="87">
        <v>0</v>
      </c>
      <c r="I145" s="87">
        <v>0</v>
      </c>
      <c r="J145" s="87">
        <v>0</v>
      </c>
      <c r="K145" s="87">
        <v>0</v>
      </c>
      <c r="L145" s="87">
        <v>0</v>
      </c>
      <c r="M145" s="87">
        <v>0</v>
      </c>
      <c r="N145" s="87">
        <v>0</v>
      </c>
      <c r="O145" s="87">
        <v>0</v>
      </c>
      <c r="P145" s="87">
        <v>0</v>
      </c>
      <c r="Q145" s="87">
        <v>0</v>
      </c>
      <c r="R145" s="87">
        <v>0</v>
      </c>
      <c r="S145" s="87">
        <v>0</v>
      </c>
      <c r="T145" s="87">
        <v>0</v>
      </c>
      <c r="U145" s="87">
        <v>0</v>
      </c>
      <c r="V145" s="87">
        <v>0</v>
      </c>
      <c r="W145" s="87">
        <v>0</v>
      </c>
      <c r="X145" s="87">
        <v>0</v>
      </c>
      <c r="Y145" s="87">
        <v>0</v>
      </c>
      <c r="Z145" s="87">
        <v>0</v>
      </c>
      <c r="AA145" s="87">
        <v>0</v>
      </c>
      <c r="AB145" s="87">
        <v>0</v>
      </c>
      <c r="AC145" s="87">
        <v>0</v>
      </c>
      <c r="AD145" s="87">
        <v>0</v>
      </c>
      <c r="AE145" s="87">
        <v>0</v>
      </c>
      <c r="AF145" s="87">
        <v>0</v>
      </c>
      <c r="AG145" s="87">
        <v>0</v>
      </c>
      <c r="AH145" s="87">
        <v>0</v>
      </c>
      <c r="AI145" s="87">
        <v>0</v>
      </c>
      <c r="AJ145" s="87">
        <v>0</v>
      </c>
      <c r="AK145" s="87">
        <v>0</v>
      </c>
      <c r="AL145" s="87">
        <v>0</v>
      </c>
      <c r="AM145" s="87">
        <v>0</v>
      </c>
      <c r="AN145" s="87">
        <v>0</v>
      </c>
      <c r="AO145" s="87">
        <v>0</v>
      </c>
      <c r="AP145" s="87">
        <v>0</v>
      </c>
      <c r="AQ145" s="87">
        <v>0</v>
      </c>
      <c r="AR145" s="87">
        <v>0</v>
      </c>
      <c r="AS145" s="87">
        <v>0</v>
      </c>
      <c r="AT145" s="87">
        <v>0</v>
      </c>
      <c r="AU145" s="87">
        <v>0</v>
      </c>
      <c r="AV145" s="87">
        <v>0</v>
      </c>
      <c r="AW145" s="87">
        <v>0</v>
      </c>
      <c r="AX145" s="87">
        <v>0</v>
      </c>
      <c r="AY145" s="87">
        <v>0</v>
      </c>
      <c r="AZ145" s="87">
        <v>0</v>
      </c>
      <c r="BA145" s="87">
        <v>0</v>
      </c>
      <c r="BB145" s="87">
        <v>0</v>
      </c>
      <c r="BC145" s="87">
        <v>0</v>
      </c>
      <c r="BD145" s="87">
        <v>0</v>
      </c>
      <c r="BE145" s="87">
        <v>0</v>
      </c>
      <c r="BF145" s="87">
        <v>0</v>
      </c>
      <c r="BG145" s="87">
        <v>0</v>
      </c>
      <c r="BH145" s="87">
        <v>0</v>
      </c>
      <c r="BI145" s="87">
        <v>0</v>
      </c>
      <c r="BJ145" s="87">
        <v>0</v>
      </c>
      <c r="BK145" s="87">
        <v>0</v>
      </c>
      <c r="BL145" s="87">
        <v>0</v>
      </c>
      <c r="BM145" s="87">
        <v>0</v>
      </c>
      <c r="BN145" s="87">
        <v>0</v>
      </c>
      <c r="BO145" s="87">
        <v>0</v>
      </c>
      <c r="BP145" s="87">
        <v>1</v>
      </c>
      <c r="BQ145" s="87">
        <v>0</v>
      </c>
      <c r="BR145" s="87">
        <v>0</v>
      </c>
      <c r="BS145" s="87">
        <v>0</v>
      </c>
      <c r="BW145">
        <f t="shared" si="144"/>
        <v>232672.48590733891</v>
      </c>
      <c r="BX145">
        <f t="shared" si="75"/>
        <v>34839.716621068001</v>
      </c>
      <c r="BY145">
        <f t="shared" si="76"/>
        <v>371094.06353103736</v>
      </c>
      <c r="BZ145">
        <f t="shared" si="77"/>
        <v>76179.776535406141</v>
      </c>
      <c r="CA145">
        <f t="shared" si="78"/>
        <v>15011.396028380053</v>
      </c>
      <c r="CB145">
        <f t="shared" si="79"/>
        <v>51551.176130883803</v>
      </c>
      <c r="CC145">
        <f t="shared" si="80"/>
        <v>177768.63125311004</v>
      </c>
      <c r="CD145">
        <f t="shared" si="81"/>
        <v>128259.05724192546</v>
      </c>
      <c r="CE145">
        <f t="shared" si="82"/>
        <v>278847.59643141937</v>
      </c>
      <c r="CF145">
        <f t="shared" si="83"/>
        <v>119292.47302789842</v>
      </c>
      <c r="CG145">
        <f t="shared" si="84"/>
        <v>83770.04231671372</v>
      </c>
      <c r="CH145">
        <f t="shared" si="85"/>
        <v>300092.07254081866</v>
      </c>
      <c r="CI145">
        <f t="shared" si="86"/>
        <v>239004.30542355054</v>
      </c>
      <c r="CJ145">
        <f t="shared" si="87"/>
        <v>373508.54190304613</v>
      </c>
      <c r="CK145">
        <f t="shared" si="88"/>
        <v>335805.16136012977</v>
      </c>
      <c r="CL145">
        <f t="shared" si="89"/>
        <v>78625.343120143414</v>
      </c>
      <c r="CM145">
        <f t="shared" si="90"/>
        <v>243781.44385618682</v>
      </c>
      <c r="CN145">
        <f t="shared" si="91"/>
        <v>548861.54802201549</v>
      </c>
      <c r="CO145">
        <f t="shared" si="92"/>
        <v>143806.93864198707</v>
      </c>
      <c r="CP145">
        <f t="shared" si="93"/>
        <v>465205.04703729611</v>
      </c>
      <c r="CQ145">
        <f t="shared" si="94"/>
        <v>342340.40920507541</v>
      </c>
      <c r="CR145">
        <f t="shared" si="95"/>
        <v>216877.32727484047</v>
      </c>
      <c r="CS145">
        <f t="shared" si="96"/>
        <v>202257.42757550368</v>
      </c>
      <c r="CT145">
        <f t="shared" si="97"/>
        <v>45234.347346962793</v>
      </c>
      <c r="CU145">
        <f t="shared" si="98"/>
        <v>46567.357189394708</v>
      </c>
      <c r="CV145">
        <f t="shared" si="99"/>
        <v>174837.79805898081</v>
      </c>
      <c r="CW145">
        <f t="shared" si="100"/>
        <v>280799.51465892419</v>
      </c>
      <c r="CX145">
        <f t="shared" si="101"/>
        <v>535023.54635062267</v>
      </c>
      <c r="CY145">
        <f t="shared" si="102"/>
        <v>559587.29484140966</v>
      </c>
      <c r="CZ145">
        <f t="shared" si="103"/>
        <v>895036.38006964535</v>
      </c>
      <c r="DA145">
        <f t="shared" si="104"/>
        <v>396678.46605921059</v>
      </c>
      <c r="DB145">
        <f t="shared" si="105"/>
        <v>234239.97799612756</v>
      </c>
      <c r="DC145">
        <f t="shared" si="106"/>
        <v>473059.82230215718</v>
      </c>
      <c r="DD145">
        <f t="shared" si="107"/>
        <v>287782.4716443739</v>
      </c>
      <c r="DE145">
        <f t="shared" si="108"/>
        <v>16054.733336787096</v>
      </c>
      <c r="DF145">
        <f t="shared" si="109"/>
        <v>1286310.0508836138</v>
      </c>
      <c r="DG145">
        <f t="shared" si="110"/>
        <v>893143.98897724436</v>
      </c>
      <c r="DH145">
        <f t="shared" si="111"/>
        <v>1623548.423859294</v>
      </c>
      <c r="DI145">
        <f t="shared" si="112"/>
        <v>722831.67721237696</v>
      </c>
      <c r="DJ145">
        <f t="shared" si="113"/>
        <v>107926.25122295273</v>
      </c>
      <c r="DK145">
        <f t="shared" si="114"/>
        <v>242301.8182004696</v>
      </c>
      <c r="DL145">
        <f t="shared" si="115"/>
        <v>659312.97889831674</v>
      </c>
      <c r="DM145">
        <f t="shared" si="116"/>
        <v>524533.04434630182</v>
      </c>
      <c r="DN145">
        <f t="shared" si="117"/>
        <v>1075349.3540120444</v>
      </c>
      <c r="DO145">
        <f t="shared" si="118"/>
        <v>511028.73918927449</v>
      </c>
      <c r="DP145">
        <f t="shared" si="119"/>
        <v>407559.59327890177</v>
      </c>
      <c r="DQ145">
        <f t="shared" si="120"/>
        <v>1569650.1165033495</v>
      </c>
      <c r="DR145">
        <f t="shared" si="121"/>
        <v>957347.05206124531</v>
      </c>
      <c r="DS145">
        <f t="shared" si="122"/>
        <v>3083124.2803492225</v>
      </c>
      <c r="DT145">
        <f t="shared" si="123"/>
        <v>1424345.6888533481</v>
      </c>
      <c r="DU145">
        <f t="shared" si="124"/>
        <v>286432.00777863746</v>
      </c>
      <c r="DV145">
        <f t="shared" si="125"/>
        <v>821100.50361601345</v>
      </c>
      <c r="DW145">
        <f t="shared" si="126"/>
        <v>2299136.698331038</v>
      </c>
      <c r="DX145">
        <f t="shared" si="127"/>
        <v>293014.52491573431</v>
      </c>
      <c r="DY145">
        <f t="shared" si="128"/>
        <v>1915092.0855130535</v>
      </c>
      <c r="DZ145">
        <f t="shared" si="129"/>
        <v>1424598.8141382507</v>
      </c>
      <c r="EA145">
        <f t="shared" si="130"/>
        <v>893807.36194519117</v>
      </c>
      <c r="EB145">
        <f t="shared" si="131"/>
        <v>873045.10770683433</v>
      </c>
      <c r="EC145">
        <f t="shared" si="132"/>
        <v>172667.98047041756</v>
      </c>
      <c r="ED145">
        <f t="shared" si="133"/>
        <v>158275.61400955019</v>
      </c>
      <c r="EE145">
        <f t="shared" si="134"/>
        <v>339889.57649215817</v>
      </c>
      <c r="EF145">
        <f t="shared" si="135"/>
        <v>1066157.8740950515</v>
      </c>
      <c r="EG145">
        <f t="shared" si="136"/>
        <v>2400668.2565451581</v>
      </c>
      <c r="EH145">
        <f t="shared" si="137"/>
        <v>2048167.0876273166</v>
      </c>
      <c r="EI145">
        <f t="shared" si="138"/>
        <v>2607288.2817202033</v>
      </c>
      <c r="EJ145">
        <f t="shared" si="139"/>
        <v>2223661.2399123828</v>
      </c>
      <c r="EK145">
        <f t="shared" si="140"/>
        <v>572206.44202303689</v>
      </c>
      <c r="EL145">
        <f t="shared" si="141"/>
        <v>1331605.0107849902</v>
      </c>
      <c r="EM145">
        <f t="shared" si="142"/>
        <v>1055708.2325378691</v>
      </c>
      <c r="EN145">
        <f t="shared" si="143"/>
        <v>13763.763575251673</v>
      </c>
    </row>
    <row r="146" spans="1:153" x14ac:dyDescent="0.35">
      <c r="B146" s="87">
        <v>0</v>
      </c>
      <c r="C146" s="87">
        <v>0</v>
      </c>
      <c r="D146" s="87">
        <v>0</v>
      </c>
      <c r="E146" s="87">
        <v>0</v>
      </c>
      <c r="F146" s="87">
        <v>0</v>
      </c>
      <c r="G146" s="87">
        <v>0</v>
      </c>
      <c r="H146" s="87">
        <v>0</v>
      </c>
      <c r="I146" s="87">
        <v>0</v>
      </c>
      <c r="J146" s="87">
        <v>0</v>
      </c>
      <c r="K146" s="87">
        <v>0</v>
      </c>
      <c r="L146" s="87">
        <v>0</v>
      </c>
      <c r="M146" s="87">
        <v>0</v>
      </c>
      <c r="N146" s="87">
        <v>0</v>
      </c>
      <c r="O146" s="87">
        <v>0</v>
      </c>
      <c r="P146" s="87">
        <v>0</v>
      </c>
      <c r="Q146" s="87">
        <v>0</v>
      </c>
      <c r="R146" s="87">
        <v>0</v>
      </c>
      <c r="S146" s="87">
        <v>0</v>
      </c>
      <c r="T146" s="87">
        <v>0</v>
      </c>
      <c r="U146" s="87">
        <v>0</v>
      </c>
      <c r="V146" s="87">
        <v>0</v>
      </c>
      <c r="W146" s="87">
        <v>0</v>
      </c>
      <c r="X146" s="87">
        <v>0</v>
      </c>
      <c r="Y146" s="87">
        <v>0</v>
      </c>
      <c r="Z146" s="87">
        <v>0</v>
      </c>
      <c r="AA146" s="87">
        <v>0</v>
      </c>
      <c r="AB146" s="87">
        <v>0</v>
      </c>
      <c r="AC146" s="87">
        <v>0</v>
      </c>
      <c r="AD146" s="87">
        <v>0</v>
      </c>
      <c r="AE146" s="87">
        <v>0</v>
      </c>
      <c r="AF146" s="87">
        <v>0</v>
      </c>
      <c r="AG146" s="87">
        <v>0</v>
      </c>
      <c r="AH146" s="87">
        <v>0</v>
      </c>
      <c r="AI146" s="87">
        <v>0</v>
      </c>
      <c r="AJ146" s="87">
        <v>0</v>
      </c>
      <c r="AK146" s="87">
        <v>0</v>
      </c>
      <c r="AL146" s="87">
        <v>0</v>
      </c>
      <c r="AM146" s="87">
        <v>0</v>
      </c>
      <c r="AN146" s="87">
        <v>0</v>
      </c>
      <c r="AO146" s="87">
        <v>0</v>
      </c>
      <c r="AP146" s="87">
        <v>0</v>
      </c>
      <c r="AQ146" s="87">
        <v>0</v>
      </c>
      <c r="AR146" s="87">
        <v>0</v>
      </c>
      <c r="AS146" s="87">
        <v>0</v>
      </c>
      <c r="AT146" s="87">
        <v>0</v>
      </c>
      <c r="AU146" s="87">
        <v>0</v>
      </c>
      <c r="AV146" s="87">
        <v>0</v>
      </c>
      <c r="AW146" s="87">
        <v>0</v>
      </c>
      <c r="AX146" s="87">
        <v>0</v>
      </c>
      <c r="AY146" s="87">
        <v>0</v>
      </c>
      <c r="AZ146" s="87">
        <v>0</v>
      </c>
      <c r="BA146" s="87">
        <v>0</v>
      </c>
      <c r="BB146" s="87">
        <v>0</v>
      </c>
      <c r="BC146" s="87">
        <v>0</v>
      </c>
      <c r="BD146" s="87">
        <v>0</v>
      </c>
      <c r="BE146" s="87">
        <v>0</v>
      </c>
      <c r="BF146" s="87">
        <v>0</v>
      </c>
      <c r="BG146" s="87">
        <v>0</v>
      </c>
      <c r="BH146" s="87">
        <v>0</v>
      </c>
      <c r="BI146" s="87">
        <v>0</v>
      </c>
      <c r="BJ146" s="87">
        <v>0</v>
      </c>
      <c r="BK146" s="87">
        <v>0</v>
      </c>
      <c r="BL146" s="87">
        <v>0</v>
      </c>
      <c r="BM146" s="87">
        <v>0</v>
      </c>
      <c r="BN146" s="87">
        <v>0</v>
      </c>
      <c r="BO146" s="87">
        <v>0</v>
      </c>
      <c r="BP146" s="87">
        <v>0</v>
      </c>
      <c r="BQ146" s="87">
        <v>1</v>
      </c>
      <c r="BR146" s="87">
        <v>0</v>
      </c>
      <c r="BS146" s="87">
        <v>0</v>
      </c>
      <c r="BW146">
        <f t="shared" si="144"/>
        <v>232672.48590733891</v>
      </c>
      <c r="BX146">
        <f t="shared" si="75"/>
        <v>34839.716621068001</v>
      </c>
      <c r="BY146">
        <f t="shared" si="76"/>
        <v>371094.06353103736</v>
      </c>
      <c r="BZ146">
        <f t="shared" si="77"/>
        <v>76179.776535406141</v>
      </c>
      <c r="CA146">
        <f t="shared" si="78"/>
        <v>15011.396028380053</v>
      </c>
      <c r="CB146">
        <f t="shared" si="79"/>
        <v>51551.176130883803</v>
      </c>
      <c r="CC146">
        <f t="shared" si="80"/>
        <v>177768.63125311004</v>
      </c>
      <c r="CD146">
        <f t="shared" si="81"/>
        <v>128259.05724192546</v>
      </c>
      <c r="CE146">
        <f t="shared" si="82"/>
        <v>278847.59643141937</v>
      </c>
      <c r="CF146">
        <f t="shared" si="83"/>
        <v>119292.47302789842</v>
      </c>
      <c r="CG146">
        <f t="shared" si="84"/>
        <v>83770.04231671372</v>
      </c>
      <c r="CH146">
        <f t="shared" si="85"/>
        <v>300092.07254081866</v>
      </c>
      <c r="CI146">
        <f t="shared" si="86"/>
        <v>239004.30542355054</v>
      </c>
      <c r="CJ146">
        <f t="shared" si="87"/>
        <v>373508.54190304613</v>
      </c>
      <c r="CK146">
        <f t="shared" si="88"/>
        <v>335805.16136012977</v>
      </c>
      <c r="CL146">
        <f t="shared" si="89"/>
        <v>78625.343120143414</v>
      </c>
      <c r="CM146">
        <f t="shared" si="90"/>
        <v>243781.44385618682</v>
      </c>
      <c r="CN146">
        <f t="shared" si="91"/>
        <v>548861.54802201549</v>
      </c>
      <c r="CO146">
        <f t="shared" si="92"/>
        <v>143806.93864198707</v>
      </c>
      <c r="CP146">
        <f t="shared" si="93"/>
        <v>465205.04703729611</v>
      </c>
      <c r="CQ146">
        <f t="shared" si="94"/>
        <v>342340.40920507541</v>
      </c>
      <c r="CR146">
        <f t="shared" si="95"/>
        <v>216877.32727484047</v>
      </c>
      <c r="CS146">
        <f t="shared" si="96"/>
        <v>202257.42757550368</v>
      </c>
      <c r="CT146">
        <f t="shared" si="97"/>
        <v>45234.347346962793</v>
      </c>
      <c r="CU146">
        <f t="shared" si="98"/>
        <v>46567.357189394708</v>
      </c>
      <c r="CV146">
        <f t="shared" si="99"/>
        <v>174837.79805898081</v>
      </c>
      <c r="CW146">
        <f t="shared" si="100"/>
        <v>280799.51465892419</v>
      </c>
      <c r="CX146">
        <f t="shared" si="101"/>
        <v>535023.54635062267</v>
      </c>
      <c r="CY146">
        <f t="shared" si="102"/>
        <v>559587.29484140966</v>
      </c>
      <c r="CZ146">
        <f t="shared" si="103"/>
        <v>895036.38006964535</v>
      </c>
      <c r="DA146">
        <f t="shared" si="104"/>
        <v>396678.46605921059</v>
      </c>
      <c r="DB146">
        <f t="shared" si="105"/>
        <v>234239.97799612756</v>
      </c>
      <c r="DC146">
        <f t="shared" si="106"/>
        <v>473059.82230215718</v>
      </c>
      <c r="DD146">
        <f t="shared" si="107"/>
        <v>287782.4716443739</v>
      </c>
      <c r="DE146">
        <f t="shared" si="108"/>
        <v>16054.733336787096</v>
      </c>
      <c r="DF146">
        <f t="shared" si="109"/>
        <v>1286310.0508836138</v>
      </c>
      <c r="DG146">
        <f t="shared" si="110"/>
        <v>893143.98897724436</v>
      </c>
      <c r="DH146">
        <f t="shared" si="111"/>
        <v>1623548.423859294</v>
      </c>
      <c r="DI146">
        <f t="shared" si="112"/>
        <v>722831.67721237696</v>
      </c>
      <c r="DJ146">
        <f t="shared" si="113"/>
        <v>107926.25122295273</v>
      </c>
      <c r="DK146">
        <f t="shared" si="114"/>
        <v>242301.8182004696</v>
      </c>
      <c r="DL146">
        <f t="shared" si="115"/>
        <v>659312.97889831674</v>
      </c>
      <c r="DM146">
        <f t="shared" si="116"/>
        <v>524533.04434630182</v>
      </c>
      <c r="DN146">
        <f t="shared" si="117"/>
        <v>1075349.3540120444</v>
      </c>
      <c r="DO146">
        <f t="shared" si="118"/>
        <v>511028.73918927449</v>
      </c>
      <c r="DP146">
        <f t="shared" si="119"/>
        <v>407559.59327890177</v>
      </c>
      <c r="DQ146">
        <f t="shared" si="120"/>
        <v>1569650.1165033495</v>
      </c>
      <c r="DR146">
        <f t="shared" si="121"/>
        <v>957347.05206124531</v>
      </c>
      <c r="DS146">
        <f t="shared" si="122"/>
        <v>3083124.2803492225</v>
      </c>
      <c r="DT146">
        <f t="shared" si="123"/>
        <v>1424345.6888533481</v>
      </c>
      <c r="DU146">
        <f t="shared" si="124"/>
        <v>286432.00777863746</v>
      </c>
      <c r="DV146">
        <f t="shared" si="125"/>
        <v>821100.50361601345</v>
      </c>
      <c r="DW146">
        <f t="shared" si="126"/>
        <v>2299136.698331038</v>
      </c>
      <c r="DX146">
        <f t="shared" si="127"/>
        <v>293014.52491573431</v>
      </c>
      <c r="DY146">
        <f t="shared" si="128"/>
        <v>1915092.0855130535</v>
      </c>
      <c r="DZ146">
        <f t="shared" si="129"/>
        <v>1424598.8141382507</v>
      </c>
      <c r="EA146">
        <f t="shared" si="130"/>
        <v>893807.36194519117</v>
      </c>
      <c r="EB146">
        <f t="shared" si="131"/>
        <v>873045.10770683433</v>
      </c>
      <c r="EC146">
        <f t="shared" si="132"/>
        <v>172667.98047041756</v>
      </c>
      <c r="ED146">
        <f t="shared" si="133"/>
        <v>158275.61400955019</v>
      </c>
      <c r="EE146">
        <f t="shared" si="134"/>
        <v>339889.57649215817</v>
      </c>
      <c r="EF146">
        <f t="shared" si="135"/>
        <v>1066157.8740950515</v>
      </c>
      <c r="EG146">
        <f t="shared" si="136"/>
        <v>2400668.2565451581</v>
      </c>
      <c r="EH146">
        <f t="shared" si="137"/>
        <v>2048167.0876273166</v>
      </c>
      <c r="EI146">
        <f t="shared" si="138"/>
        <v>2607288.2817202033</v>
      </c>
      <c r="EJ146">
        <f t="shared" si="139"/>
        <v>2223661.2399123828</v>
      </c>
      <c r="EK146">
        <f t="shared" si="140"/>
        <v>572206.44202303689</v>
      </c>
      <c r="EL146">
        <f t="shared" si="141"/>
        <v>1331605.0107849902</v>
      </c>
      <c r="EM146">
        <f t="shared" si="142"/>
        <v>1055708.2325378691</v>
      </c>
      <c r="EN146">
        <f t="shared" si="143"/>
        <v>13763.763575251673</v>
      </c>
    </row>
    <row r="147" spans="1:153" x14ac:dyDescent="0.35">
      <c r="B147" s="87">
        <v>0</v>
      </c>
      <c r="C147" s="87">
        <v>0</v>
      </c>
      <c r="D147" s="87">
        <v>0</v>
      </c>
      <c r="E147" s="87">
        <v>0</v>
      </c>
      <c r="F147" s="87">
        <v>0</v>
      </c>
      <c r="G147" s="87">
        <v>0</v>
      </c>
      <c r="H147" s="87">
        <v>0</v>
      </c>
      <c r="I147" s="87">
        <v>0</v>
      </c>
      <c r="J147" s="87">
        <v>0</v>
      </c>
      <c r="K147" s="87">
        <v>0</v>
      </c>
      <c r="L147" s="87">
        <v>0</v>
      </c>
      <c r="M147" s="87">
        <v>0</v>
      </c>
      <c r="N147" s="87">
        <v>0</v>
      </c>
      <c r="O147" s="87">
        <v>0</v>
      </c>
      <c r="P147" s="87">
        <v>0</v>
      </c>
      <c r="Q147" s="87">
        <v>0</v>
      </c>
      <c r="R147" s="87">
        <v>0</v>
      </c>
      <c r="S147" s="87">
        <v>0</v>
      </c>
      <c r="T147" s="87">
        <v>0</v>
      </c>
      <c r="U147" s="87">
        <v>0</v>
      </c>
      <c r="V147" s="87">
        <v>0</v>
      </c>
      <c r="W147" s="87">
        <v>0</v>
      </c>
      <c r="X147" s="87">
        <v>0</v>
      </c>
      <c r="Y147" s="87">
        <v>0</v>
      </c>
      <c r="Z147" s="87">
        <v>0</v>
      </c>
      <c r="AA147" s="87">
        <v>0</v>
      </c>
      <c r="AB147" s="87">
        <v>0</v>
      </c>
      <c r="AC147" s="87">
        <v>0</v>
      </c>
      <c r="AD147" s="87">
        <v>0</v>
      </c>
      <c r="AE147" s="87">
        <v>0</v>
      </c>
      <c r="AF147" s="87">
        <v>0</v>
      </c>
      <c r="AG147" s="87">
        <v>0</v>
      </c>
      <c r="AH147" s="87">
        <v>0</v>
      </c>
      <c r="AI147" s="87">
        <v>0</v>
      </c>
      <c r="AJ147" s="87">
        <v>0</v>
      </c>
      <c r="AK147" s="87">
        <v>0</v>
      </c>
      <c r="AL147" s="87">
        <v>0</v>
      </c>
      <c r="AM147" s="87">
        <v>0</v>
      </c>
      <c r="AN147" s="87">
        <v>0</v>
      </c>
      <c r="AO147" s="87">
        <v>0</v>
      </c>
      <c r="AP147" s="87">
        <v>0</v>
      </c>
      <c r="AQ147" s="87">
        <v>0</v>
      </c>
      <c r="AR147" s="87">
        <v>0</v>
      </c>
      <c r="AS147" s="87">
        <v>0</v>
      </c>
      <c r="AT147" s="87">
        <v>0</v>
      </c>
      <c r="AU147" s="87">
        <v>0</v>
      </c>
      <c r="AV147" s="87">
        <v>0</v>
      </c>
      <c r="AW147" s="87">
        <v>0</v>
      </c>
      <c r="AX147" s="87">
        <v>0</v>
      </c>
      <c r="AY147" s="87">
        <v>0</v>
      </c>
      <c r="AZ147" s="87">
        <v>0</v>
      </c>
      <c r="BA147" s="87">
        <v>0</v>
      </c>
      <c r="BB147" s="87">
        <v>0</v>
      </c>
      <c r="BC147" s="87">
        <v>0</v>
      </c>
      <c r="BD147" s="87">
        <v>0</v>
      </c>
      <c r="BE147" s="87">
        <v>0</v>
      </c>
      <c r="BF147" s="87">
        <v>0</v>
      </c>
      <c r="BG147" s="87">
        <v>0</v>
      </c>
      <c r="BH147" s="87">
        <v>0</v>
      </c>
      <c r="BI147" s="87">
        <v>0</v>
      </c>
      <c r="BJ147" s="87">
        <v>0</v>
      </c>
      <c r="BK147" s="87">
        <v>0</v>
      </c>
      <c r="BL147" s="87">
        <v>0</v>
      </c>
      <c r="BM147" s="87">
        <v>0</v>
      </c>
      <c r="BN147" s="87">
        <v>0</v>
      </c>
      <c r="BO147" s="87">
        <v>0</v>
      </c>
      <c r="BP147" s="87">
        <v>0</v>
      </c>
      <c r="BQ147" s="87">
        <v>0</v>
      </c>
      <c r="BR147" s="87">
        <v>1</v>
      </c>
      <c r="BS147" s="87">
        <v>0</v>
      </c>
      <c r="BW147">
        <f t="shared" si="144"/>
        <v>232672.48590733891</v>
      </c>
      <c r="BX147">
        <f t="shared" si="75"/>
        <v>34839.716621068001</v>
      </c>
      <c r="BY147">
        <f t="shared" si="76"/>
        <v>371094.06353103736</v>
      </c>
      <c r="BZ147">
        <f t="shared" si="77"/>
        <v>76179.776535406141</v>
      </c>
      <c r="CA147">
        <f t="shared" si="78"/>
        <v>15011.396028380053</v>
      </c>
      <c r="CB147">
        <f t="shared" si="79"/>
        <v>51551.176130883803</v>
      </c>
      <c r="CC147">
        <f t="shared" si="80"/>
        <v>177768.63125311004</v>
      </c>
      <c r="CD147">
        <f t="shared" si="81"/>
        <v>128259.05724192546</v>
      </c>
      <c r="CE147">
        <f t="shared" si="82"/>
        <v>278847.59643141937</v>
      </c>
      <c r="CF147">
        <f t="shared" si="83"/>
        <v>119292.47302789842</v>
      </c>
      <c r="CG147">
        <f t="shared" si="84"/>
        <v>83770.04231671372</v>
      </c>
      <c r="CH147">
        <f t="shared" si="85"/>
        <v>300092.07254081866</v>
      </c>
      <c r="CI147">
        <f t="shared" si="86"/>
        <v>239004.30542355054</v>
      </c>
      <c r="CJ147">
        <f t="shared" si="87"/>
        <v>373508.54190304613</v>
      </c>
      <c r="CK147">
        <f t="shared" si="88"/>
        <v>335805.16136012977</v>
      </c>
      <c r="CL147">
        <f t="shared" si="89"/>
        <v>78625.343120143414</v>
      </c>
      <c r="CM147">
        <f t="shared" si="90"/>
        <v>243781.44385618682</v>
      </c>
      <c r="CN147">
        <f t="shared" si="91"/>
        <v>548861.54802201549</v>
      </c>
      <c r="CO147">
        <f t="shared" si="92"/>
        <v>143806.93864198707</v>
      </c>
      <c r="CP147">
        <f t="shared" si="93"/>
        <v>465205.04703729611</v>
      </c>
      <c r="CQ147">
        <f t="shared" si="94"/>
        <v>342340.40920507541</v>
      </c>
      <c r="CR147">
        <f t="shared" si="95"/>
        <v>216877.32727484047</v>
      </c>
      <c r="CS147">
        <f t="shared" si="96"/>
        <v>202257.42757550368</v>
      </c>
      <c r="CT147">
        <f t="shared" si="97"/>
        <v>45234.347346962793</v>
      </c>
      <c r="CU147">
        <f t="shared" si="98"/>
        <v>46567.357189394708</v>
      </c>
      <c r="CV147">
        <f t="shared" si="99"/>
        <v>174837.79805898081</v>
      </c>
      <c r="CW147">
        <f t="shared" si="100"/>
        <v>280799.51465892419</v>
      </c>
      <c r="CX147">
        <f t="shared" si="101"/>
        <v>535023.54635062267</v>
      </c>
      <c r="CY147">
        <f t="shared" si="102"/>
        <v>559587.29484140966</v>
      </c>
      <c r="CZ147">
        <f t="shared" si="103"/>
        <v>895036.38006964535</v>
      </c>
      <c r="DA147">
        <f t="shared" si="104"/>
        <v>396678.46605921059</v>
      </c>
      <c r="DB147">
        <f t="shared" si="105"/>
        <v>234239.97799612756</v>
      </c>
      <c r="DC147">
        <f t="shared" si="106"/>
        <v>473059.82230215718</v>
      </c>
      <c r="DD147">
        <f t="shared" si="107"/>
        <v>287782.4716443739</v>
      </c>
      <c r="DE147">
        <f t="shared" si="108"/>
        <v>16054.733336787096</v>
      </c>
      <c r="DF147">
        <f t="shared" si="109"/>
        <v>1286310.0508836138</v>
      </c>
      <c r="DG147">
        <f t="shared" si="110"/>
        <v>893143.98897724436</v>
      </c>
      <c r="DH147">
        <f t="shared" si="111"/>
        <v>1623548.423859294</v>
      </c>
      <c r="DI147">
        <f t="shared" si="112"/>
        <v>722831.67721237696</v>
      </c>
      <c r="DJ147">
        <f t="shared" si="113"/>
        <v>107926.25122295273</v>
      </c>
      <c r="DK147">
        <f t="shared" si="114"/>
        <v>242301.8182004696</v>
      </c>
      <c r="DL147">
        <f t="shared" si="115"/>
        <v>659312.97889831674</v>
      </c>
      <c r="DM147">
        <f t="shared" si="116"/>
        <v>524533.04434630182</v>
      </c>
      <c r="DN147">
        <f t="shared" si="117"/>
        <v>1075349.3540120444</v>
      </c>
      <c r="DO147">
        <f t="shared" si="118"/>
        <v>511028.73918927449</v>
      </c>
      <c r="DP147">
        <f t="shared" si="119"/>
        <v>407559.59327890177</v>
      </c>
      <c r="DQ147">
        <f t="shared" si="120"/>
        <v>1569650.1165033495</v>
      </c>
      <c r="DR147">
        <f t="shared" si="121"/>
        <v>957347.05206124531</v>
      </c>
      <c r="DS147">
        <f t="shared" si="122"/>
        <v>3083124.2803492225</v>
      </c>
      <c r="DT147">
        <f t="shared" si="123"/>
        <v>1424345.6888533481</v>
      </c>
      <c r="DU147">
        <f t="shared" si="124"/>
        <v>286432.00777863746</v>
      </c>
      <c r="DV147">
        <f t="shared" si="125"/>
        <v>821100.50361601345</v>
      </c>
      <c r="DW147">
        <f t="shared" si="126"/>
        <v>2299136.698331038</v>
      </c>
      <c r="DX147">
        <f t="shared" si="127"/>
        <v>293014.52491573431</v>
      </c>
      <c r="DY147">
        <f t="shared" si="128"/>
        <v>1915092.0855130535</v>
      </c>
      <c r="DZ147">
        <f t="shared" si="129"/>
        <v>1424598.8141382507</v>
      </c>
      <c r="EA147">
        <f t="shared" si="130"/>
        <v>893807.36194519117</v>
      </c>
      <c r="EB147">
        <f t="shared" si="131"/>
        <v>873045.10770683433</v>
      </c>
      <c r="EC147">
        <f t="shared" si="132"/>
        <v>172667.98047041756</v>
      </c>
      <c r="ED147">
        <f t="shared" si="133"/>
        <v>158275.61400955019</v>
      </c>
      <c r="EE147">
        <f t="shared" si="134"/>
        <v>339889.57649215817</v>
      </c>
      <c r="EF147">
        <f t="shared" si="135"/>
        <v>1066157.8740950515</v>
      </c>
      <c r="EG147">
        <f t="shared" si="136"/>
        <v>2400668.2565451581</v>
      </c>
      <c r="EH147">
        <f t="shared" si="137"/>
        <v>2048167.0876273166</v>
      </c>
      <c r="EI147">
        <f t="shared" si="138"/>
        <v>2607288.2817202033</v>
      </c>
      <c r="EJ147">
        <f t="shared" si="139"/>
        <v>2223661.2399123828</v>
      </c>
      <c r="EK147">
        <f t="shared" si="140"/>
        <v>572206.44202303689</v>
      </c>
      <c r="EL147">
        <f t="shared" si="141"/>
        <v>1331605.0107849902</v>
      </c>
      <c r="EM147">
        <f t="shared" si="142"/>
        <v>1055708.2325378691</v>
      </c>
      <c r="EN147">
        <f t="shared" si="143"/>
        <v>13763.763575251673</v>
      </c>
    </row>
    <row r="148" spans="1:153" x14ac:dyDescent="0.35">
      <c r="B148" s="87">
        <v>0</v>
      </c>
      <c r="C148" s="87">
        <v>0</v>
      </c>
      <c r="D148" s="87">
        <v>0</v>
      </c>
      <c r="E148" s="87">
        <v>0</v>
      </c>
      <c r="F148" s="87">
        <v>0</v>
      </c>
      <c r="G148" s="87">
        <v>0</v>
      </c>
      <c r="H148" s="87">
        <v>0</v>
      </c>
      <c r="I148" s="87">
        <v>0</v>
      </c>
      <c r="J148" s="87">
        <v>0</v>
      </c>
      <c r="K148" s="87">
        <v>0</v>
      </c>
      <c r="L148" s="87">
        <v>0</v>
      </c>
      <c r="M148" s="87">
        <v>0</v>
      </c>
      <c r="N148" s="87">
        <v>0</v>
      </c>
      <c r="O148" s="87">
        <v>0</v>
      </c>
      <c r="P148" s="87">
        <v>0</v>
      </c>
      <c r="Q148" s="87">
        <v>0</v>
      </c>
      <c r="R148" s="87">
        <v>0</v>
      </c>
      <c r="S148" s="87">
        <v>0</v>
      </c>
      <c r="T148" s="87">
        <v>0</v>
      </c>
      <c r="U148" s="87">
        <v>0</v>
      </c>
      <c r="V148" s="87">
        <v>0</v>
      </c>
      <c r="W148" s="87">
        <v>0</v>
      </c>
      <c r="X148" s="87">
        <v>0</v>
      </c>
      <c r="Y148" s="87">
        <v>0</v>
      </c>
      <c r="Z148" s="87">
        <v>0</v>
      </c>
      <c r="AA148" s="87">
        <v>0</v>
      </c>
      <c r="AB148" s="87">
        <v>0</v>
      </c>
      <c r="AC148" s="87">
        <v>0</v>
      </c>
      <c r="AD148" s="87">
        <v>0</v>
      </c>
      <c r="AE148" s="87">
        <v>0</v>
      </c>
      <c r="AF148" s="87">
        <v>0</v>
      </c>
      <c r="AG148" s="87">
        <v>0</v>
      </c>
      <c r="AH148" s="87">
        <v>0</v>
      </c>
      <c r="AI148" s="87">
        <v>0</v>
      </c>
      <c r="AJ148" s="87">
        <v>0</v>
      </c>
      <c r="AK148" s="87">
        <v>0</v>
      </c>
      <c r="AL148" s="87">
        <v>0</v>
      </c>
      <c r="AM148" s="87">
        <v>0</v>
      </c>
      <c r="AN148" s="87">
        <v>0</v>
      </c>
      <c r="AO148" s="87">
        <v>0</v>
      </c>
      <c r="AP148" s="87">
        <v>0</v>
      </c>
      <c r="AQ148" s="87">
        <v>0</v>
      </c>
      <c r="AR148" s="87">
        <v>0</v>
      </c>
      <c r="AS148" s="87">
        <v>0</v>
      </c>
      <c r="AT148" s="87">
        <v>0</v>
      </c>
      <c r="AU148" s="87">
        <v>0</v>
      </c>
      <c r="AV148" s="87">
        <v>0</v>
      </c>
      <c r="AW148" s="87">
        <v>0</v>
      </c>
      <c r="AX148" s="87">
        <v>0</v>
      </c>
      <c r="AY148" s="87">
        <v>0</v>
      </c>
      <c r="AZ148" s="87">
        <v>0</v>
      </c>
      <c r="BA148" s="87">
        <v>0</v>
      </c>
      <c r="BB148" s="87">
        <v>0</v>
      </c>
      <c r="BC148" s="87">
        <v>0</v>
      </c>
      <c r="BD148" s="87">
        <v>0</v>
      </c>
      <c r="BE148" s="87">
        <v>0</v>
      </c>
      <c r="BF148" s="87">
        <v>0</v>
      </c>
      <c r="BG148" s="87">
        <v>0</v>
      </c>
      <c r="BH148" s="87">
        <v>0</v>
      </c>
      <c r="BI148" s="87">
        <v>0</v>
      </c>
      <c r="BJ148" s="87">
        <v>0</v>
      </c>
      <c r="BK148" s="87">
        <v>0</v>
      </c>
      <c r="BL148" s="87">
        <v>0</v>
      </c>
      <c r="BM148" s="87">
        <v>0</v>
      </c>
      <c r="BN148" s="87">
        <v>0</v>
      </c>
      <c r="BO148" s="87">
        <v>0</v>
      </c>
      <c r="BP148" s="87">
        <v>0</v>
      </c>
      <c r="BQ148" s="87">
        <v>0</v>
      </c>
      <c r="BR148" s="87">
        <v>0</v>
      </c>
      <c r="BS148" s="87">
        <v>1</v>
      </c>
      <c r="BW148">
        <f>BW147</f>
        <v>232672.48590733891</v>
      </c>
      <c r="BX148">
        <f t="shared" si="75"/>
        <v>34839.716621068001</v>
      </c>
      <c r="BY148">
        <f t="shared" si="76"/>
        <v>371094.06353103736</v>
      </c>
      <c r="BZ148">
        <f t="shared" si="77"/>
        <v>76179.776535406141</v>
      </c>
      <c r="CA148">
        <f t="shared" si="78"/>
        <v>15011.396028380053</v>
      </c>
      <c r="CB148">
        <f t="shared" si="79"/>
        <v>51551.176130883803</v>
      </c>
      <c r="CC148">
        <f t="shared" si="80"/>
        <v>177768.63125311004</v>
      </c>
      <c r="CD148">
        <f t="shared" si="81"/>
        <v>128259.05724192546</v>
      </c>
      <c r="CE148">
        <f t="shared" si="82"/>
        <v>278847.59643141937</v>
      </c>
      <c r="CF148">
        <f t="shared" si="83"/>
        <v>119292.47302789842</v>
      </c>
      <c r="CG148">
        <f t="shared" si="84"/>
        <v>83770.04231671372</v>
      </c>
      <c r="CH148">
        <f t="shared" si="85"/>
        <v>300092.07254081866</v>
      </c>
      <c r="CI148">
        <f t="shared" si="86"/>
        <v>239004.30542355054</v>
      </c>
      <c r="CJ148">
        <f t="shared" si="87"/>
        <v>373508.54190304613</v>
      </c>
      <c r="CK148">
        <f t="shared" si="88"/>
        <v>335805.16136012977</v>
      </c>
      <c r="CL148">
        <f t="shared" si="89"/>
        <v>78625.343120143414</v>
      </c>
      <c r="CM148">
        <f t="shared" si="90"/>
        <v>243781.44385618682</v>
      </c>
      <c r="CN148">
        <f t="shared" si="91"/>
        <v>548861.54802201549</v>
      </c>
      <c r="CO148">
        <f t="shared" si="92"/>
        <v>143806.93864198707</v>
      </c>
      <c r="CP148">
        <f t="shared" si="93"/>
        <v>465205.04703729611</v>
      </c>
      <c r="CQ148">
        <f t="shared" si="94"/>
        <v>342340.40920507541</v>
      </c>
      <c r="CR148">
        <f t="shared" si="95"/>
        <v>216877.32727484047</v>
      </c>
      <c r="CS148">
        <f t="shared" si="96"/>
        <v>202257.42757550368</v>
      </c>
      <c r="CT148">
        <f t="shared" si="97"/>
        <v>45234.347346962793</v>
      </c>
      <c r="CU148">
        <f t="shared" si="98"/>
        <v>46567.357189394708</v>
      </c>
      <c r="CV148">
        <f t="shared" si="99"/>
        <v>174837.79805898081</v>
      </c>
      <c r="CW148">
        <f t="shared" si="100"/>
        <v>280799.51465892419</v>
      </c>
      <c r="CX148">
        <f t="shared" si="101"/>
        <v>535023.54635062267</v>
      </c>
      <c r="CY148">
        <f t="shared" si="102"/>
        <v>559587.29484140966</v>
      </c>
      <c r="CZ148">
        <f t="shared" si="103"/>
        <v>895036.38006964535</v>
      </c>
      <c r="DA148">
        <f t="shared" si="104"/>
        <v>396678.46605921059</v>
      </c>
      <c r="DB148">
        <f t="shared" si="105"/>
        <v>234239.97799612756</v>
      </c>
      <c r="DC148">
        <f t="shared" si="106"/>
        <v>473059.82230215718</v>
      </c>
      <c r="DD148">
        <f t="shared" si="107"/>
        <v>287782.4716443739</v>
      </c>
      <c r="DE148">
        <f t="shared" si="108"/>
        <v>16054.733336787096</v>
      </c>
      <c r="DF148">
        <f t="shared" si="109"/>
        <v>1286310.0508836138</v>
      </c>
      <c r="DG148">
        <f t="shared" si="110"/>
        <v>893143.98897724436</v>
      </c>
      <c r="DH148">
        <f t="shared" si="111"/>
        <v>1623548.423859294</v>
      </c>
      <c r="DI148">
        <f t="shared" si="112"/>
        <v>722831.67721237696</v>
      </c>
      <c r="DJ148">
        <f t="shared" si="113"/>
        <v>107926.25122295273</v>
      </c>
      <c r="DK148">
        <f t="shared" si="114"/>
        <v>242301.8182004696</v>
      </c>
      <c r="DL148">
        <f t="shared" si="115"/>
        <v>659312.97889831674</v>
      </c>
      <c r="DM148">
        <f t="shared" si="116"/>
        <v>524533.04434630182</v>
      </c>
      <c r="DN148">
        <f t="shared" si="117"/>
        <v>1075349.3540120444</v>
      </c>
      <c r="DO148">
        <f t="shared" si="118"/>
        <v>511028.73918927449</v>
      </c>
      <c r="DP148">
        <f t="shared" si="119"/>
        <v>407559.59327890177</v>
      </c>
      <c r="DQ148">
        <f t="shared" si="120"/>
        <v>1569650.1165033495</v>
      </c>
      <c r="DR148">
        <f t="shared" si="121"/>
        <v>957347.05206124531</v>
      </c>
      <c r="DS148">
        <f t="shared" si="122"/>
        <v>3083124.2803492225</v>
      </c>
      <c r="DT148">
        <f t="shared" si="123"/>
        <v>1424345.6888533481</v>
      </c>
      <c r="DU148">
        <f t="shared" si="124"/>
        <v>286432.00777863746</v>
      </c>
      <c r="DV148">
        <f t="shared" si="125"/>
        <v>821100.50361601345</v>
      </c>
      <c r="DW148">
        <f t="shared" si="126"/>
        <v>2299136.698331038</v>
      </c>
      <c r="DX148">
        <f t="shared" si="127"/>
        <v>293014.52491573431</v>
      </c>
      <c r="DY148">
        <f t="shared" si="128"/>
        <v>1915092.0855130535</v>
      </c>
      <c r="DZ148">
        <f t="shared" si="129"/>
        <v>1424598.8141382507</v>
      </c>
      <c r="EA148">
        <f t="shared" si="130"/>
        <v>893807.36194519117</v>
      </c>
      <c r="EB148">
        <f t="shared" si="131"/>
        <v>873045.10770683433</v>
      </c>
      <c r="EC148">
        <f t="shared" si="132"/>
        <v>172667.98047041756</v>
      </c>
      <c r="ED148">
        <f t="shared" si="133"/>
        <v>158275.61400955019</v>
      </c>
      <c r="EE148">
        <f t="shared" si="134"/>
        <v>339889.57649215817</v>
      </c>
      <c r="EF148">
        <f t="shared" si="135"/>
        <v>1066157.8740950515</v>
      </c>
      <c r="EG148">
        <f t="shared" si="136"/>
        <v>2400668.2565451581</v>
      </c>
      <c r="EH148">
        <f t="shared" si="137"/>
        <v>2048167.0876273166</v>
      </c>
      <c r="EI148">
        <f t="shared" si="138"/>
        <v>2607288.2817202033</v>
      </c>
      <c r="EJ148">
        <f t="shared" si="139"/>
        <v>2223661.2399123828</v>
      </c>
      <c r="EK148">
        <f t="shared" si="140"/>
        <v>572206.44202303689</v>
      </c>
      <c r="EL148">
        <f t="shared" si="141"/>
        <v>1331605.0107849902</v>
      </c>
      <c r="EM148">
        <f t="shared" si="142"/>
        <v>1055708.2325378691</v>
      </c>
      <c r="EN148">
        <f t="shared" si="143"/>
        <v>13763.763575251673</v>
      </c>
    </row>
    <row r="149" spans="1:153" x14ac:dyDescent="0.35">
      <c r="BW149">
        <f t="shared" ref="BW149" si="145">BW148</f>
        <v>232672.48590733891</v>
      </c>
      <c r="BX149">
        <f t="shared" si="75"/>
        <v>34839.716621068001</v>
      </c>
      <c r="BY149">
        <f t="shared" si="76"/>
        <v>371094.06353103736</v>
      </c>
      <c r="BZ149">
        <f t="shared" si="77"/>
        <v>76179.776535406141</v>
      </c>
      <c r="CA149">
        <f t="shared" si="78"/>
        <v>15011.396028380053</v>
      </c>
      <c r="CB149">
        <f t="shared" si="79"/>
        <v>51551.176130883803</v>
      </c>
      <c r="CC149">
        <f t="shared" si="80"/>
        <v>177768.63125311004</v>
      </c>
      <c r="CD149">
        <f t="shared" si="81"/>
        <v>128259.05724192546</v>
      </c>
      <c r="CE149">
        <f t="shared" si="82"/>
        <v>278847.59643141937</v>
      </c>
      <c r="CF149">
        <f t="shared" si="83"/>
        <v>119292.47302789842</v>
      </c>
      <c r="CG149">
        <f t="shared" si="84"/>
        <v>83770.04231671372</v>
      </c>
      <c r="CH149">
        <f t="shared" si="85"/>
        <v>300092.07254081866</v>
      </c>
      <c r="CI149">
        <f t="shared" si="86"/>
        <v>239004.30542355054</v>
      </c>
      <c r="CJ149">
        <f t="shared" si="87"/>
        <v>373508.54190304613</v>
      </c>
      <c r="CK149">
        <f t="shared" si="88"/>
        <v>335805.16136012977</v>
      </c>
      <c r="CL149">
        <f t="shared" si="89"/>
        <v>78625.343120143414</v>
      </c>
      <c r="CM149">
        <f t="shared" si="90"/>
        <v>243781.44385618682</v>
      </c>
      <c r="CN149">
        <f t="shared" si="91"/>
        <v>548861.54802201549</v>
      </c>
      <c r="CO149">
        <f t="shared" si="92"/>
        <v>143806.93864198707</v>
      </c>
      <c r="CP149">
        <f t="shared" si="93"/>
        <v>465205.04703729611</v>
      </c>
      <c r="CQ149">
        <f t="shared" si="94"/>
        <v>342340.40920507541</v>
      </c>
      <c r="CR149">
        <f t="shared" si="95"/>
        <v>216877.32727484047</v>
      </c>
      <c r="CS149">
        <f t="shared" si="96"/>
        <v>202257.42757550368</v>
      </c>
      <c r="CT149">
        <f t="shared" si="97"/>
        <v>45234.347346962793</v>
      </c>
      <c r="CU149">
        <f t="shared" si="98"/>
        <v>46567.357189394708</v>
      </c>
      <c r="CV149">
        <f t="shared" si="99"/>
        <v>174837.79805898081</v>
      </c>
      <c r="CW149">
        <f t="shared" si="100"/>
        <v>280799.51465892419</v>
      </c>
      <c r="CX149">
        <f t="shared" si="101"/>
        <v>535023.54635062267</v>
      </c>
      <c r="CY149">
        <f t="shared" si="102"/>
        <v>559587.29484140966</v>
      </c>
      <c r="CZ149">
        <f t="shared" si="103"/>
        <v>895036.38006964535</v>
      </c>
      <c r="DA149">
        <f t="shared" si="104"/>
        <v>396678.46605921059</v>
      </c>
      <c r="DB149">
        <f t="shared" si="105"/>
        <v>234239.97799612756</v>
      </c>
      <c r="DC149">
        <f t="shared" si="106"/>
        <v>473059.82230215718</v>
      </c>
      <c r="DD149">
        <f t="shared" si="107"/>
        <v>287782.4716443739</v>
      </c>
      <c r="DE149">
        <f t="shared" si="108"/>
        <v>16054.733336787096</v>
      </c>
      <c r="DF149">
        <f t="shared" si="109"/>
        <v>1286310.0508836138</v>
      </c>
      <c r="DG149">
        <f t="shared" si="110"/>
        <v>893143.98897724436</v>
      </c>
      <c r="DH149">
        <f t="shared" si="111"/>
        <v>1623548.423859294</v>
      </c>
      <c r="DI149">
        <f t="shared" si="112"/>
        <v>722831.67721237696</v>
      </c>
      <c r="DJ149">
        <f t="shared" si="113"/>
        <v>107926.25122295273</v>
      </c>
      <c r="DK149">
        <f t="shared" si="114"/>
        <v>242301.8182004696</v>
      </c>
      <c r="DL149">
        <f t="shared" si="115"/>
        <v>659312.97889831674</v>
      </c>
      <c r="DM149">
        <f t="shared" si="116"/>
        <v>524533.04434630182</v>
      </c>
      <c r="DN149">
        <f t="shared" si="117"/>
        <v>1075349.3540120444</v>
      </c>
      <c r="DO149">
        <f t="shared" si="118"/>
        <v>511028.73918927449</v>
      </c>
      <c r="DP149">
        <f t="shared" si="119"/>
        <v>407559.59327890177</v>
      </c>
      <c r="DQ149">
        <f t="shared" si="120"/>
        <v>1569650.1165033495</v>
      </c>
      <c r="DR149">
        <f t="shared" si="121"/>
        <v>957347.05206124531</v>
      </c>
      <c r="DS149">
        <f t="shared" si="122"/>
        <v>3083124.2803492225</v>
      </c>
      <c r="DT149">
        <f t="shared" si="123"/>
        <v>1424345.6888533481</v>
      </c>
      <c r="DU149">
        <f t="shared" si="124"/>
        <v>286432.00777863746</v>
      </c>
      <c r="DV149">
        <f t="shared" si="125"/>
        <v>821100.50361601345</v>
      </c>
      <c r="DW149">
        <f t="shared" si="126"/>
        <v>2299136.698331038</v>
      </c>
      <c r="DX149">
        <f t="shared" si="127"/>
        <v>293014.52491573431</v>
      </c>
      <c r="DY149">
        <f t="shared" si="128"/>
        <v>1915092.0855130535</v>
      </c>
      <c r="DZ149">
        <f t="shared" si="129"/>
        <v>1424598.8141382507</v>
      </c>
      <c r="EA149">
        <f t="shared" si="130"/>
        <v>893807.36194519117</v>
      </c>
      <c r="EB149">
        <f t="shared" si="131"/>
        <v>873045.10770683433</v>
      </c>
      <c r="EC149">
        <f t="shared" si="132"/>
        <v>172667.98047041756</v>
      </c>
      <c r="ED149">
        <f t="shared" si="133"/>
        <v>158275.61400955019</v>
      </c>
      <c r="EE149">
        <f t="shared" si="134"/>
        <v>339889.57649215817</v>
      </c>
      <c r="EF149">
        <f t="shared" si="135"/>
        <v>1066157.8740950515</v>
      </c>
      <c r="EG149">
        <f t="shared" si="136"/>
        <v>2400668.2565451581</v>
      </c>
      <c r="EH149">
        <f t="shared" si="137"/>
        <v>2048167.0876273166</v>
      </c>
      <c r="EI149">
        <f t="shared" si="138"/>
        <v>2607288.2817202033</v>
      </c>
      <c r="EJ149">
        <f t="shared" si="139"/>
        <v>2223661.2399123828</v>
      </c>
      <c r="EK149">
        <f t="shared" si="140"/>
        <v>572206.44202303689</v>
      </c>
      <c r="EL149">
        <f t="shared" si="141"/>
        <v>1331605.0107849902</v>
      </c>
      <c r="EM149">
        <f t="shared" si="142"/>
        <v>1055708.2325378691</v>
      </c>
      <c r="EN149">
        <f t="shared" si="143"/>
        <v>13763.763575251673</v>
      </c>
    </row>
    <row r="151" spans="1:153" x14ac:dyDescent="0.35">
      <c r="B151" s="39">
        <v>1</v>
      </c>
      <c r="C151" s="39">
        <v>2</v>
      </c>
      <c r="D151" s="39">
        <v>3</v>
      </c>
      <c r="E151" s="39">
        <v>4</v>
      </c>
      <c r="F151" s="39">
        <v>5</v>
      </c>
      <c r="G151" s="39">
        <v>6</v>
      </c>
      <c r="H151" s="39">
        <v>7</v>
      </c>
      <c r="I151" s="39">
        <v>8</v>
      </c>
      <c r="J151" s="39">
        <v>9</v>
      </c>
      <c r="K151" s="39">
        <v>10</v>
      </c>
      <c r="L151" s="39">
        <v>11</v>
      </c>
      <c r="M151" s="39">
        <v>12</v>
      </c>
      <c r="N151" s="39">
        <v>13</v>
      </c>
      <c r="O151" s="39">
        <v>14</v>
      </c>
      <c r="P151" s="39">
        <v>15</v>
      </c>
      <c r="Q151" s="39">
        <v>16</v>
      </c>
      <c r="R151" s="39">
        <v>17</v>
      </c>
      <c r="S151" s="39">
        <v>18</v>
      </c>
      <c r="T151" s="39">
        <v>19</v>
      </c>
      <c r="U151" s="39">
        <v>20</v>
      </c>
      <c r="V151" s="39">
        <v>21</v>
      </c>
      <c r="W151" s="39">
        <v>22</v>
      </c>
      <c r="X151" s="39">
        <v>23</v>
      </c>
      <c r="Y151" s="39">
        <v>24</v>
      </c>
      <c r="Z151" s="39">
        <v>25</v>
      </c>
      <c r="AA151" s="39">
        <v>26</v>
      </c>
      <c r="AB151" s="39">
        <v>27</v>
      </c>
      <c r="AC151" s="39">
        <v>28</v>
      </c>
      <c r="AD151" s="39">
        <v>29</v>
      </c>
      <c r="AE151" s="39">
        <v>30</v>
      </c>
      <c r="AF151" s="39">
        <v>31</v>
      </c>
      <c r="AG151" s="39">
        <v>32</v>
      </c>
      <c r="AH151" s="39">
        <v>33</v>
      </c>
      <c r="AI151" s="39">
        <v>34</v>
      </c>
      <c r="AJ151" s="39">
        <v>35</v>
      </c>
      <c r="AK151" s="91">
        <v>1</v>
      </c>
      <c r="AL151" s="91">
        <v>2</v>
      </c>
      <c r="AM151" s="91">
        <v>3</v>
      </c>
      <c r="AN151" s="91">
        <v>4</v>
      </c>
      <c r="AO151" s="91">
        <v>5</v>
      </c>
      <c r="AP151" s="91">
        <v>6</v>
      </c>
      <c r="AQ151" s="91">
        <v>7</v>
      </c>
      <c r="AR151" s="91">
        <v>8</v>
      </c>
      <c r="AS151" s="91">
        <v>9</v>
      </c>
      <c r="AT151" s="91">
        <v>10</v>
      </c>
      <c r="AU151" s="91">
        <v>11</v>
      </c>
      <c r="AV151" s="91">
        <v>12</v>
      </c>
      <c r="AW151" s="91">
        <v>13</v>
      </c>
      <c r="AX151" s="91">
        <v>14</v>
      </c>
      <c r="AY151" s="91">
        <v>15</v>
      </c>
      <c r="AZ151" s="91">
        <v>16</v>
      </c>
      <c r="BA151" s="91">
        <v>17</v>
      </c>
      <c r="BB151" s="91">
        <v>18</v>
      </c>
      <c r="BC151" s="91">
        <v>19</v>
      </c>
      <c r="BD151" s="91">
        <v>20</v>
      </c>
      <c r="BE151" s="91">
        <v>21</v>
      </c>
      <c r="BF151" s="91">
        <v>22</v>
      </c>
      <c r="BG151" s="91">
        <v>23</v>
      </c>
      <c r="BH151" s="91">
        <v>24</v>
      </c>
      <c r="BI151" s="91">
        <v>25</v>
      </c>
      <c r="BJ151" s="91">
        <v>26</v>
      </c>
      <c r="BK151" s="91">
        <v>27</v>
      </c>
      <c r="BL151" s="91">
        <v>28</v>
      </c>
      <c r="BM151" s="91">
        <v>29</v>
      </c>
      <c r="BN151" s="91">
        <v>30</v>
      </c>
      <c r="BO151" s="91">
        <v>31</v>
      </c>
      <c r="BP151" s="91">
        <v>32</v>
      </c>
      <c r="BQ151" s="91">
        <v>33</v>
      </c>
      <c r="BR151" s="91">
        <v>34</v>
      </c>
      <c r="BS151" s="91">
        <v>35</v>
      </c>
      <c r="BU151" t="s">
        <v>74</v>
      </c>
      <c r="BV151" t="s">
        <v>44</v>
      </c>
      <c r="EO151" t="s">
        <v>78</v>
      </c>
      <c r="EP151" t="s">
        <v>75</v>
      </c>
      <c r="EQ151" t="s">
        <v>76</v>
      </c>
      <c r="ES151" t="s">
        <v>77</v>
      </c>
      <c r="EV151" t="s">
        <v>78</v>
      </c>
      <c r="EW151" t="s">
        <v>76</v>
      </c>
    </row>
    <row r="152" spans="1:153" x14ac:dyDescent="0.35">
      <c r="A152" s="39">
        <v>1</v>
      </c>
      <c r="B152" s="87">
        <f>B79-B2</f>
        <v>0.86242339138516033</v>
      </c>
      <c r="C152" s="87">
        <f t="shared" ref="C152:BN153" si="146">C79-C2</f>
        <v>-1.3713847910535198E-3</v>
      </c>
      <c r="D152" s="87">
        <f t="shared" si="146"/>
        <v>-0.20967058614164411</v>
      </c>
      <c r="E152" s="87">
        <f t="shared" si="146"/>
        <v>-1.0526196153905227E-2</v>
      </c>
      <c r="F152" s="87">
        <f t="shared" si="146"/>
        <v>-1.0146607910334494E-2</v>
      </c>
      <c r="G152" s="87">
        <f t="shared" si="146"/>
        <v>-0.13373953573434522</v>
      </c>
      <c r="H152" s="87">
        <f t="shared" si="146"/>
        <v>-1.5377872868045884E-2</v>
      </c>
      <c r="I152" s="87">
        <f t="shared" si="146"/>
        <v>-2.9250866573923953E-4</v>
      </c>
      <c r="J152" s="87">
        <f t="shared" si="146"/>
        <v>-1.8857048270440402E-3</v>
      </c>
      <c r="K152" s="87">
        <f t="shared" si="146"/>
        <v>-8.9724389186063621E-3</v>
      </c>
      <c r="L152" s="87">
        <f t="shared" si="146"/>
        <v>-6.1910122183632442E-4</v>
      </c>
      <c r="M152" s="87">
        <f t="shared" si="146"/>
        <v>-4.3155018665599567E-4</v>
      </c>
      <c r="N152" s="87">
        <f t="shared" si="146"/>
        <v>-3.9005229017100587E-4</v>
      </c>
      <c r="O152" s="87">
        <f t="shared" si="146"/>
        <v>-2.9765084313502311E-4</v>
      </c>
      <c r="P152" s="87">
        <f t="shared" si="146"/>
        <v>-2.8001799502797513E-4</v>
      </c>
      <c r="Q152" s="87">
        <f t="shared" si="146"/>
        <v>-2.399327960193467E-3</v>
      </c>
      <c r="R152" s="87">
        <f t="shared" si="146"/>
        <v>-1.6901973533014765E-3</v>
      </c>
      <c r="S152" s="87">
        <f t="shared" si="146"/>
        <v>-2.4856601254489409E-3</v>
      </c>
      <c r="T152" s="87">
        <f t="shared" si="146"/>
        <v>-6.705990515860833E-4</v>
      </c>
      <c r="U152" s="87">
        <f t="shared" si="146"/>
        <v>-3.9639604753870881E-3</v>
      </c>
      <c r="V152" s="87">
        <f t="shared" si="146"/>
        <v>-4.5786412872234634E-3</v>
      </c>
      <c r="W152" s="87">
        <f t="shared" si="146"/>
        <v>-2.4782231448016938E-2</v>
      </c>
      <c r="X152" s="87">
        <f t="shared" si="146"/>
        <v>-5.3368952922396896E-4</v>
      </c>
      <c r="Y152" s="87">
        <f t="shared" si="146"/>
        <v>-2.458893069227904E-3</v>
      </c>
      <c r="Z152" s="87">
        <f t="shared" si="146"/>
        <v>-8.3567511806688973E-4</v>
      </c>
      <c r="AA152" s="87">
        <f t="shared" si="146"/>
        <v>-9.4286801864246227E-4</v>
      </c>
      <c r="AB152" s="87">
        <f t="shared" si="146"/>
        <v>-2.277857855018996E-4</v>
      </c>
      <c r="AC152" s="87">
        <f t="shared" si="146"/>
        <v>-1.5261352114830676E-4</v>
      </c>
      <c r="AD152" s="87">
        <f t="shared" si="146"/>
        <v>-9.7208083530785192E-4</v>
      </c>
      <c r="AE152" s="87">
        <f t="shared" si="146"/>
        <v>-4.3243321792552243E-4</v>
      </c>
      <c r="AF152" s="87">
        <f t="shared" si="146"/>
        <v>-3.2428421488448706E-3</v>
      </c>
      <c r="AG152" s="87">
        <f t="shared" si="146"/>
        <v>-1.6578041346453538E-3</v>
      </c>
      <c r="AH152" s="87">
        <f t="shared" si="146"/>
        <v>-2.5208571299215792E-3</v>
      </c>
      <c r="AI152" s="87">
        <f t="shared" si="146"/>
        <v>-3.1223579669992247E-3</v>
      </c>
      <c r="AJ152" s="87">
        <f t="shared" si="146"/>
        <v>0</v>
      </c>
      <c r="AK152" s="87">
        <f t="shared" si="146"/>
        <v>-1.7628478949687084E-3</v>
      </c>
      <c r="AL152" s="87">
        <f t="shared" si="146"/>
        <v>-2.3752364139063946E-5</v>
      </c>
      <c r="AM152" s="87">
        <f t="shared" si="146"/>
        <v>-3.0387236851159953E-3</v>
      </c>
      <c r="AN152" s="87">
        <f t="shared" si="146"/>
        <v>-6.721624126743435E-4</v>
      </c>
      <c r="AO152" s="87">
        <f t="shared" si="146"/>
        <v>-7.5232353353130502E-4</v>
      </c>
      <c r="AP152" s="87">
        <f t="shared" si="146"/>
        <v>-3.7144226567178977E-3</v>
      </c>
      <c r="AQ152" s="87">
        <f t="shared" si="146"/>
        <v>-7.4946889004490072E-4</v>
      </c>
      <c r="AR152" s="87">
        <f t="shared" si="146"/>
        <v>-3.1756221030041538E-5</v>
      </c>
      <c r="AS152" s="87">
        <f t="shared" si="146"/>
        <v>-1.8867762366360147E-4</v>
      </c>
      <c r="AT152" s="87">
        <f t="shared" si="146"/>
        <v>-3.6919650772965288E-4</v>
      </c>
      <c r="AU152" s="87">
        <f t="shared" si="146"/>
        <v>-6.975107183077843E-5</v>
      </c>
      <c r="AV152" s="87">
        <f t="shared" si="146"/>
        <v>-1.4590533459567054E-5</v>
      </c>
      <c r="AW152" s="87">
        <f t="shared" si="146"/>
        <v>-1.5971435445043233E-5</v>
      </c>
      <c r="AX152" s="87">
        <f t="shared" si="146"/>
        <v>-7.5671400297445184E-6</v>
      </c>
      <c r="AY152" s="87">
        <f t="shared" si="146"/>
        <v>-1.7387877317200947E-5</v>
      </c>
      <c r="AZ152" s="87">
        <f t="shared" si="146"/>
        <v>-2.5107057836887373E-4</v>
      </c>
      <c r="BA152" s="87">
        <f t="shared" si="146"/>
        <v>-1.4236483301934145E-5</v>
      </c>
      <c r="BB152" s="87">
        <f t="shared" si="146"/>
        <v>-7.2721916578445111E-5</v>
      </c>
      <c r="BC152" s="87">
        <f t="shared" si="146"/>
        <v>-5.6699254586333101E-5</v>
      </c>
      <c r="BD152" s="87">
        <f t="shared" si="146"/>
        <v>-4.5595665499971855E-5</v>
      </c>
      <c r="BE152" s="87">
        <f t="shared" si="146"/>
        <v>-3.6974700950157139E-5</v>
      </c>
      <c r="BF152" s="87">
        <f t="shared" si="146"/>
        <v>-4.6513182071347133E-4</v>
      </c>
      <c r="BG152" s="87">
        <f t="shared" si="146"/>
        <v>-2.8449093290870656E-5</v>
      </c>
      <c r="BH152" s="87">
        <f t="shared" si="146"/>
        <v>-1.2847055964685405E-5</v>
      </c>
      <c r="BI152" s="87">
        <f t="shared" si="146"/>
        <v>-1.88996944262449E-5</v>
      </c>
      <c r="BJ152" s="87">
        <f t="shared" si="146"/>
        <v>-1.6229746825700524E-4</v>
      </c>
      <c r="BK152" s="87">
        <f t="shared" si="146"/>
        <v>-8.8747251947046921E-6</v>
      </c>
      <c r="BL152" s="87">
        <f t="shared" si="146"/>
        <v>-3.0079046005004942E-5</v>
      </c>
      <c r="BM152" s="87">
        <f t="shared" si="146"/>
        <v>-8.9080080683875668E-6</v>
      </c>
      <c r="BN152" s="87">
        <f t="shared" si="146"/>
        <v>-1.9466014201099589E-5</v>
      </c>
      <c r="BO152" s="87">
        <f t="shared" ref="BO152:BS156" si="147">BO79-BO2</f>
        <v>-6.4893226552923303E-5</v>
      </c>
      <c r="BP152" s="87">
        <f t="shared" si="147"/>
        <v>-9.7610214139306692E-5</v>
      </c>
      <c r="BQ152" s="87">
        <f t="shared" si="147"/>
        <v>-7.8214393056533251E-5</v>
      </c>
      <c r="BR152" s="87">
        <f t="shared" si="147"/>
        <v>-3.7452369621366669E-5</v>
      </c>
      <c r="BS152" s="87">
        <f t="shared" si="147"/>
        <v>-4.3718797483454821E-6</v>
      </c>
      <c r="BU152" s="96">
        <v>216479.75712668651</v>
      </c>
      <c r="BV152" s="98">
        <v>581681.21476834721</v>
      </c>
      <c r="BW152">
        <f>B152*BW80</f>
        <v>200662.19437822315</v>
      </c>
      <c r="BX152">
        <f t="shared" ref="BX152:DB160" si="148">C152*BX80</f>
        <v>-47.778657498747179</v>
      </c>
      <c r="BY152">
        <f t="shared" si="148"/>
        <v>-77807.509814237113</v>
      </c>
      <c r="BZ152">
        <f t="shared" si="148"/>
        <v>-801.88327077235181</v>
      </c>
      <c r="CA152">
        <f t="shared" si="148"/>
        <v>-152.31474968672487</v>
      </c>
      <c r="CB152">
        <f t="shared" si="148"/>
        <v>-6894.4303623038586</v>
      </c>
      <c r="CC152">
        <f t="shared" si="148"/>
        <v>-2733.7034113368545</v>
      </c>
      <c r="CD152">
        <f t="shared" si="148"/>
        <v>-37.516885702808366</v>
      </c>
      <c r="CE152">
        <f t="shared" si="148"/>
        <v>-525.82425860035596</v>
      </c>
      <c r="CF152">
        <f t="shared" si="148"/>
        <v>-1070.3444276923155</v>
      </c>
      <c r="CG152">
        <f t="shared" si="148"/>
        <v>-51.862135551558062</v>
      </c>
      <c r="CH152">
        <f t="shared" si="148"/>
        <v>-129.50478991897489</v>
      </c>
      <c r="CI152">
        <f t="shared" si="148"/>
        <v>-93.224176691186443</v>
      </c>
      <c r="CJ152">
        <f t="shared" si="148"/>
        <v>-111.17513241557479</v>
      </c>
      <c r="CK152">
        <f t="shared" si="148"/>
        <v>-94.031488004109207</v>
      </c>
      <c r="CL152">
        <f t="shared" si="148"/>
        <v>-188.64798412796515</v>
      </c>
      <c r="CM152">
        <f t="shared" si="148"/>
        <v>-412.03875118973946</v>
      </c>
      <c r="CN152">
        <f t="shared" si="148"/>
        <v>-1364.283264310503</v>
      </c>
      <c r="CO152">
        <f t="shared" si="148"/>
        <v>-96.436796664814608</v>
      </c>
      <c r="CP152">
        <f t="shared" si="148"/>
        <v>-1844.054419406433</v>
      </c>
      <c r="CQ152">
        <f t="shared" si="148"/>
        <v>-1567.4539318713337</v>
      </c>
      <c r="CR152">
        <f t="shared" si="148"/>
        <v>-5374.7041203524132</v>
      </c>
      <c r="CS152">
        <f t="shared" si="148"/>
        <v>-107.94267130482156</v>
      </c>
      <c r="CT152">
        <f t="shared" si="148"/>
        <v>-111.22642318249444</v>
      </c>
      <c r="CU152">
        <f t="shared" si="148"/>
        <v>-38.915181717310446</v>
      </c>
      <c r="CV152">
        <f t="shared" si="148"/>
        <v>-164.84896823968216</v>
      </c>
      <c r="CW152">
        <f t="shared" si="148"/>
        <v>-63.962138015135217</v>
      </c>
      <c r="CX152">
        <f t="shared" si="148"/>
        <v>-81.651827305822835</v>
      </c>
      <c r="CY152">
        <f t="shared" si="148"/>
        <v>-543.96408499709867</v>
      </c>
      <c r="CZ152">
        <f t="shared" si="148"/>
        <v>-387.04346199392768</v>
      </c>
      <c r="DA152">
        <f t="shared" si="148"/>
        <v>-1286.3656492759376</v>
      </c>
      <c r="DB152">
        <f t="shared" si="148"/>
        <v>-388.32400402121698</v>
      </c>
      <c r="DC152">
        <f>AH152*DC80</f>
        <v>-1192.5162259298281</v>
      </c>
      <c r="DD152">
        <f t="shared" ref="DD152:DL167" si="149">AI152*DD80</f>
        <v>-898.55989310153927</v>
      </c>
      <c r="DE152">
        <f t="shared" si="149"/>
        <v>0</v>
      </c>
      <c r="DF152">
        <f t="shared" si="149"/>
        <v>-2267.5689654772709</v>
      </c>
      <c r="DG152">
        <f t="shared" si="149"/>
        <v>-21.214281254803623</v>
      </c>
      <c r="DH152">
        <f t="shared" si="149"/>
        <v>-4933.5150495139796</v>
      </c>
      <c r="DI152">
        <f t="shared" si="149"/>
        <v>-485.86028411251357</v>
      </c>
      <c r="DJ152">
        <f t="shared" si="149"/>
        <v>-81.195458680839124</v>
      </c>
      <c r="DK152">
        <f t="shared" si="149"/>
        <v>-900.01136328776533</v>
      </c>
      <c r="DL152">
        <f t="shared" si="149"/>
        <v>-494.13456648711849</v>
      </c>
      <c r="DM152">
        <f>AR152*DM80</f>
        <v>-16.657187293821739</v>
      </c>
      <c r="DN152">
        <f t="shared" ref="DN152:EF165" si="150">AS152*DN80</f>
        <v>-202.89436072318145</v>
      </c>
      <c r="DO152">
        <f t="shared" si="150"/>
        <v>-188.67002585816775</v>
      </c>
      <c r="DP152">
        <f t="shared" si="150"/>
        <v>-28.427718466119519</v>
      </c>
      <c r="DQ152">
        <f t="shared" si="150"/>
        <v>-22.902032544655444</v>
      </c>
      <c r="DR152">
        <f t="shared" si="150"/>
        <v>-15.290206640498623</v>
      </c>
      <c r="DS152">
        <f t="shared" si="150"/>
        <v>-23.330433158507862</v>
      </c>
      <c r="DT152">
        <f t="shared" si="150"/>
        <v>-24.766348095066089</v>
      </c>
      <c r="DU152">
        <f t="shared" si="150"/>
        <v>-71.914649856340247</v>
      </c>
      <c r="DV152">
        <f t="shared" si="150"/>
        <v>-11.689583608939094</v>
      </c>
      <c r="DW152">
        <f t="shared" si="150"/>
        <v>-167.19762717847146</v>
      </c>
      <c r="DX152">
        <f t="shared" si="150"/>
        <v>-16.613705145690663</v>
      </c>
      <c r="DY152">
        <f t="shared" si="150"/>
        <v>-87.319898132696679</v>
      </c>
      <c r="DZ152">
        <f t="shared" si="150"/>
        <v>-52.674115126710312</v>
      </c>
      <c r="EA152">
        <f t="shared" si="150"/>
        <v>-415.73824562867145</v>
      </c>
      <c r="EB152">
        <f t="shared" si="150"/>
        <v>-24.837341716289949</v>
      </c>
      <c r="EC152">
        <f t="shared" si="150"/>
        <v>-2.2182752084126611</v>
      </c>
      <c r="ED152">
        <f t="shared" si="150"/>
        <v>-2.991360739906785</v>
      </c>
      <c r="EE152">
        <f t="shared" si="150"/>
        <v>-55.163217751622994</v>
      </c>
      <c r="EF152">
        <f t="shared" si="150"/>
        <v>-9.4618581467641469</v>
      </c>
      <c r="EG152">
        <f>BL152*EG80</f>
        <v>-72.209810931376822</v>
      </c>
      <c r="EH152">
        <f t="shared" ref="EH152:EL167" si="151">BM152*EH80</f>
        <v>-18.245088941990002</v>
      </c>
      <c r="EI152">
        <f t="shared" si="151"/>
        <v>-50.753510718326027</v>
      </c>
      <c r="EJ152">
        <f t="shared" si="151"/>
        <v>-144.3005526185886</v>
      </c>
      <c r="EK152">
        <f t="shared" si="151"/>
        <v>-55.853193337759407</v>
      </c>
      <c r="EL152">
        <f t="shared" si="151"/>
        <v>-104.15067770958642</v>
      </c>
      <c r="EM152">
        <f>BR152*EM80</f>
        <v>-39.538774937327986</v>
      </c>
      <c r="EN152">
        <f t="shared" ref="EN152:EN215" si="152">BS152*EN80</f>
        <v>-6.0173519235657995E-2</v>
      </c>
      <c r="EO152">
        <v>1</v>
      </c>
      <c r="EP152">
        <f t="shared" ref="EP152:EP186" si="153">SUM(BW152:EN152)</f>
        <v>82888.781078253582</v>
      </c>
      <c r="EQ152" s="98">
        <f>BU152</f>
        <v>216479.75712668651</v>
      </c>
      <c r="ES152" s="99">
        <f>(EQ152-EP152)/EQ152</f>
        <v>0.61710608798518707</v>
      </c>
      <c r="ET152">
        <v>2</v>
      </c>
      <c r="EU152">
        <v>4092.6186678131098</v>
      </c>
      <c r="EV152">
        <v>2</v>
      </c>
      <c r="EW152" s="98">
        <v>4092.6186678131098</v>
      </c>
    </row>
    <row r="153" spans="1:153" x14ac:dyDescent="0.35">
      <c r="A153" s="39">
        <v>2</v>
      </c>
      <c r="B153" s="87">
        <f t="shared" ref="B153:Q216" si="154">B80-B3</f>
        <v>-9.3402727631788874E-4</v>
      </c>
      <c r="C153" s="87">
        <f t="shared" si="154"/>
        <v>0.95971338537667927</v>
      </c>
      <c r="D153" s="87">
        <f t="shared" si="154"/>
        <v>-7.2251359133291063E-4</v>
      </c>
      <c r="E153" s="87">
        <f t="shared" si="154"/>
        <v>-3.4887557238456331E-4</v>
      </c>
      <c r="F153" s="87">
        <f t="shared" si="154"/>
        <v>-3.9278516975790531E-4</v>
      </c>
      <c r="G153" s="87">
        <f t="shared" si="154"/>
        <v>-4.4789840121353295E-4</v>
      </c>
      <c r="H153" s="87">
        <f t="shared" si="154"/>
        <v>-1.7580469820811626E-3</v>
      </c>
      <c r="I153" s="87">
        <f t="shared" si="154"/>
        <v>-7.8165544024502986E-2</v>
      </c>
      <c r="J153" s="87">
        <f t="shared" si="154"/>
        <v>-3.9380677950229936E-3</v>
      </c>
      <c r="K153" s="87">
        <f t="shared" si="154"/>
        <v>-7.733280649997238E-4</v>
      </c>
      <c r="L153" s="87">
        <f t="shared" si="154"/>
        <v>-3.4928663554370465E-2</v>
      </c>
      <c r="M153" s="87">
        <f t="shared" si="154"/>
        <v>-6.0151932819110339E-3</v>
      </c>
      <c r="N153" s="87">
        <f t="shared" si="154"/>
        <v>-7.6246998031307789E-4</v>
      </c>
      <c r="O153" s="87">
        <f t="shared" si="154"/>
        <v>-5.0069831382633693E-4</v>
      </c>
      <c r="P153" s="87">
        <f t="shared" si="154"/>
        <v>-4.483769776626306E-4</v>
      </c>
      <c r="Q153" s="87">
        <f t="shared" si="154"/>
        <v>-1.2488504807358298E-3</v>
      </c>
      <c r="R153" s="87">
        <f t="shared" si="146"/>
        <v>-3.089180537309472E-2</v>
      </c>
      <c r="S153" s="87">
        <f t="shared" si="146"/>
        <v>-4.8163877826439012E-3</v>
      </c>
      <c r="T153" s="87">
        <f t="shared" si="146"/>
        <v>-3.2593438551773503E-4</v>
      </c>
      <c r="U153" s="87">
        <f t="shared" si="146"/>
        <v>-5.3975057150920636E-4</v>
      </c>
      <c r="V153" s="87">
        <f t="shared" si="146"/>
        <v>-5.3349790893862236E-4</v>
      </c>
      <c r="W153" s="87">
        <f t="shared" si="146"/>
        <v>-2.7573996660937034E-4</v>
      </c>
      <c r="X153" s="87">
        <f t="shared" si="146"/>
        <v>-3.1801343318717772E-4</v>
      </c>
      <c r="Y153" s="87">
        <f t="shared" si="146"/>
        <v>-1.6589183099281158E-4</v>
      </c>
      <c r="Z153" s="87">
        <f t="shared" si="146"/>
        <v>-2.8817397497841817E-4</v>
      </c>
      <c r="AA153" s="87">
        <f t="shared" si="146"/>
        <v>-4.1057162705639122E-4</v>
      </c>
      <c r="AB153" s="87">
        <f t="shared" si="146"/>
        <v>-1.7670207887223146E-4</v>
      </c>
      <c r="AC153" s="87">
        <f t="shared" si="146"/>
        <v>-1.304717404969081E-4</v>
      </c>
      <c r="AD153" s="87">
        <f t="shared" si="146"/>
        <v>-2.0470157830462517E-4</v>
      </c>
      <c r="AE153" s="87">
        <f t="shared" si="146"/>
        <v>-2.4113081338651528E-4</v>
      </c>
      <c r="AF153" s="87">
        <f t="shared" si="146"/>
        <v>-4.7282716944546465E-4</v>
      </c>
      <c r="AG153" s="87">
        <f t="shared" si="146"/>
        <v>-1.5910918359150904E-4</v>
      </c>
      <c r="AH153" s="87">
        <f t="shared" si="146"/>
        <v>-1.6300305735656372E-4</v>
      </c>
      <c r="AI153" s="87">
        <f t="shared" si="146"/>
        <v>-3.7832541264584755E-4</v>
      </c>
      <c r="AJ153" s="87">
        <f t="shared" si="146"/>
        <v>0</v>
      </c>
      <c r="AK153" s="87">
        <f t="shared" si="146"/>
        <v>-3.1772469289257738E-6</v>
      </c>
      <c r="AL153" s="87">
        <f t="shared" si="146"/>
        <v>-1.0819317561099657E-4</v>
      </c>
      <c r="AM153" s="87">
        <f t="shared" si="146"/>
        <v>-6.7293293908529217E-6</v>
      </c>
      <c r="AN153" s="87">
        <f t="shared" si="146"/>
        <v>-6.32536275026549E-6</v>
      </c>
      <c r="AO153" s="87">
        <f t="shared" si="146"/>
        <v>-3.8638614176441479E-6</v>
      </c>
      <c r="AP153" s="87">
        <f t="shared" si="146"/>
        <v>-6.044742806091125E-6</v>
      </c>
      <c r="AQ153" s="87">
        <f t="shared" si="146"/>
        <v>-1.0976382529881943E-5</v>
      </c>
      <c r="AR153" s="87">
        <f t="shared" si="146"/>
        <v>-2.0064028268911892E-3</v>
      </c>
      <c r="AS153" s="87">
        <f t="shared" si="146"/>
        <v>-1.2309802998671331E-4</v>
      </c>
      <c r="AT153" s="87">
        <f t="shared" si="146"/>
        <v>-1.2419916839298017E-5</v>
      </c>
      <c r="AU153" s="87">
        <f t="shared" si="146"/>
        <v>-1.0991925434700161E-3</v>
      </c>
      <c r="AV153" s="87">
        <f t="shared" si="146"/>
        <v>-3.5923617539957684E-4</v>
      </c>
      <c r="AW153" s="87">
        <f t="shared" si="146"/>
        <v>-3.0033808477370295E-5</v>
      </c>
      <c r="AX153" s="87">
        <f t="shared" si="146"/>
        <v>-1.510109174378312E-5</v>
      </c>
      <c r="AY153" s="87">
        <f t="shared" si="146"/>
        <v>-1.3240484179469445E-5</v>
      </c>
      <c r="AZ153" s="87">
        <f t="shared" si="146"/>
        <v>-7.2784419477704774E-4</v>
      </c>
      <c r="BA153" s="87">
        <f t="shared" si="146"/>
        <v>-2.3054502378580896E-4</v>
      </c>
      <c r="BB153" s="87">
        <f t="shared" si="146"/>
        <v>-4.3767867673956287E-4</v>
      </c>
      <c r="BC153" s="87">
        <f t="shared" si="146"/>
        <v>-5.9730038376456124E-6</v>
      </c>
      <c r="BD153" s="87">
        <f t="shared" si="146"/>
        <v>-4.5366590703240469E-6</v>
      </c>
      <c r="BE153" s="87">
        <f t="shared" si="146"/>
        <v>-4.2214239195496879E-6</v>
      </c>
      <c r="BF153" s="87">
        <f t="shared" si="146"/>
        <v>-7.1444815400437733E-6</v>
      </c>
      <c r="BG153" s="87">
        <f t="shared" si="146"/>
        <v>-1.1346470289301272E-5</v>
      </c>
      <c r="BH153" s="87">
        <f t="shared" si="146"/>
        <v>-3.9558983406070262E-6</v>
      </c>
      <c r="BI153" s="87">
        <f t="shared" si="146"/>
        <v>-7.5872776098336343E-6</v>
      </c>
      <c r="BJ153" s="87">
        <f t="shared" si="146"/>
        <v>-1.6059625049357907E-5</v>
      </c>
      <c r="BK153" s="87">
        <f t="shared" si="146"/>
        <v>-5.848902035241234E-6</v>
      </c>
      <c r="BL153" s="87">
        <f t="shared" si="146"/>
        <v>-5.5061519499223689E-6</v>
      </c>
      <c r="BM153" s="87">
        <f t="shared" si="146"/>
        <v>-6.6429337784863416E-6</v>
      </c>
      <c r="BN153" s="87">
        <f t="shared" si="146"/>
        <v>-6.7070480629353187E-6</v>
      </c>
      <c r="BO153" s="87">
        <f t="shared" si="147"/>
        <v>-1.5431767805354373E-5</v>
      </c>
      <c r="BP153" s="87">
        <f t="shared" si="147"/>
        <v>-5.9406569673475232E-6</v>
      </c>
      <c r="BQ153" s="87">
        <f t="shared" si="147"/>
        <v>-7.0589339425196471E-6</v>
      </c>
      <c r="BR153" s="87">
        <f t="shared" si="147"/>
        <v>-7.5814003171151153E-6</v>
      </c>
      <c r="BS153" s="87">
        <f t="shared" si="147"/>
        <v>-2.1868737959287061E-6</v>
      </c>
      <c r="BU153" s="96">
        <v>4092.6186678131098</v>
      </c>
      <c r="BV153" s="98">
        <v>87099.291552669994</v>
      </c>
      <c r="BW153">
        <f t="shared" ref="BW153:BW216" si="155">B153*BW81</f>
        <v>-217.32244828614412</v>
      </c>
      <c r="BX153">
        <f t="shared" si="148"/>
        <v>33436.142383969331</v>
      </c>
      <c r="BY153">
        <f t="shared" si="148"/>
        <v>-268.12050456413311</v>
      </c>
      <c r="BZ153">
        <f t="shared" si="148"/>
        <v>-26.577263142917943</v>
      </c>
      <c r="CA153">
        <f t="shared" si="148"/>
        <v>-5.8962537373104045</v>
      </c>
      <c r="CB153">
        <f t="shared" si="148"/>
        <v>-23.089689369700096</v>
      </c>
      <c r="CC153">
        <f t="shared" si="148"/>
        <v>-312.52560568322917</v>
      </c>
      <c r="CD153">
        <f t="shared" si="148"/>
        <v>-10025.438985384973</v>
      </c>
      <c r="CE153">
        <f t="shared" si="148"/>
        <v>-1098.1207392261413</v>
      </c>
      <c r="CF153">
        <f t="shared" si="148"/>
        <v>-92.252217335696429</v>
      </c>
      <c r="CG153">
        <f t="shared" si="148"/>
        <v>-2925.9756240158699</v>
      </c>
      <c r="CH153">
        <f t="shared" si="148"/>
        <v>-1805.111818702291</v>
      </c>
      <c r="CI153">
        <f t="shared" si="148"/>
        <v>-182.23360805103545</v>
      </c>
      <c r="CJ153">
        <f t="shared" si="148"/>
        <v>-187.01509713058891</v>
      </c>
      <c r="CK153">
        <f t="shared" si="148"/>
        <v>-150.56730333416698</v>
      </c>
      <c r="CL153">
        <f t="shared" si="148"/>
        <v>-98.191297553610667</v>
      </c>
      <c r="CM153">
        <f t="shared" si="148"/>
        <v>-7530.8489171773408</v>
      </c>
      <c r="CN153">
        <f t="shared" si="148"/>
        <v>-2643.5300542562541</v>
      </c>
      <c r="CO153">
        <f t="shared" si="148"/>
        <v>-46.87162617946268</v>
      </c>
      <c r="CP153">
        <f t="shared" si="148"/>
        <v>-251.09469000734779</v>
      </c>
      <c r="CQ153">
        <f t="shared" si="148"/>
        <v>-182.63789245610005</v>
      </c>
      <c r="CR153">
        <f t="shared" si="148"/>
        <v>-59.801746981093999</v>
      </c>
      <c r="CS153">
        <f t="shared" si="148"/>
        <v>-64.320578930892879</v>
      </c>
      <c r="CT153">
        <f t="shared" si="148"/>
        <v>-7.5040087051524864</v>
      </c>
      <c r="CU153">
        <f t="shared" si="148"/>
        <v>-13.419500425507692</v>
      </c>
      <c r="CV153">
        <f t="shared" si="148"/>
        <v>-71.783439220032506</v>
      </c>
      <c r="CW153">
        <f t="shared" si="148"/>
        <v>-49.617857986545538</v>
      </c>
      <c r="CX153">
        <f t="shared" si="148"/>
        <v>-69.805453299193928</v>
      </c>
      <c r="CY153">
        <f t="shared" si="148"/>
        <v>-114.54840245325219</v>
      </c>
      <c r="CZ153">
        <f t="shared" si="148"/>
        <v>-215.82085033671581</v>
      </c>
      <c r="DA153">
        <f t="shared" si="148"/>
        <v>-187.56035628674536</v>
      </c>
      <c r="DB153">
        <f t="shared" si="148"/>
        <v>-37.269731663456902</v>
      </c>
      <c r="DC153">
        <f t="shared" ref="DC153:DC216" si="156">AH153*DC81</f>
        <v>-77.110197347804373</v>
      </c>
      <c r="DD153">
        <f t="shared" si="149"/>
        <v>-108.87542233709968</v>
      </c>
      <c r="DE153">
        <f t="shared" si="149"/>
        <v>0</v>
      </c>
      <c r="DF153">
        <f t="shared" si="149"/>
        <v>-4.0869246588163177</v>
      </c>
      <c r="DG153">
        <f t="shared" si="149"/>
        <v>-96.632084445320984</v>
      </c>
      <c r="DH153">
        <f t="shared" si="149"/>
        <v>-10.925392126149283</v>
      </c>
      <c r="DI153">
        <f t="shared" si="149"/>
        <v>-4.5721725657510977</v>
      </c>
      <c r="DJ153">
        <f t="shared" si="149"/>
        <v>-0.41701207805133661</v>
      </c>
      <c r="DK153">
        <f t="shared" si="149"/>
        <v>-1.4646521724700883</v>
      </c>
      <c r="DL153">
        <f t="shared" si="149"/>
        <v>-7.2368714633039062</v>
      </c>
      <c r="DM153">
        <f t="shared" ref="DM153:DM216" si="157">AR153*DM81</f>
        <v>-1052.4245829742615</v>
      </c>
      <c r="DN153">
        <f t="shared" si="150"/>
        <v>-132.37338702636742</v>
      </c>
      <c r="DO153">
        <f t="shared" si="150"/>
        <v>-6.3469344432221044</v>
      </c>
      <c r="DP153">
        <f t="shared" si="150"/>
        <v>-447.9864659518413</v>
      </c>
      <c r="DQ153">
        <f t="shared" si="150"/>
        <v>-563.87510456816347</v>
      </c>
      <c r="DR153">
        <f t="shared" si="150"/>
        <v>-28.752778007982492</v>
      </c>
      <c r="DS153">
        <f t="shared" si="150"/>
        <v>-46.558542615038917</v>
      </c>
      <c r="DT153">
        <f t="shared" si="150"/>
        <v>-18.859026559358266</v>
      </c>
      <c r="DU153">
        <f t="shared" si="150"/>
        <v>-208.47787406001547</v>
      </c>
      <c r="DV153">
        <f t="shared" si="150"/>
        <v>-189.30063513669353</v>
      </c>
      <c r="DW153">
        <f t="shared" si="150"/>
        <v>-1006.2831077688962</v>
      </c>
      <c r="DX153">
        <f t="shared" si="150"/>
        <v>-1.7501768818075869</v>
      </c>
      <c r="DY153">
        <f t="shared" si="150"/>
        <v>-8.6881198802485891</v>
      </c>
      <c r="DZ153">
        <f t="shared" si="150"/>
        <v>-6.0138355097653315</v>
      </c>
      <c r="EA153">
        <f t="shared" si="150"/>
        <v>-6.3857901977726419</v>
      </c>
      <c r="EB153">
        <f t="shared" si="150"/>
        <v>-9.9059803758154246</v>
      </c>
      <c r="EC153">
        <f t="shared" si="150"/>
        <v>-0.68305697741889126</v>
      </c>
      <c r="ED153">
        <f t="shared" si="150"/>
        <v>-1.200881022357331</v>
      </c>
      <c r="EE153">
        <f t="shared" si="150"/>
        <v>-5.4584991566491139</v>
      </c>
      <c r="EF153">
        <f t="shared" si="150"/>
        <v>-6.2358529596830143</v>
      </c>
      <c r="EG153">
        <f t="shared" ref="EG153:EG216" si="158">BL153*EG81</f>
        <v>-13.218444201892856</v>
      </c>
      <c r="EH153">
        <f t="shared" si="151"/>
        <v>-13.605838330383497</v>
      </c>
      <c r="EI153">
        <f t="shared" si="151"/>
        <v>-17.487207819425446</v>
      </c>
      <c r="EJ153">
        <f t="shared" si="151"/>
        <v>-34.315023932094292</v>
      </c>
      <c r="EK153">
        <f t="shared" si="151"/>
        <v>-3.3992821865652907</v>
      </c>
      <c r="EL153">
        <f t="shared" si="151"/>
        <v>-9.3997118086594078</v>
      </c>
      <c r="EM153">
        <f t="shared" ref="EM153:EM216" si="159">BR153*EM81</f>
        <v>-8.0037467289436393</v>
      </c>
      <c r="EN153">
        <f t="shared" si="152"/>
        <v>-3.0099613896075884E-2</v>
      </c>
      <c r="EO153">
        <v>2</v>
      </c>
      <c r="EP153">
        <f t="shared" si="153"/>
        <v>312.92810619644825</v>
      </c>
      <c r="EQ153" s="98">
        <f t="shared" ref="EQ153:EQ216" si="160">BU153</f>
        <v>4092.6186678131098</v>
      </c>
      <c r="ES153" s="99">
        <f t="shared" ref="ES153:ES216" si="161">(EQ153-EP153)/EQ153</f>
        <v>0.92353841596396236</v>
      </c>
      <c r="ET153">
        <v>6</v>
      </c>
      <c r="EU153">
        <v>18984.494885408647</v>
      </c>
      <c r="EV153">
        <v>6</v>
      </c>
      <c r="EW153" s="98">
        <v>18984.494885408647</v>
      </c>
    </row>
    <row r="154" spans="1:153" x14ac:dyDescent="0.35">
      <c r="A154" s="39">
        <v>3</v>
      </c>
      <c r="B154" s="87">
        <f t="shared" si="154"/>
        <v>-5.8615153351070967E-2</v>
      </c>
      <c r="C154" s="87">
        <f t="shared" ref="C154:BN157" si="162">C81-C4</f>
        <v>-1.5723099824711906E-3</v>
      </c>
      <c r="D154" s="87">
        <f t="shared" si="162"/>
        <v>0.86496389885849911</v>
      </c>
      <c r="E154" s="87">
        <f t="shared" si="162"/>
        <v>-4.7773790271199721E-3</v>
      </c>
      <c r="F154" s="87">
        <f t="shared" si="162"/>
        <v>-5.4911162910237045E-2</v>
      </c>
      <c r="G154" s="87">
        <f t="shared" si="162"/>
        <v>-1.6898792316822273E-3</v>
      </c>
      <c r="H154" s="87">
        <f t="shared" si="162"/>
        <v>-2.9793394710788813E-3</v>
      </c>
      <c r="I154" s="87">
        <f t="shared" si="162"/>
        <v>-2.0891654741390783E-3</v>
      </c>
      <c r="J154" s="87">
        <f t="shared" si="162"/>
        <v>-1.1410828147422064E-2</v>
      </c>
      <c r="K154" s="87">
        <f t="shared" si="162"/>
        <v>-2.5453286975423623E-3</v>
      </c>
      <c r="L154" s="87">
        <f t="shared" si="162"/>
        <v>-1.7767100205419533E-3</v>
      </c>
      <c r="M154" s="87">
        <f t="shared" si="162"/>
        <v>-1.5477878492963792E-3</v>
      </c>
      <c r="N154" s="87">
        <f t="shared" si="162"/>
        <v>-1.5296070651940042E-3</v>
      </c>
      <c r="O154" s="87">
        <f t="shared" si="162"/>
        <v>-1.3582788537402416E-3</v>
      </c>
      <c r="P154" s="87">
        <f t="shared" si="162"/>
        <v>-1.5182843177549725E-3</v>
      </c>
      <c r="Q154" s="87">
        <f t="shared" si="162"/>
        <v>-3.2876519442508402E-3</v>
      </c>
      <c r="R154" s="87">
        <f t="shared" si="162"/>
        <v>-8.3447852548879239E-4</v>
      </c>
      <c r="S154" s="87">
        <f t="shared" si="162"/>
        <v>-1.162286776024195E-3</v>
      </c>
      <c r="T154" s="87">
        <f t="shared" si="162"/>
        <v>-2.5203277958072471E-3</v>
      </c>
      <c r="U154" s="87">
        <f t="shared" si="162"/>
        <v>-6.2886441722947916E-3</v>
      </c>
      <c r="V154" s="87">
        <f t="shared" si="162"/>
        <v>-1.1072328241569803E-2</v>
      </c>
      <c r="W154" s="87">
        <f t="shared" si="162"/>
        <v>-0.14887415852389582</v>
      </c>
      <c r="X154" s="87">
        <f t="shared" si="162"/>
        <v>-1.316885112548679E-3</v>
      </c>
      <c r="Y154" s="87">
        <f t="shared" si="162"/>
        <v>-7.4634111505880521E-3</v>
      </c>
      <c r="Z154" s="87">
        <f t="shared" si="162"/>
        <v>-2.7799099453963607E-3</v>
      </c>
      <c r="AA154" s="87">
        <f t="shared" si="162"/>
        <v>-1.5496139831813202E-3</v>
      </c>
      <c r="AB154" s="87">
        <f t="shared" si="162"/>
        <v>-1.1149934822701562E-3</v>
      </c>
      <c r="AC154" s="87">
        <f t="shared" si="162"/>
        <v>-7.3752801793228791E-4</v>
      </c>
      <c r="AD154" s="87">
        <f t="shared" si="162"/>
        <v>-4.0683032266052477E-4</v>
      </c>
      <c r="AE154" s="87">
        <f t="shared" si="162"/>
        <v>-1.7148771011379332E-3</v>
      </c>
      <c r="AF154" s="87">
        <f t="shared" si="162"/>
        <v>-3.418668461172726E-3</v>
      </c>
      <c r="AG154" s="87">
        <f t="shared" si="162"/>
        <v>-5.4104174279654849E-3</v>
      </c>
      <c r="AH154" s="87">
        <f t="shared" si="162"/>
        <v>-1.1613325896892276E-2</v>
      </c>
      <c r="AI154" s="87">
        <f t="shared" si="162"/>
        <v>-5.6658631945021515E-3</v>
      </c>
      <c r="AJ154" s="87">
        <f t="shared" si="162"/>
        <v>0</v>
      </c>
      <c r="AK154" s="87">
        <f t="shared" si="162"/>
        <v>-1.0459422303828185E-3</v>
      </c>
      <c r="AL154" s="87">
        <f t="shared" si="162"/>
        <v>-3.0734183964009974E-5</v>
      </c>
      <c r="AM154" s="87">
        <f t="shared" si="162"/>
        <v>-3.1142203992086627E-3</v>
      </c>
      <c r="AN154" s="87">
        <f t="shared" si="162"/>
        <v>-1.2050768702915643E-4</v>
      </c>
      <c r="AO154" s="87">
        <f t="shared" si="162"/>
        <v>-1.4656548837651689E-3</v>
      </c>
      <c r="AP154" s="87">
        <f t="shared" si="162"/>
        <v>-7.5604205325270461E-5</v>
      </c>
      <c r="AQ154" s="87">
        <f t="shared" si="162"/>
        <v>-7.6445301232755432E-5</v>
      </c>
      <c r="AR154" s="87">
        <f t="shared" si="162"/>
        <v>-4.8406213249323789E-5</v>
      </c>
      <c r="AS154" s="87">
        <f t="shared" si="162"/>
        <v>-3.7405038594235719E-4</v>
      </c>
      <c r="AT154" s="87">
        <f t="shared" si="162"/>
        <v>-2.4467342176772257E-4</v>
      </c>
      <c r="AU154" s="87">
        <f t="shared" si="162"/>
        <v>-8.5770891005015754E-5</v>
      </c>
      <c r="AV154" s="87">
        <f t="shared" si="162"/>
        <v>-4.505850877713788E-5</v>
      </c>
      <c r="AW154" s="87">
        <f t="shared" si="162"/>
        <v>-5.6100872041094922E-5</v>
      </c>
      <c r="AX154" s="87">
        <f t="shared" si="162"/>
        <v>-4.6260321546085488E-5</v>
      </c>
      <c r="AY154" s="87">
        <f t="shared" si="162"/>
        <v>-4.4849110443845581E-5</v>
      </c>
      <c r="AZ154" s="87">
        <f t="shared" si="162"/>
        <v>-7.0035265986194919E-5</v>
      </c>
      <c r="BA154" s="87">
        <f t="shared" si="162"/>
        <v>-5.7395624688387866E-5</v>
      </c>
      <c r="BB154" s="87">
        <f t="shared" si="162"/>
        <v>-4.5846280145430204E-5</v>
      </c>
      <c r="BC154" s="87">
        <f t="shared" si="162"/>
        <v>-5.5915705506464592E-5</v>
      </c>
      <c r="BD154" s="87">
        <f t="shared" si="162"/>
        <v>-8.8894616717803053E-5</v>
      </c>
      <c r="BE154" s="87">
        <f t="shared" si="162"/>
        <v>-6.4865591094852071E-5</v>
      </c>
      <c r="BF154" s="87">
        <f t="shared" si="162"/>
        <v>-1.5193847445634599E-3</v>
      </c>
      <c r="BG154" s="87">
        <f t="shared" si="162"/>
        <v>-6.2316727498875816E-5</v>
      </c>
      <c r="BH154" s="87">
        <f t="shared" si="162"/>
        <v>-6.8152493538775909E-5</v>
      </c>
      <c r="BI154" s="87">
        <f t="shared" si="162"/>
        <v>-7.9716149747500607E-5</v>
      </c>
      <c r="BJ154" s="87">
        <f t="shared" si="162"/>
        <v>-1.0738083838762975E-4</v>
      </c>
      <c r="BK154" s="87">
        <f t="shared" si="162"/>
        <v>-2.0405387500100287E-5</v>
      </c>
      <c r="BL154" s="87">
        <f t="shared" si="162"/>
        <v>-5.3526815329612787E-5</v>
      </c>
      <c r="BM154" s="87">
        <f t="shared" si="162"/>
        <v>-1.2206918400248664E-5</v>
      </c>
      <c r="BN154" s="87">
        <f t="shared" si="162"/>
        <v>-3.9567658548144709E-5</v>
      </c>
      <c r="BO154" s="87">
        <f t="shared" si="147"/>
        <v>-1.2501385518772634E-4</v>
      </c>
      <c r="BP154" s="87">
        <f t="shared" si="147"/>
        <v>-2.7768375963303598E-4</v>
      </c>
      <c r="BQ154" s="87">
        <f t="shared" si="147"/>
        <v>-2.3557195249998978E-4</v>
      </c>
      <c r="BR154" s="87">
        <f t="shared" si="147"/>
        <v>-9.8949420879222618E-5</v>
      </c>
      <c r="BS154" s="87">
        <f t="shared" si="147"/>
        <v>-1.4596501767776856E-5</v>
      </c>
      <c r="BU154" s="96">
        <v>597251.75353594788</v>
      </c>
      <c r="BV154" s="98">
        <v>927735.15882759332</v>
      </c>
      <c r="BW154">
        <f t="shared" si="155"/>
        <v>-13638.133442033568</v>
      </c>
      <c r="BX154">
        <f t="shared" si="148"/>
        <v>-54.778834229772677</v>
      </c>
      <c r="BY154">
        <f t="shared" si="148"/>
        <v>320982.96803504962</v>
      </c>
      <c r="BZ154">
        <f t="shared" si="148"/>
        <v>-363.93966671093546</v>
      </c>
      <c r="CA154">
        <f t="shared" si="148"/>
        <v>-824.29321282446244</v>
      </c>
      <c r="CB154">
        <f t="shared" si="148"/>
        <v>-87.1152619123731</v>
      </c>
      <c r="CC154">
        <f t="shared" si="148"/>
        <v>-529.63309981205759</v>
      </c>
      <c r="CD154">
        <f t="shared" si="148"/>
        <v>-267.95439413545841</v>
      </c>
      <c r="CE154">
        <f t="shared" si="148"/>
        <v>-3181.8820022006284</v>
      </c>
      <c r="CF154">
        <f t="shared" si="148"/>
        <v>-303.63855499870806</v>
      </c>
      <c r="CG154">
        <f t="shared" si="148"/>
        <v>-148.83507360532872</v>
      </c>
      <c r="CH154">
        <f t="shared" si="148"/>
        <v>-464.47886354884673</v>
      </c>
      <c r="CI154">
        <f t="shared" si="148"/>
        <v>-365.58267418764854</v>
      </c>
      <c r="CJ154">
        <f t="shared" si="148"/>
        <v>-507.3287541582585</v>
      </c>
      <c r="CK154">
        <f t="shared" si="148"/>
        <v>-509.84771031426305</v>
      </c>
      <c r="CL154">
        <f t="shared" si="148"/>
        <v>-258.49276217632894</v>
      </c>
      <c r="CM154">
        <f t="shared" si="148"/>
        <v>-203.43037981063961</v>
      </c>
      <c r="CN154">
        <f t="shared" si="148"/>
        <v>-637.93451913415731</v>
      </c>
      <c r="CO154">
        <f t="shared" si="148"/>
        <v>-362.44062468934732</v>
      </c>
      <c r="CP154">
        <f t="shared" si="148"/>
        <v>-2925.5090079732167</v>
      </c>
      <c r="CQ154">
        <f t="shared" si="148"/>
        <v>-3790.5053810719196</v>
      </c>
      <c r="CR154">
        <f t="shared" si="148"/>
        <v>-32287.429600953434</v>
      </c>
      <c r="CS154">
        <f t="shared" si="148"/>
        <v>-266.34979527657345</v>
      </c>
      <c r="CT154">
        <f t="shared" si="148"/>
        <v>-337.60253237889521</v>
      </c>
      <c r="CU154">
        <f t="shared" si="148"/>
        <v>-129.45305938162306</v>
      </c>
      <c r="CV154">
        <f t="shared" si="148"/>
        <v>-270.93109666082859</v>
      </c>
      <c r="CW154">
        <f t="shared" si="148"/>
        <v>-313.08962866932364</v>
      </c>
      <c r="CX154">
        <f t="shared" si="148"/>
        <v>-394.59485568707828</v>
      </c>
      <c r="CY154">
        <f t="shared" si="148"/>
        <v>-227.6570797170609</v>
      </c>
      <c r="CZ154">
        <f t="shared" si="148"/>
        <v>-1534.8773928668229</v>
      </c>
      <c r="DA154">
        <f t="shared" si="148"/>
        <v>-1356.112161142999</v>
      </c>
      <c r="DB154">
        <f t="shared" si="148"/>
        <v>-1267.3360592765002</v>
      </c>
      <c r="DC154">
        <f t="shared" si="156"/>
        <v>-5493.7978851209</v>
      </c>
      <c r="DD154">
        <f t="shared" si="149"/>
        <v>-1630.5361141127171</v>
      </c>
      <c r="DE154">
        <f t="shared" si="149"/>
        <v>0</v>
      </c>
      <c r="DF154">
        <f t="shared" si="149"/>
        <v>-1345.4060035850437</v>
      </c>
      <c r="DG154">
        <f t="shared" si="149"/>
        <v>-27.450051663576325</v>
      </c>
      <c r="DH154">
        <f t="shared" si="149"/>
        <v>-5056.0876206856856</v>
      </c>
      <c r="DI154">
        <f t="shared" si="149"/>
        <v>-87.106773532269344</v>
      </c>
      <c r="DJ154">
        <f t="shared" si="149"/>
        <v>-158.18263719138722</v>
      </c>
      <c r="DK154">
        <f t="shared" si="149"/>
        <v>-18.31903641391466</v>
      </c>
      <c r="DL154">
        <f t="shared" si="149"/>
        <v>-50.401379278547147</v>
      </c>
      <c r="DM154">
        <f t="shared" si="157"/>
        <v>-25.390658400944098</v>
      </c>
      <c r="DN154">
        <f t="shared" si="150"/>
        <v>-402.23484089106967</v>
      </c>
      <c r="DO154">
        <f t="shared" si="150"/>
        <v>-125.03515023908486</v>
      </c>
      <c r="DP154">
        <f t="shared" si="150"/>
        <v>-34.956749453173238</v>
      </c>
      <c r="DQ154">
        <f t="shared" si="150"/>
        <v>-70.726093551501663</v>
      </c>
      <c r="DR154">
        <f t="shared" si="150"/>
        <v>-53.708004466607363</v>
      </c>
      <c r="DS154">
        <f t="shared" si="150"/>
        <v>-142.62632057549845</v>
      </c>
      <c r="DT154">
        <f t="shared" si="150"/>
        <v>-63.880637109599121</v>
      </c>
      <c r="DU154">
        <f t="shared" si="150"/>
        <v>-20.060341851736727</v>
      </c>
      <c r="DV154">
        <f t="shared" si="150"/>
        <v>-47.12757633699097</v>
      </c>
      <c r="DW154">
        <f t="shared" si="150"/>
        <v>-105.40686516432422</v>
      </c>
      <c r="DX154">
        <f t="shared" si="150"/>
        <v>-16.384113884304831</v>
      </c>
      <c r="DY154">
        <f t="shared" si="150"/>
        <v>-170.241376920981</v>
      </c>
      <c r="DZ154">
        <f t="shared" si="150"/>
        <v>-92.407444152102926</v>
      </c>
      <c r="EA154">
        <f t="shared" si="150"/>
        <v>-1358.0372703180342</v>
      </c>
      <c r="EB154">
        <f t="shared" si="150"/>
        <v>-54.40531407119348</v>
      </c>
      <c r="EC154">
        <f t="shared" si="150"/>
        <v>-11.767753423363617</v>
      </c>
      <c r="ED154">
        <f t="shared" si="150"/>
        <v>-12.617122547762907</v>
      </c>
      <c r="EE154">
        <f t="shared" si="150"/>
        <v>-36.497627682944355</v>
      </c>
      <c r="EF154">
        <f t="shared" si="150"/>
        <v>-21.75536455719266</v>
      </c>
      <c r="EG154">
        <f t="shared" si="158"/>
        <v>-128.50012643575616</v>
      </c>
      <c r="EH154">
        <f t="shared" si="151"/>
        <v>-25.001808508741608</v>
      </c>
      <c r="EI154">
        <f t="shared" si="151"/>
        <v>-103.16429246768394</v>
      </c>
      <c r="EJ154">
        <f t="shared" si="151"/>
        <v>-277.98846423296663</v>
      </c>
      <c r="EK154">
        <f t="shared" si="151"/>
        <v>-158.8924361071997</v>
      </c>
      <c r="EL154">
        <f t="shared" si="151"/>
        <v>-313.6887923493901</v>
      </c>
      <c r="EM154">
        <f t="shared" si="159"/>
        <v>-104.46171822704983</v>
      </c>
      <c r="EN154">
        <f t="shared" si="152"/>
        <v>-0.20090279935742375</v>
      </c>
      <c r="EO154">
        <v>3</v>
      </c>
      <c r="EP154">
        <f t="shared" si="153"/>
        <v>235327.32788519992</v>
      </c>
      <c r="EQ154" s="98">
        <f t="shared" si="160"/>
        <v>597251.75353594788</v>
      </c>
      <c r="ES154" s="99">
        <f t="shared" si="161"/>
        <v>0.60598302727120279</v>
      </c>
      <c r="ET154">
        <v>5</v>
      </c>
      <c r="EU154">
        <v>26149.767871644268</v>
      </c>
      <c r="EV154">
        <v>5</v>
      </c>
      <c r="EW154" s="98">
        <v>26149.767871644268</v>
      </c>
    </row>
    <row r="155" spans="1:153" x14ac:dyDescent="0.35">
      <c r="A155" s="39">
        <v>4</v>
      </c>
      <c r="B155" s="87">
        <f t="shared" si="154"/>
        <v>-1.241407217995098E-3</v>
      </c>
      <c r="C155" s="87">
        <f t="shared" si="162"/>
        <v>-5.6486507254277247E-4</v>
      </c>
      <c r="D155" s="87">
        <f t="shared" si="162"/>
        <v>-8.7054020674952337E-4</v>
      </c>
      <c r="E155" s="87">
        <f t="shared" si="162"/>
        <v>0.82405141522264913</v>
      </c>
      <c r="F155" s="87">
        <f t="shared" si="162"/>
        <v>-3.0205863603830038E-2</v>
      </c>
      <c r="G155" s="87">
        <f t="shared" si="162"/>
        <v>-1.0152212251106929E-3</v>
      </c>
      <c r="H155" s="87">
        <f t="shared" si="162"/>
        <v>-2.2283806352172077E-3</v>
      </c>
      <c r="I155" s="87">
        <f t="shared" si="162"/>
        <v>-5.1008040202569843E-4</v>
      </c>
      <c r="J155" s="87">
        <f t="shared" si="162"/>
        <v>-2.1629317550414581E-3</v>
      </c>
      <c r="K155" s="87">
        <f t="shared" si="162"/>
        <v>-5.5781007931684336E-3</v>
      </c>
      <c r="L155" s="87">
        <f t="shared" si="162"/>
        <v>-1.4383676358821075E-3</v>
      </c>
      <c r="M155" s="87">
        <f t="shared" si="162"/>
        <v>-9.3748557202947484E-4</v>
      </c>
      <c r="N155" s="87">
        <f t="shared" si="162"/>
        <v>-1.0351288934095798E-3</v>
      </c>
      <c r="O155" s="87">
        <f t="shared" si="162"/>
        <v>-1.1325914441159806E-3</v>
      </c>
      <c r="P155" s="87">
        <f t="shared" si="162"/>
        <v>-3.3314869677131E-3</v>
      </c>
      <c r="Q155" s="87">
        <f t="shared" si="162"/>
        <v>-1.2822594077886123E-2</v>
      </c>
      <c r="R155" s="87">
        <f t="shared" si="162"/>
        <v>-2.3558697219511985E-4</v>
      </c>
      <c r="S155" s="87">
        <f t="shared" si="162"/>
        <v>-1.1030304041981594E-3</v>
      </c>
      <c r="T155" s="87">
        <f t="shared" si="162"/>
        <v>-8.7921211506240468E-4</v>
      </c>
      <c r="U155" s="87">
        <f t="shared" si="162"/>
        <v>-1.4493421063881289E-3</v>
      </c>
      <c r="V155" s="87">
        <f t="shared" si="162"/>
        <v>-2.3508382888690819E-3</v>
      </c>
      <c r="W155" s="87">
        <f t="shared" si="162"/>
        <v>-2.1240998302688241E-3</v>
      </c>
      <c r="X155" s="87">
        <f t="shared" si="162"/>
        <v>-6.2146554057623446E-4</v>
      </c>
      <c r="Y155" s="87">
        <f t="shared" si="162"/>
        <v>-4.2012363490106347E-4</v>
      </c>
      <c r="Z155" s="87">
        <f t="shared" si="162"/>
        <v>-6.2938727243237399E-4</v>
      </c>
      <c r="AA155" s="87">
        <f t="shared" si="162"/>
        <v>-3.8308449541320282E-4</v>
      </c>
      <c r="AB155" s="87">
        <f t="shared" si="162"/>
        <v>-4.3964050748108313E-4</v>
      </c>
      <c r="AC155" s="87">
        <f t="shared" si="162"/>
        <v>-1.3850502405170781E-4</v>
      </c>
      <c r="AD155" s="87">
        <f t="shared" si="162"/>
        <v>-2.1550031837677281E-4</v>
      </c>
      <c r="AE155" s="87">
        <f t="shared" si="162"/>
        <v>-4.2044212501331083E-4</v>
      </c>
      <c r="AF155" s="87">
        <f t="shared" si="162"/>
        <v>-9.4298369323300875E-4</v>
      </c>
      <c r="AG155" s="87">
        <f t="shared" si="162"/>
        <v>-4.4070397933657898E-4</v>
      </c>
      <c r="AH155" s="87">
        <f t="shared" si="162"/>
        <v>-1.6822091187905705E-3</v>
      </c>
      <c r="AI155" s="87">
        <f t="shared" si="162"/>
        <v>-1.8598332673282186E-3</v>
      </c>
      <c r="AJ155" s="87">
        <f t="shared" si="162"/>
        <v>0</v>
      </c>
      <c r="AK155" s="87">
        <f t="shared" si="162"/>
        <v>-4.4983877284555676E-5</v>
      </c>
      <c r="AL155" s="87">
        <f t="shared" si="162"/>
        <v>-1.8561752799420942E-5</v>
      </c>
      <c r="AM155" s="87">
        <f t="shared" si="162"/>
        <v>-3.1655965969496965E-5</v>
      </c>
      <c r="AN155" s="87">
        <f t="shared" si="162"/>
        <v>-6.3869972207090293E-3</v>
      </c>
      <c r="AO155" s="87">
        <f t="shared" si="162"/>
        <v>-9.0182059086854063E-4</v>
      </c>
      <c r="AP155" s="87">
        <f t="shared" si="162"/>
        <v>-5.8214138588082005E-5</v>
      </c>
      <c r="AQ155" s="87">
        <f t="shared" si="162"/>
        <v>-1.4025274792336476E-4</v>
      </c>
      <c r="AR155" s="87">
        <f t="shared" si="162"/>
        <v>-9.4963995700158295E-6</v>
      </c>
      <c r="AS155" s="87">
        <f t="shared" si="162"/>
        <v>-6.0567272237006245E-5</v>
      </c>
      <c r="AT155" s="87">
        <f t="shared" si="162"/>
        <v>-4.660064114252696E-4</v>
      </c>
      <c r="AU155" s="87">
        <f t="shared" si="162"/>
        <v>-5.8145612123269593E-5</v>
      </c>
      <c r="AV155" s="87">
        <f t="shared" si="162"/>
        <v>-3.0786185042767546E-5</v>
      </c>
      <c r="AW155" s="87">
        <f t="shared" si="162"/>
        <v>-3.2367074917284287E-5</v>
      </c>
      <c r="AX155" s="87">
        <f t="shared" si="162"/>
        <v>-2.9969737444883218E-5</v>
      </c>
      <c r="AY155" s="87">
        <f t="shared" si="162"/>
        <v>-9.9940902912083894E-5</v>
      </c>
      <c r="AZ155" s="87">
        <f t="shared" si="162"/>
        <v>-6.3814358026324965E-4</v>
      </c>
      <c r="BA155" s="87">
        <f t="shared" si="162"/>
        <v>-2.0634140153122234E-5</v>
      </c>
      <c r="BB155" s="87">
        <f t="shared" si="162"/>
        <v>-3.7337127747170195E-5</v>
      </c>
      <c r="BC155" s="87">
        <f t="shared" si="162"/>
        <v>-1.4282131776773477E-4</v>
      </c>
      <c r="BD155" s="87">
        <f t="shared" si="162"/>
        <v>-4.8273456116068197E-5</v>
      </c>
      <c r="BE155" s="87">
        <f t="shared" si="162"/>
        <v>-5.520434345524317E-5</v>
      </c>
      <c r="BF155" s="87">
        <f t="shared" si="162"/>
        <v>-4.6179373471008947E-5</v>
      </c>
      <c r="BG155" s="87">
        <f t="shared" si="162"/>
        <v>-5.6718397894449087E-5</v>
      </c>
      <c r="BH155" s="87">
        <f t="shared" si="162"/>
        <v>-2.7671023664139373E-5</v>
      </c>
      <c r="BI155" s="87">
        <f t="shared" si="162"/>
        <v>-9.2789263390744323E-5</v>
      </c>
      <c r="BJ155" s="87">
        <f t="shared" si="162"/>
        <v>-1.5810214394205852E-4</v>
      </c>
      <c r="BK155" s="87">
        <f t="shared" si="162"/>
        <v>-1.1865117094328568E-5</v>
      </c>
      <c r="BL155" s="87">
        <f t="shared" si="162"/>
        <v>-1.7958870378659316E-5</v>
      </c>
      <c r="BM155" s="87">
        <f t="shared" si="162"/>
        <v>-3.1322905774989276E-5</v>
      </c>
      <c r="BN155" s="87">
        <f t="shared" si="162"/>
        <v>-1.9892056200603963E-5</v>
      </c>
      <c r="BO155" s="87">
        <f t="shared" si="147"/>
        <v>-5.1795068980243312E-5</v>
      </c>
      <c r="BP155" s="87">
        <f t="shared" si="147"/>
        <v>-3.0915047343512646E-5</v>
      </c>
      <c r="BQ155" s="87">
        <f t="shared" si="147"/>
        <v>-6.2046733866202177E-5</v>
      </c>
      <c r="BR155" s="87">
        <f t="shared" si="147"/>
        <v>-4.6301318751647746E-5</v>
      </c>
      <c r="BS155" s="87">
        <f t="shared" si="147"/>
        <v>-4.9625843269454292E-6</v>
      </c>
      <c r="BU155" s="96">
        <v>116939.75973298564</v>
      </c>
      <c r="BV155" s="98">
        <v>190449.44133851535</v>
      </c>
      <c r="BW155">
        <f t="shared" si="155"/>
        <v>-288.84130343423323</v>
      </c>
      <c r="BX155">
        <f t="shared" si="148"/>
        <v>-19.679739056529211</v>
      </c>
      <c r="BY155">
        <f t="shared" si="148"/>
        <v>-323.05230278983004</v>
      </c>
      <c r="BZ155">
        <f t="shared" si="148"/>
        <v>62776.052665346586</v>
      </c>
      <c r="CA155">
        <f t="shared" si="148"/>
        <v>-453.43218093632385</v>
      </c>
      <c r="CB155">
        <f t="shared" si="148"/>
        <v>-52.335848187492964</v>
      </c>
      <c r="CC155">
        <f t="shared" si="148"/>
        <v>-396.13617543349892</v>
      </c>
      <c r="CD155">
        <f t="shared" si="148"/>
        <v>-65.422431481398405</v>
      </c>
      <c r="CE155">
        <f t="shared" si="148"/>
        <v>-603.12832113850209</v>
      </c>
      <c r="CF155">
        <f t="shared" si="148"/>
        <v>-665.4254384159442</v>
      </c>
      <c r="CG155">
        <f t="shared" si="148"/>
        <v>-120.49211772483561</v>
      </c>
      <c r="CH155">
        <f t="shared" si="148"/>
        <v>-281.33198828744003</v>
      </c>
      <c r="CI155">
        <f t="shared" si="148"/>
        <v>-247.40026219320509</v>
      </c>
      <c r="CJ155">
        <f t="shared" si="148"/>
        <v>-423.03257886362525</v>
      </c>
      <c r="CK155">
        <f t="shared" si="148"/>
        <v>-1118.730518762067</v>
      </c>
      <c r="CL155">
        <f t="shared" si="148"/>
        <v>-1008.1808590641153</v>
      </c>
      <c r="CM155">
        <f t="shared" si="148"/>
        <v>-57.431732235433657</v>
      </c>
      <c r="CN155">
        <f t="shared" si="148"/>
        <v>-605.41097516355126</v>
      </c>
      <c r="CO155">
        <f t="shared" si="148"/>
        <v>-126.43680268407091</v>
      </c>
      <c r="CP155">
        <f t="shared" si="148"/>
        <v>-674.24126277542337</v>
      </c>
      <c r="CQ155">
        <f t="shared" si="148"/>
        <v>-804.7869417864008</v>
      </c>
      <c r="CR155">
        <f t="shared" si="148"/>
        <v>-460.66909405364487</v>
      </c>
      <c r="CS155">
        <f t="shared" si="148"/>
        <v>-125.69602156376898</v>
      </c>
      <c r="CT155">
        <f t="shared" si="148"/>
        <v>-19.004018429783287</v>
      </c>
      <c r="CU155">
        <f t="shared" si="148"/>
        <v>-29.308901925817239</v>
      </c>
      <c r="CV155">
        <f t="shared" si="148"/>
        <v>-66.977649648580112</v>
      </c>
      <c r="CW155">
        <f t="shared" si="148"/>
        <v>-123.45084112509127</v>
      </c>
      <c r="CX155">
        <f t="shared" si="148"/>
        <v>-74.103449155523009</v>
      </c>
      <c r="CY155">
        <f t="shared" si="148"/>
        <v>-120.59124019792083</v>
      </c>
      <c r="CZ155">
        <f t="shared" si="148"/>
        <v>-376.31099760070305</v>
      </c>
      <c r="DA155">
        <f t="shared" si="148"/>
        <v>-374.06132495051912</v>
      </c>
      <c r="DB155">
        <f t="shared" si="148"/>
        <v>-103.23049042260611</v>
      </c>
      <c r="DC155">
        <f t="shared" si="156"/>
        <v>-795.78554681013566</v>
      </c>
      <c r="DD155">
        <f t="shared" si="149"/>
        <v>-535.22741451814636</v>
      </c>
      <c r="DE155">
        <f t="shared" si="149"/>
        <v>0</v>
      </c>
      <c r="DF155">
        <f t="shared" si="149"/>
        <v>-57.86321347883905</v>
      </c>
      <c r="DG155">
        <f t="shared" si="149"/>
        <v>-16.578317937684353</v>
      </c>
      <c r="DH155">
        <f t="shared" si="149"/>
        <v>-51.394993655520246</v>
      </c>
      <c r="DI155">
        <f t="shared" si="149"/>
        <v>-4616.7239133958983</v>
      </c>
      <c r="DJ155">
        <f t="shared" si="149"/>
        <v>-97.330115648109796</v>
      </c>
      <c r="DK155">
        <f t="shared" si="149"/>
        <v>-14.105391624866387</v>
      </c>
      <c r="DL155">
        <f t="shared" si="149"/>
        <v>-92.470457032028321</v>
      </c>
      <c r="DM155">
        <f t="shared" si="157"/>
        <v>-4.9811753767893148</v>
      </c>
      <c r="DN155">
        <f t="shared" si="150"/>
        <v>-65.1309770743363</v>
      </c>
      <c r="DO155">
        <f t="shared" si="150"/>
        <v>-238.14266888477385</v>
      </c>
      <c r="DP155">
        <f t="shared" si="150"/>
        <v>-23.697802027912534</v>
      </c>
      <c r="DQ155">
        <f t="shared" si="150"/>
        <v>-48.323538939073757</v>
      </c>
      <c r="DR155">
        <f t="shared" si="150"/>
        <v>-30.986523755907587</v>
      </c>
      <c r="DS155">
        <f t="shared" si="150"/>
        <v>-92.400425192010715</v>
      </c>
      <c r="DT155">
        <f t="shared" si="150"/>
        <v>-142.35039420293774</v>
      </c>
      <c r="DU155">
        <f t="shared" si="150"/>
        <v>-182.78474694585069</v>
      </c>
      <c r="DV155">
        <f t="shared" si="150"/>
        <v>-16.94270287141207</v>
      </c>
      <c r="DW155">
        <f t="shared" si="150"/>
        <v>-85.843160613793074</v>
      </c>
      <c r="DX155">
        <f t="shared" si="150"/>
        <v>-41.848720573551923</v>
      </c>
      <c r="DY155">
        <f t="shared" si="150"/>
        <v>-92.448113748243912</v>
      </c>
      <c r="DZ155">
        <f t="shared" si="150"/>
        <v>-78.644042221620126</v>
      </c>
      <c r="EA155">
        <f t="shared" si="150"/>
        <v>-41.275463978404254</v>
      </c>
      <c r="EB155">
        <f t="shared" si="150"/>
        <v>-49.517719798718389</v>
      </c>
      <c r="EC155">
        <f t="shared" si="150"/>
        <v>-4.7778997736360793</v>
      </c>
      <c r="ED155">
        <f t="shared" si="150"/>
        <v>-14.686277636663934</v>
      </c>
      <c r="EE155">
        <f t="shared" si="150"/>
        <v>-53.737270746968498</v>
      </c>
      <c r="EF155">
        <f t="shared" si="150"/>
        <v>-12.6500880171782</v>
      </c>
      <c r="EG155">
        <f t="shared" si="158"/>
        <v>-43.113290041456544</v>
      </c>
      <c r="EH155">
        <f t="shared" si="151"/>
        <v>-64.154544697184647</v>
      </c>
      <c r="EI155">
        <f t="shared" si="151"/>
        <v>-51.864325031154422</v>
      </c>
      <c r="EJ155">
        <f t="shared" si="151"/>
        <v>-115.17468730995525</v>
      </c>
      <c r="EK155">
        <f t="shared" si="151"/>
        <v>-17.689789245405109</v>
      </c>
      <c r="EL155">
        <f t="shared" si="151"/>
        <v>-82.621741719077562</v>
      </c>
      <c r="EM155">
        <f t="shared" si="159"/>
        <v>-48.88068338347454</v>
      </c>
      <c r="EN155">
        <f t="shared" si="152"/>
        <v>-6.8303837398326336E-2</v>
      </c>
      <c r="EO155">
        <v>4</v>
      </c>
      <c r="EP155">
        <f t="shared" si="153"/>
        <v>44545.502414112576</v>
      </c>
      <c r="EQ155" s="98">
        <f t="shared" si="160"/>
        <v>116939.75973298564</v>
      </c>
      <c r="ES155" s="99">
        <f t="shared" si="161"/>
        <v>0.61907308073981393</v>
      </c>
      <c r="ET155">
        <v>11</v>
      </c>
      <c r="EU155">
        <v>27881.323686277748</v>
      </c>
      <c r="EV155">
        <v>11</v>
      </c>
      <c r="EW155" s="98">
        <v>27881.323686277748</v>
      </c>
    </row>
    <row r="156" spans="1:153" x14ac:dyDescent="0.35">
      <c r="A156" s="39">
        <v>5</v>
      </c>
      <c r="B156" s="87">
        <f t="shared" si="154"/>
        <v>-1.3339426555081187E-4</v>
      </c>
      <c r="C156" s="87">
        <f t="shared" si="162"/>
        <v>-1.1312189913119296E-4</v>
      </c>
      <c r="D156" s="87">
        <f t="shared" si="162"/>
        <v>-1.5015191844976026E-4</v>
      </c>
      <c r="E156" s="87">
        <f t="shared" si="162"/>
        <v>-3.2482107005154274E-3</v>
      </c>
      <c r="F156" s="87">
        <f t="shared" si="162"/>
        <v>0.86678117054442805</v>
      </c>
      <c r="G156" s="87">
        <f t="shared" si="162"/>
        <v>-2.65704876704179E-4</v>
      </c>
      <c r="H156" s="87">
        <f t="shared" si="162"/>
        <v>-1.223341295355603E-4</v>
      </c>
      <c r="I156" s="87">
        <f t="shared" si="162"/>
        <v>-6.520158004835329E-5</v>
      </c>
      <c r="J156" s="87">
        <f t="shared" si="162"/>
        <v>-1.187794144651549E-4</v>
      </c>
      <c r="K156" s="87">
        <f t="shared" si="162"/>
        <v>-1.9494373240654814E-4</v>
      </c>
      <c r="L156" s="87">
        <f t="shared" si="162"/>
        <v>-1.6177829591644985E-4</v>
      </c>
      <c r="M156" s="87">
        <f t="shared" si="162"/>
        <v>-1.6001623884961841E-4</v>
      </c>
      <c r="N156" s="87">
        <f t="shared" si="162"/>
        <v>-1.7224547957178283E-4</v>
      </c>
      <c r="O156" s="87">
        <f t="shared" si="162"/>
        <v>-1.5684260406603027E-4</v>
      </c>
      <c r="P156" s="87">
        <f t="shared" si="162"/>
        <v>-4.5503772276584244E-4</v>
      </c>
      <c r="Q156" s="87">
        <f t="shared" si="162"/>
        <v>-3.1893370346342317E-3</v>
      </c>
      <c r="R156" s="87">
        <f t="shared" si="162"/>
        <v>-4.7076318604777436E-5</v>
      </c>
      <c r="S156" s="87">
        <f t="shared" si="162"/>
        <v>-1.2676775696215348E-4</v>
      </c>
      <c r="T156" s="87">
        <f t="shared" si="162"/>
        <v>-3.3448289646538374E-4</v>
      </c>
      <c r="U156" s="87">
        <f t="shared" si="162"/>
        <v>-6.5704883841682547E-4</v>
      </c>
      <c r="V156" s="87">
        <f t="shared" si="162"/>
        <v>-3.6641246422424551E-4</v>
      </c>
      <c r="W156" s="87">
        <f t="shared" si="162"/>
        <v>-1.6675701146081579E-4</v>
      </c>
      <c r="X156" s="87">
        <f t="shared" si="162"/>
        <v>-1.0040067144012408E-4</v>
      </c>
      <c r="Y156" s="87">
        <f t="shared" si="162"/>
        <v>-3.5175913605811576E-5</v>
      </c>
      <c r="Z156" s="87">
        <f t="shared" si="162"/>
        <v>-5.7603591970003233E-5</v>
      </c>
      <c r="AA156" s="87">
        <f t="shared" si="162"/>
        <v>-6.1547688143985546E-5</v>
      </c>
      <c r="AB156" s="87">
        <f t="shared" si="162"/>
        <v>-6.1246438461102891E-5</v>
      </c>
      <c r="AC156" s="87">
        <f t="shared" si="162"/>
        <v>-1.7641387007440769E-5</v>
      </c>
      <c r="AD156" s="87">
        <f t="shared" si="162"/>
        <v>-8.8872382079724104E-6</v>
      </c>
      <c r="AE156" s="87">
        <f t="shared" si="162"/>
        <v>-5.1478004653508309E-5</v>
      </c>
      <c r="AF156" s="87">
        <f t="shared" si="162"/>
        <v>-1.3369640769589534E-4</v>
      </c>
      <c r="AG156" s="87">
        <f t="shared" si="162"/>
        <v>-4.2339575872516417E-5</v>
      </c>
      <c r="AH156" s="87">
        <f t="shared" si="162"/>
        <v>-1.0519981343888173E-4</v>
      </c>
      <c r="AI156" s="87">
        <f t="shared" si="162"/>
        <v>-1.6691322175126138E-4</v>
      </c>
      <c r="AJ156" s="87">
        <f t="shared" si="162"/>
        <v>0</v>
      </c>
      <c r="AK156" s="87">
        <f t="shared" si="162"/>
        <v>-3.191023642066019E-6</v>
      </c>
      <c r="AL156" s="87">
        <f t="shared" si="162"/>
        <v>-7.0700663374746612E-7</v>
      </c>
      <c r="AM156" s="87">
        <f t="shared" si="162"/>
        <v>-2.131562044047101E-6</v>
      </c>
      <c r="AN156" s="87">
        <f t="shared" si="162"/>
        <v>-2.4283814912096966E-4</v>
      </c>
      <c r="AO156" s="87">
        <f t="shared" si="162"/>
        <v>-3.7583393437781209E-3</v>
      </c>
      <c r="AP156" s="87">
        <f t="shared" si="162"/>
        <v>-3.508219171061439E-6</v>
      </c>
      <c r="AQ156" s="87">
        <f t="shared" si="162"/>
        <v>-5.0270887989134797E-5</v>
      </c>
      <c r="AR156" s="87">
        <f t="shared" si="162"/>
        <v>-9.2330288476394865E-7</v>
      </c>
      <c r="AS156" s="87">
        <f t="shared" si="162"/>
        <v>-4.0310923243479848E-6</v>
      </c>
      <c r="AT156" s="87">
        <f t="shared" si="162"/>
        <v>-1.9056381747451635E-5</v>
      </c>
      <c r="AU156" s="87">
        <f t="shared" si="162"/>
        <v>-3.5813838720986561E-6</v>
      </c>
      <c r="AV156" s="87">
        <f t="shared" si="162"/>
        <v>-2.7427856622003789E-6</v>
      </c>
      <c r="AW156" s="87">
        <f t="shared" si="162"/>
        <v>-3.1961899678046929E-6</v>
      </c>
      <c r="AX156" s="87">
        <f t="shared" si="162"/>
        <v>-4.6436228973870359E-6</v>
      </c>
      <c r="AY156" s="87">
        <f t="shared" si="162"/>
        <v>-9.5794730481319379E-5</v>
      </c>
      <c r="AZ156" s="87">
        <f t="shared" si="162"/>
        <v>-1.3938232705413631E-4</v>
      </c>
      <c r="BA156" s="87">
        <f t="shared" si="162"/>
        <v>-1.2143866779532071E-6</v>
      </c>
      <c r="BB156" s="87">
        <f t="shared" si="162"/>
        <v>-1.4275458455872476E-6</v>
      </c>
      <c r="BC156" s="87">
        <f t="shared" si="162"/>
        <v>-5.3853153261665011E-6</v>
      </c>
      <c r="BD156" s="87">
        <f t="shared" si="162"/>
        <v>-3.8688635540059674E-6</v>
      </c>
      <c r="BE156" s="87">
        <f t="shared" si="162"/>
        <v>-4.4498285014976599E-6</v>
      </c>
      <c r="BF156" s="87">
        <f t="shared" si="162"/>
        <v>-1.358515586465823E-6</v>
      </c>
      <c r="BG156" s="87">
        <f t="shared" si="162"/>
        <v>-3.5029321861314443E-6</v>
      </c>
      <c r="BH156" s="87">
        <f t="shared" si="162"/>
        <v>-2.695787118973839E-6</v>
      </c>
      <c r="BI156" s="87">
        <f t="shared" si="162"/>
        <v>-8.9223338077164607E-6</v>
      </c>
      <c r="BJ156" s="87">
        <f t="shared" si="162"/>
        <v>-1.7496020194365779E-5</v>
      </c>
      <c r="BK156" s="87">
        <f t="shared" si="162"/>
        <v>-5.406647789711232E-6</v>
      </c>
      <c r="BL156" s="87">
        <f t="shared" si="162"/>
        <v>-1.5463325864156733E-6</v>
      </c>
      <c r="BM156" s="87">
        <f t="shared" si="162"/>
        <v>-3.2328123165049196E-7</v>
      </c>
      <c r="BN156" s="87">
        <f t="shared" si="162"/>
        <v>-2.8302397004656403E-6</v>
      </c>
      <c r="BO156" s="87">
        <f t="shared" si="147"/>
        <v>-4.422098793841551E-5</v>
      </c>
      <c r="BP156" s="87">
        <f t="shared" si="147"/>
        <v>-3.0634824323389646E-6</v>
      </c>
      <c r="BQ156" s="87">
        <f t="shared" si="147"/>
        <v>-1.4018141165514974E-5</v>
      </c>
      <c r="BR156" s="87">
        <f t="shared" si="147"/>
        <v>-1.1383338993224487E-5</v>
      </c>
      <c r="BS156" s="87">
        <f t="shared" si="147"/>
        <v>-1.4667646212137224E-7</v>
      </c>
      <c r="BU156" s="96">
        <v>26149.767871644268</v>
      </c>
      <c r="BV156" s="98">
        <v>37528.490070950131</v>
      </c>
      <c r="BW156">
        <f t="shared" si="155"/>
        <v>-31.037175371491099</v>
      </c>
      <c r="BX156">
        <f t="shared" si="148"/>
        <v>-3.9411349093678014</v>
      </c>
      <c r="BY156">
        <f t="shared" si="148"/>
        <v>-55.720485564502475</v>
      </c>
      <c r="BZ156">
        <f t="shared" si="148"/>
        <v>-247.4479653051803</v>
      </c>
      <c r="CA156">
        <f t="shared" si="148"/>
        <v>13011.595420985241</v>
      </c>
      <c r="CB156">
        <f t="shared" si="148"/>
        <v>-13.697398897811896</v>
      </c>
      <c r="CC156">
        <f t="shared" si="148"/>
        <v>-21.747170763077214</v>
      </c>
      <c r="CD156">
        <f t="shared" si="148"/>
        <v>-8.3626931876857302</v>
      </c>
      <c r="CE156">
        <f t="shared" si="148"/>
        <v>-33.121354229139811</v>
      </c>
      <c r="CF156">
        <f t="shared" si="148"/>
        <v>-23.255319940065991</v>
      </c>
      <c r="CG156">
        <f t="shared" si="148"/>
        <v>-13.552174694846839</v>
      </c>
      <c r="CH156">
        <f t="shared" si="148"/>
        <v>-48.019604756568654</v>
      </c>
      <c r="CI156">
        <f t="shared" si="148"/>
        <v>-41.16741120740032</v>
      </c>
      <c r="CJ156">
        <f t="shared" si="148"/>
        <v>-58.582052352979744</v>
      </c>
      <c r="CK156">
        <f t="shared" si="148"/>
        <v>-152.80401591832972</v>
      </c>
      <c r="CL156">
        <f t="shared" si="148"/>
        <v>-250.76271867389718</v>
      </c>
      <c r="CM156">
        <f t="shared" si="148"/>
        <v>-11.476332920906513</v>
      </c>
      <c r="CN156">
        <f t="shared" si="148"/>
        <v>-69.577947325526196</v>
      </c>
      <c r="CO156">
        <f t="shared" si="148"/>
        <v>-48.100961368791552</v>
      </c>
      <c r="CP156">
        <f t="shared" si="148"/>
        <v>-305.66243578150005</v>
      </c>
      <c r="CQ156">
        <f t="shared" si="148"/>
        <v>-125.43779294036827</v>
      </c>
      <c r="CR156">
        <f t="shared" si="148"/>
        <v>-36.165814949961671</v>
      </c>
      <c r="CS156">
        <f t="shared" si="148"/>
        <v>-20.306781532332838</v>
      </c>
      <c r="CT156">
        <f t="shared" si="148"/>
        <v>-1.5911594942920353</v>
      </c>
      <c r="CU156">
        <f t="shared" si="148"/>
        <v>-2.6824470426592892</v>
      </c>
      <c r="CV156">
        <f t="shared" si="148"/>
        <v>-10.760862270715272</v>
      </c>
      <c r="CW156">
        <f t="shared" si="148"/>
        <v>-17.197970194465359</v>
      </c>
      <c r="CX156">
        <f t="shared" si="148"/>
        <v>-9.4385574392647591</v>
      </c>
      <c r="CY156">
        <f t="shared" si="148"/>
        <v>-4.973185587410498</v>
      </c>
      <c r="CZ156">
        <f t="shared" si="148"/>
        <v>-46.074686938284437</v>
      </c>
      <c r="DA156">
        <f t="shared" si="148"/>
        <v>-53.034485922434605</v>
      </c>
      <c r="DB156">
        <f t="shared" si="148"/>
        <v>-9.9176213207436188</v>
      </c>
      <c r="DC156">
        <f t="shared" si="156"/>
        <v>-49.765805051617477</v>
      </c>
      <c r="DD156">
        <f t="shared" si="149"/>
        <v>-48.034699505703472</v>
      </c>
      <c r="DE156">
        <f t="shared" si="149"/>
        <v>0</v>
      </c>
      <c r="DF156">
        <f t="shared" si="149"/>
        <v>-4.1046457833967551</v>
      </c>
      <c r="DG156">
        <f t="shared" si="149"/>
        <v>-0.63145872509858547</v>
      </c>
      <c r="DH156">
        <f t="shared" si="149"/>
        <v>-3.4606941969709659</v>
      </c>
      <c r="DI156">
        <f t="shared" si="149"/>
        <v>-175.53110662025981</v>
      </c>
      <c r="DJ156">
        <f t="shared" si="149"/>
        <v>-405.6234761977048</v>
      </c>
      <c r="DK156">
        <f t="shared" si="149"/>
        <v>-0.85004788379393093</v>
      </c>
      <c r="DL156">
        <f t="shared" si="149"/>
        <v>-33.144248911980078</v>
      </c>
      <c r="DM156">
        <f t="shared" si="157"/>
        <v>-0.48430287299895669</v>
      </c>
      <c r="DN156">
        <f t="shared" si="150"/>
        <v>-4.3348325269505157</v>
      </c>
      <c r="DO156">
        <f t="shared" si="150"/>
        <v>-9.7383587379097118</v>
      </c>
      <c r="DP156">
        <f t="shared" si="150"/>
        <v>-1.4596273542881466</v>
      </c>
      <c r="DQ156">
        <f t="shared" si="150"/>
        <v>-4.3052138342165414</v>
      </c>
      <c r="DR156">
        <f t="shared" si="150"/>
        <v>-3.0598630435055494</v>
      </c>
      <c r="DS156">
        <f t="shared" si="150"/>
        <v>-14.316866503719575</v>
      </c>
      <c r="DT156">
        <f t="shared" si="150"/>
        <v>-136.44481137593567</v>
      </c>
      <c r="DU156">
        <f t="shared" si="150"/>
        <v>-39.923559786974963</v>
      </c>
      <c r="DV156">
        <f t="shared" si="150"/>
        <v>-0.99713351285195584</v>
      </c>
      <c r="DW156">
        <f t="shared" si="150"/>
        <v>-3.2821230421396543</v>
      </c>
      <c r="DX156">
        <f t="shared" si="150"/>
        <v>-1.5779756118181001</v>
      </c>
      <c r="DY156">
        <f t="shared" si="150"/>
        <v>-7.4092299722067319</v>
      </c>
      <c r="DZ156">
        <f t="shared" si="150"/>
        <v>-6.3392204063521556</v>
      </c>
      <c r="EA156">
        <f t="shared" si="150"/>
        <v>-1.2142512325004415</v>
      </c>
      <c r="EB156">
        <f t="shared" si="150"/>
        <v>-3.0582178077308635</v>
      </c>
      <c r="EC156">
        <f t="shared" si="150"/>
        <v>-0.46547611761137808</v>
      </c>
      <c r="ED156">
        <f t="shared" si="150"/>
        <v>-1.4121878618144907</v>
      </c>
      <c r="EE156">
        <f t="shared" si="150"/>
        <v>-5.9467148941612313</v>
      </c>
      <c r="EF156">
        <f t="shared" si="150"/>
        <v>-5.7643401134592365</v>
      </c>
      <c r="EG156">
        <f t="shared" si="158"/>
        <v>-3.7122315542694797</v>
      </c>
      <c r="EH156">
        <f t="shared" si="151"/>
        <v>-0.66213397871416002</v>
      </c>
      <c r="EI156">
        <f t="shared" si="151"/>
        <v>-7.3792508054833625</v>
      </c>
      <c r="EJ156">
        <f t="shared" si="151"/>
        <v>-98.332496869287553</v>
      </c>
      <c r="EK156">
        <f t="shared" si="151"/>
        <v>-1.7529443828087576</v>
      </c>
      <c r="EL156">
        <f t="shared" si="151"/>
        <v>-18.666627017891081</v>
      </c>
      <c r="EM156">
        <f t="shared" si="159"/>
        <v>-12.017484688916429</v>
      </c>
      <c r="EN156">
        <f t="shared" si="152"/>
        <v>-2.0188201466929249E-3</v>
      </c>
      <c r="EO156">
        <v>5</v>
      </c>
      <c r="EP156">
        <f t="shared" si="153"/>
        <v>10120.772024580048</v>
      </c>
      <c r="EQ156" s="98">
        <f t="shared" si="160"/>
        <v>26149.767871644268</v>
      </c>
      <c r="ES156" s="99">
        <f t="shared" si="161"/>
        <v>0.61296895351967551</v>
      </c>
      <c r="ET156">
        <v>24</v>
      </c>
      <c r="EU156">
        <v>29834.823531908893</v>
      </c>
      <c r="EV156">
        <v>24</v>
      </c>
      <c r="EW156" s="98">
        <v>29834.823531908893</v>
      </c>
    </row>
    <row r="157" spans="1:153" x14ac:dyDescent="0.35">
      <c r="A157" s="39">
        <v>6</v>
      </c>
      <c r="B157" s="87">
        <f t="shared" si="154"/>
        <v>-3.590896892295897E-3</v>
      </c>
      <c r="C157" s="87">
        <f t="shared" si="162"/>
        <v>-2.5572060909248178E-3</v>
      </c>
      <c r="D157" s="87">
        <f t="shared" si="162"/>
        <v>-2.33427533362888E-3</v>
      </c>
      <c r="E157" s="87">
        <f t="shared" si="162"/>
        <v>-9.4323656303246502E-4</v>
      </c>
      <c r="F157" s="87">
        <f t="shared" si="162"/>
        <v>-2.1233602006609123E-3</v>
      </c>
      <c r="G157" s="87">
        <f t="shared" si="162"/>
        <v>0.80508260129122644</v>
      </c>
      <c r="H157" s="87">
        <f t="shared" si="162"/>
        <v>-6.9116280122177324E-3</v>
      </c>
      <c r="I157" s="87">
        <f t="shared" si="162"/>
        <v>-4.751119344601152E-4</v>
      </c>
      <c r="J157" s="87">
        <f t="shared" si="162"/>
        <v>-1.4429118412197213E-3</v>
      </c>
      <c r="K157" s="87">
        <f t="shared" si="162"/>
        <v>-2.9920965331880016E-3</v>
      </c>
      <c r="L157" s="87">
        <f t="shared" si="162"/>
        <v>-6.3747942754019135E-3</v>
      </c>
      <c r="M157" s="87">
        <f t="shared" si="162"/>
        <v>-3.0778595204850375E-3</v>
      </c>
      <c r="N157" s="87">
        <f t="shared" si="162"/>
        <v>-2.2295250221215585E-3</v>
      </c>
      <c r="O157" s="87">
        <f t="shared" si="162"/>
        <v>-1.4812140380247481E-3</v>
      </c>
      <c r="P157" s="87">
        <f t="shared" si="162"/>
        <v>-2.654584895120043E-3</v>
      </c>
      <c r="Q157" s="87">
        <f t="shared" si="162"/>
        <v>-8.4878326635825133E-2</v>
      </c>
      <c r="R157" s="87">
        <f t="shared" si="162"/>
        <v>-1.2713282679956649E-3</v>
      </c>
      <c r="S157" s="87">
        <f t="shared" si="162"/>
        <v>-1.9873825386554907E-2</v>
      </c>
      <c r="T157" s="87">
        <f t="shared" si="162"/>
        <v>-7.380656046271541E-4</v>
      </c>
      <c r="U157" s="87">
        <f t="shared" si="162"/>
        <v>-1.0262306577051555E-3</v>
      </c>
      <c r="V157" s="87">
        <f t="shared" si="162"/>
        <v>-1.1463068272066256E-3</v>
      </c>
      <c r="W157" s="87">
        <f t="shared" si="162"/>
        <v>-1.1248466217969083E-3</v>
      </c>
      <c r="X157" s="87">
        <f t="shared" si="162"/>
        <v>-5.5348455805870334E-4</v>
      </c>
      <c r="Y157" s="87">
        <f t="shared" si="162"/>
        <v>-2.5459122980267968E-4</v>
      </c>
      <c r="Z157" s="87">
        <f t="shared" si="162"/>
        <v>-2.3501885929898389E-4</v>
      </c>
      <c r="AA157" s="87">
        <f t="shared" si="162"/>
        <v>-1.1926980557738095E-3</v>
      </c>
      <c r="AB157" s="87">
        <f t="shared" si="162"/>
        <v>-4.0202257604289918E-4</v>
      </c>
      <c r="AC157" s="87">
        <f t="shared" si="162"/>
        <v>-1.0917162084498717E-4</v>
      </c>
      <c r="AD157" s="87">
        <f t="shared" si="162"/>
        <v>-1.4278666170869721E-3</v>
      </c>
      <c r="AE157" s="87">
        <f t="shared" si="162"/>
        <v>-4.8861548291387845E-4</v>
      </c>
      <c r="AF157" s="87">
        <f t="shared" si="162"/>
        <v>-5.7152854270959262E-4</v>
      </c>
      <c r="AG157" s="87">
        <f t="shared" si="162"/>
        <v>-7.4017506945489933E-4</v>
      </c>
      <c r="AH157" s="87">
        <f t="shared" si="162"/>
        <v>-2.4942788930295895E-4</v>
      </c>
      <c r="AI157" s="87">
        <f t="shared" si="162"/>
        <v>-2.5396081769417664E-3</v>
      </c>
      <c r="AJ157" s="87">
        <f t="shared" si="162"/>
        <v>0</v>
      </c>
      <c r="AK157" s="87">
        <f t="shared" si="162"/>
        <v>-4.6868953410709376E-5</v>
      </c>
      <c r="AL157" s="87">
        <f t="shared" si="162"/>
        <v>-4.8285310571109251E-5</v>
      </c>
      <c r="AM157" s="87">
        <f t="shared" si="162"/>
        <v>-6.6352781769517534E-5</v>
      </c>
      <c r="AN157" s="87">
        <f t="shared" si="162"/>
        <v>-6.574783518405697E-5</v>
      </c>
      <c r="AO157" s="87">
        <f t="shared" si="162"/>
        <v>-6.402448565670258E-5</v>
      </c>
      <c r="AP157" s="87">
        <f t="shared" si="162"/>
        <v>-5.3421447771979085E-3</v>
      </c>
      <c r="AQ157" s="87">
        <f t="shared" si="162"/>
        <v>-3.6294719550827555E-4</v>
      </c>
      <c r="AR157" s="87">
        <f t="shared" si="162"/>
        <v>-1.2263882978893106E-5</v>
      </c>
      <c r="AS157" s="87">
        <f t="shared" si="162"/>
        <v>-6.5597094589976736E-5</v>
      </c>
      <c r="AT157" s="87">
        <f t="shared" si="162"/>
        <v>-1.1114168232296613E-4</v>
      </c>
      <c r="AU157" s="87">
        <f t="shared" si="162"/>
        <v>-3.2876748075145453E-4</v>
      </c>
      <c r="AV157" s="87">
        <f t="shared" si="162"/>
        <v>-9.825997526614712E-5</v>
      </c>
      <c r="AW157" s="87">
        <f t="shared" si="162"/>
        <v>-1.0993852957119997E-4</v>
      </c>
      <c r="AX157" s="87">
        <f t="shared" si="162"/>
        <v>-6.4057855337201823E-5</v>
      </c>
      <c r="AY157" s="87">
        <f t="shared" si="162"/>
        <v>-7.2960094345085204E-5</v>
      </c>
      <c r="AZ157" s="87">
        <f t="shared" si="162"/>
        <v>-2.3440874340624278E-3</v>
      </c>
      <c r="BA157" s="87">
        <f t="shared" si="162"/>
        <v>-3.8374472983872096E-5</v>
      </c>
      <c r="BB157" s="87">
        <f t="shared" si="162"/>
        <v>-9.0597290764330113E-4</v>
      </c>
      <c r="BC157" s="87">
        <f t="shared" si="162"/>
        <v>-2.2017785809145589E-4</v>
      </c>
      <c r="BD157" s="87">
        <f t="shared" si="162"/>
        <v>-1.5346934079105257E-4</v>
      </c>
      <c r="BE157" s="87">
        <f t="shared" si="162"/>
        <v>-1.1536833495199603E-4</v>
      </c>
      <c r="BF157" s="87">
        <f t="shared" si="162"/>
        <v>-5.4157829530239187E-5</v>
      </c>
      <c r="BG157" s="87">
        <f t="shared" si="162"/>
        <v>-9.7416641373235247E-5</v>
      </c>
      <c r="BH157" s="87">
        <f t="shared" si="162"/>
        <v>-2.9187637707705419E-5</v>
      </c>
      <c r="BI157" s="87">
        <f t="shared" si="162"/>
        <v>-8.4093775328616125E-5</v>
      </c>
      <c r="BJ157" s="87">
        <f t="shared" si="162"/>
        <v>-2.379590315545197E-4</v>
      </c>
      <c r="BK157" s="87">
        <f t="shared" si="162"/>
        <v>-2.0718441244121042E-5</v>
      </c>
      <c r="BL157" s="87">
        <f t="shared" si="162"/>
        <v>-1.2914526507196179E-5</v>
      </c>
      <c r="BM157" s="87">
        <f t="shared" si="162"/>
        <v>-3.1812010061736864E-5</v>
      </c>
      <c r="BN157" s="87">
        <f t="shared" ref="BN157:BS160" si="163">BN84-BN7</f>
        <v>-3.1716041292943029E-5</v>
      </c>
      <c r="BO157" s="87">
        <f t="shared" si="163"/>
        <v>-4.3593507061217925E-5</v>
      </c>
      <c r="BP157" s="87">
        <f t="shared" si="163"/>
        <v>-8.196911195459383E-5</v>
      </c>
      <c r="BQ157" s="87">
        <f t="shared" si="163"/>
        <v>-3.9952980164214115E-5</v>
      </c>
      <c r="BR157" s="87">
        <f t="shared" si="163"/>
        <v>-5.8543354536588969E-5</v>
      </c>
      <c r="BS157" s="87">
        <f t="shared" si="163"/>
        <v>-2.0102952300996518E-5</v>
      </c>
      <c r="BU157" s="96">
        <v>18984.494885408647</v>
      </c>
      <c r="BV157" s="98">
        <v>128877.94032720951</v>
      </c>
      <c r="BW157">
        <f t="shared" si="155"/>
        <v>-835.50290656742413</v>
      </c>
      <c r="BX157">
        <f t="shared" si="148"/>
        <v>-89.092335549489704</v>
      </c>
      <c r="BY157">
        <f t="shared" si="148"/>
        <v>-866.23571895660905</v>
      </c>
      <c r="BZ157">
        <f t="shared" si="148"/>
        <v>-71.855550591837712</v>
      </c>
      <c r="CA157">
        <f t="shared" si="148"/>
        <v>-31.874600883021493</v>
      </c>
      <c r="CB157">
        <f t="shared" si="148"/>
        <v>41502.954979074115</v>
      </c>
      <c r="CC157">
        <f t="shared" si="148"/>
        <v>-1228.6706514626001</v>
      </c>
      <c r="CD157">
        <f t="shared" si="148"/>
        <v>-60.937408798241854</v>
      </c>
      <c r="CE157">
        <f t="shared" si="148"/>
        <v>-402.3524987865531</v>
      </c>
      <c r="CF157">
        <f t="shared" si="148"/>
        <v>-356.93459498219806</v>
      </c>
      <c r="CG157">
        <f t="shared" si="148"/>
        <v>-534.01678621076269</v>
      </c>
      <c r="CH157">
        <f t="shared" si="148"/>
        <v>-923.64124249184522</v>
      </c>
      <c r="CI157">
        <f t="shared" si="148"/>
        <v>-532.86607933658922</v>
      </c>
      <c r="CJ157">
        <f t="shared" si="148"/>
        <v>-553.24609558894679</v>
      </c>
      <c r="CK157">
        <f t="shared" si="148"/>
        <v>-891.42330904994924</v>
      </c>
      <c r="CL157">
        <f t="shared" si="148"/>
        <v>-6673.5875552053594</v>
      </c>
      <c r="CM157">
        <f t="shared" si="148"/>
        <v>-309.92624078716841</v>
      </c>
      <c r="CN157">
        <f t="shared" si="148"/>
        <v>-10907.978566783757</v>
      </c>
      <c r="CO157">
        <f t="shared" si="148"/>
        <v>-106.13895511837823</v>
      </c>
      <c r="CP157">
        <f t="shared" si="148"/>
        <v>-477.40768138884215</v>
      </c>
      <c r="CQ157">
        <f t="shared" si="148"/>
        <v>-392.42714830048789</v>
      </c>
      <c r="CR157">
        <f t="shared" si="148"/>
        <v>-243.95372892944678</v>
      </c>
      <c r="CS157">
        <f t="shared" si="148"/>
        <v>-111.94636291571786</v>
      </c>
      <c r="CT157">
        <f t="shared" si="148"/>
        <v>-11.516268120384838</v>
      </c>
      <c r="CU157">
        <f t="shared" si="148"/>
        <v>-10.944207167219881</v>
      </c>
      <c r="CV157">
        <f t="shared" si="148"/>
        <v>-208.52870182072033</v>
      </c>
      <c r="CW157">
        <f t="shared" si="148"/>
        <v>-112.88774423477653</v>
      </c>
      <c r="CX157">
        <f t="shared" si="148"/>
        <v>-58.409387745330598</v>
      </c>
      <c r="CY157">
        <f t="shared" si="148"/>
        <v>-799.01601765005364</v>
      </c>
      <c r="CZ157">
        <f t="shared" si="148"/>
        <v>-437.32863307321941</v>
      </c>
      <c r="DA157">
        <f t="shared" si="148"/>
        <v>-226.71306563109724</v>
      </c>
      <c r="DB157">
        <f t="shared" si="148"/>
        <v>-173.37859198239781</v>
      </c>
      <c r="DC157">
        <f t="shared" si="156"/>
        <v>-117.9943129908599</v>
      </c>
      <c r="DD157">
        <f t="shared" si="149"/>
        <v>-730.85471816856398</v>
      </c>
      <c r="DE157">
        <f t="shared" si="149"/>
        <v>0</v>
      </c>
      <c r="DF157">
        <f t="shared" si="149"/>
        <v>-60.288005846591297</v>
      </c>
      <c r="DG157">
        <f t="shared" si="149"/>
        <v>-43.125734892485625</v>
      </c>
      <c r="DH157">
        <f t="shared" si="149"/>
        <v>-107.72695426057989</v>
      </c>
      <c r="DI157">
        <f t="shared" si="149"/>
        <v>-47.524617979174828</v>
      </c>
      <c r="DJ157">
        <f t="shared" si="149"/>
        <v>-6.9099227234056162</v>
      </c>
      <c r="DK157">
        <f t="shared" si="149"/>
        <v>-1294.4113926051957</v>
      </c>
      <c r="DL157">
        <f t="shared" si="149"/>
        <v>-239.29579665335092</v>
      </c>
      <c r="DM157">
        <f t="shared" si="157"/>
        <v>-6.4328118744255933</v>
      </c>
      <c r="DN157">
        <f t="shared" si="150"/>
        <v>-70.539793292398457</v>
      </c>
      <c r="DO157">
        <f t="shared" si="150"/>
        <v>-56.796593788880259</v>
      </c>
      <c r="DP157">
        <f t="shared" si="150"/>
        <v>-133.99234073839199</v>
      </c>
      <c r="DQ157">
        <f t="shared" si="150"/>
        <v>-154.23378162412408</v>
      </c>
      <c r="DR157">
        <f t="shared" si="150"/>
        <v>-105.24932719293633</v>
      </c>
      <c r="DS157">
        <f t="shared" si="150"/>
        <v>-197.49832913722497</v>
      </c>
      <c r="DT157">
        <f t="shared" si="150"/>
        <v>-103.92039583875565</v>
      </c>
      <c r="DU157">
        <f t="shared" si="150"/>
        <v>-671.42167014717563</v>
      </c>
      <c r="DV157">
        <f t="shared" si="150"/>
        <v>-31.50929909305648</v>
      </c>
      <c r="DW157">
        <f t="shared" si="150"/>
        <v>-2082.9555596563896</v>
      </c>
      <c r="DX157">
        <f t="shared" si="150"/>
        <v>-64.515310485631915</v>
      </c>
      <c r="DY157">
        <f t="shared" si="150"/>
        <v>-293.90791991785039</v>
      </c>
      <c r="DZ157">
        <f t="shared" si="150"/>
        <v>-164.35359316171804</v>
      </c>
      <c r="EA157">
        <f t="shared" si="150"/>
        <v>-48.406666741100459</v>
      </c>
      <c r="EB157">
        <f t="shared" si="150"/>
        <v>-85.049122160134218</v>
      </c>
      <c r="EC157">
        <f t="shared" si="150"/>
        <v>-5.0397704576917022</v>
      </c>
      <c r="ED157">
        <f t="shared" si="150"/>
        <v>-13.309993924517881</v>
      </c>
      <c r="EE157">
        <f t="shared" si="150"/>
        <v>-80.879794457549806</v>
      </c>
      <c r="EF157">
        <f t="shared" si="150"/>
        <v>-22.089129271395326</v>
      </c>
      <c r="EG157">
        <f t="shared" si="158"/>
        <v>-31.003493834136883</v>
      </c>
      <c r="EH157">
        <f t="shared" si="151"/>
        <v>-65.156311999718483</v>
      </c>
      <c r="EI157">
        <f t="shared" si="151"/>
        <v>-82.692862805644452</v>
      </c>
      <c r="EJ157">
        <f t="shared" si="151"/>
        <v>-96.937191963877069</v>
      </c>
      <c r="EK157">
        <f t="shared" si="151"/>
        <v>-46.903253907326118</v>
      </c>
      <c r="EL157">
        <f t="shared" si="151"/>
        <v>-53.201588582460836</v>
      </c>
      <c r="EM157">
        <f t="shared" si="159"/>
        <v>-61.804701344660181</v>
      </c>
      <c r="EN157">
        <f t="shared" si="152"/>
        <v>-0.27669228263547768</v>
      </c>
      <c r="EO157">
        <v>6</v>
      </c>
      <c r="EP157">
        <f t="shared" si="153"/>
        <v>5384.0075871616691</v>
      </c>
      <c r="EQ157" s="98">
        <f t="shared" si="160"/>
        <v>18984.494885408647</v>
      </c>
      <c r="ES157" s="99">
        <f t="shared" si="161"/>
        <v>0.71639974517837823</v>
      </c>
      <c r="ET157">
        <v>35</v>
      </c>
      <c r="EU157">
        <v>39655.246806476789</v>
      </c>
      <c r="EV157">
        <v>35</v>
      </c>
      <c r="EW157" s="98">
        <v>39655.246806476789</v>
      </c>
    </row>
    <row r="158" spans="1:153" x14ac:dyDescent="0.35">
      <c r="A158" s="39">
        <v>7</v>
      </c>
      <c r="B158" s="87">
        <f t="shared" si="154"/>
        <v>-2.48097231119519E-3</v>
      </c>
      <c r="C158" s="87">
        <f t="shared" ref="C158:BN161" si="164">C85-C8</f>
        <v>-3.4087266130559176E-3</v>
      </c>
      <c r="D158" s="87">
        <f t="shared" si="164"/>
        <v>-1.622094992636568E-2</v>
      </c>
      <c r="E158" s="87">
        <f t="shared" si="164"/>
        <v>-9.5178915756086342E-3</v>
      </c>
      <c r="F158" s="87">
        <f t="shared" si="164"/>
        <v>-1.0623474399364129E-2</v>
      </c>
      <c r="G158" s="87">
        <f t="shared" si="164"/>
        <v>-1.10508454761521E-2</v>
      </c>
      <c r="H158" s="87">
        <f t="shared" si="164"/>
        <v>0.80005475128257608</v>
      </c>
      <c r="I158" s="87">
        <f t="shared" si="164"/>
        <v>-2.7259052114353517E-3</v>
      </c>
      <c r="J158" s="87">
        <f t="shared" si="164"/>
        <v>-1.3009486522063204E-2</v>
      </c>
      <c r="K158" s="87">
        <f t="shared" si="164"/>
        <v>-1.2478900374065859E-2</v>
      </c>
      <c r="L158" s="87">
        <f t="shared" si="164"/>
        <v>-1.0788285403750934E-2</v>
      </c>
      <c r="M158" s="87">
        <f t="shared" si="164"/>
        <v>-4.2626896007705297E-3</v>
      </c>
      <c r="N158" s="87">
        <f t="shared" si="164"/>
        <v>-5.7974874765749432E-3</v>
      </c>
      <c r="O158" s="87">
        <f t="shared" si="164"/>
        <v>-6.6919687708986335E-3</v>
      </c>
      <c r="P158" s="87">
        <f t="shared" si="164"/>
        <v>-3.4741496465361464E-3</v>
      </c>
      <c r="Q158" s="87">
        <f t="shared" si="164"/>
        <v>-1.8771690624835944E-2</v>
      </c>
      <c r="R158" s="87">
        <f t="shared" si="164"/>
        <v>-2.8296059140927926E-3</v>
      </c>
      <c r="S158" s="87">
        <f t="shared" si="164"/>
        <v>-3.1397203162018389E-3</v>
      </c>
      <c r="T158" s="87">
        <f t="shared" si="164"/>
        <v>-8.8126897397091744E-3</v>
      </c>
      <c r="U158" s="87">
        <f t="shared" si="164"/>
        <v>-1.2349945346848416E-2</v>
      </c>
      <c r="V158" s="87">
        <f t="shared" si="164"/>
        <v>-1.3570869620423883E-2</v>
      </c>
      <c r="W158" s="87">
        <f t="shared" si="164"/>
        <v>-5.6839766856044017E-3</v>
      </c>
      <c r="X158" s="87">
        <f t="shared" si="164"/>
        <v>-3.8396774032017694E-3</v>
      </c>
      <c r="Y158" s="87">
        <f t="shared" si="164"/>
        <v>-1.5331677586620167E-3</v>
      </c>
      <c r="Z158" s="87">
        <f t="shared" si="164"/>
        <v>-2.6450079989862531E-3</v>
      </c>
      <c r="AA158" s="87">
        <f t="shared" si="164"/>
        <v>-8.2684287626303473E-3</v>
      </c>
      <c r="AB158" s="87">
        <f t="shared" si="164"/>
        <v>-8.0720108279449393E-3</v>
      </c>
      <c r="AC158" s="87">
        <f t="shared" si="164"/>
        <v>-9.9473388957912866E-3</v>
      </c>
      <c r="AD158" s="87">
        <f t="shared" si="164"/>
        <v>-2.338455968543659E-3</v>
      </c>
      <c r="AE158" s="87">
        <f t="shared" si="164"/>
        <v>-1.8248288008894921E-2</v>
      </c>
      <c r="AF158" s="87">
        <f t="shared" si="164"/>
        <v>-1.1027374620151898E-2</v>
      </c>
      <c r="AG158" s="87">
        <f t="shared" si="164"/>
        <v>-1.2911658657656451E-2</v>
      </c>
      <c r="AH158" s="87">
        <f t="shared" si="164"/>
        <v>-6.4765596110579558E-3</v>
      </c>
      <c r="AI158" s="87">
        <f t="shared" si="164"/>
        <v>-1.518555397128696E-2</v>
      </c>
      <c r="AJ158" s="87">
        <f t="shared" si="164"/>
        <v>0</v>
      </c>
      <c r="AK158" s="87">
        <f t="shared" si="164"/>
        <v>-1.2102375729965817E-4</v>
      </c>
      <c r="AL158" s="87">
        <f t="shared" si="164"/>
        <v>-1.0606460557772678E-4</v>
      </c>
      <c r="AM158" s="87">
        <f t="shared" si="164"/>
        <v>-1.3728190569763531E-3</v>
      </c>
      <c r="AN158" s="87">
        <f t="shared" si="164"/>
        <v>-6.1075463109838159E-4</v>
      </c>
      <c r="AO158" s="87">
        <f t="shared" si="164"/>
        <v>-8.6413165500733859E-4</v>
      </c>
      <c r="AP158" s="87">
        <f t="shared" si="164"/>
        <v>-7.0960152643345631E-4</v>
      </c>
      <c r="AQ158" s="87">
        <f t="shared" si="164"/>
        <v>-1.2223774461540986E-2</v>
      </c>
      <c r="AR158" s="87">
        <f t="shared" si="164"/>
        <v>-1.1436130491188361E-4</v>
      </c>
      <c r="AS158" s="87">
        <f t="shared" si="164"/>
        <v>-7.0728771989190468E-4</v>
      </c>
      <c r="AT158" s="87">
        <f t="shared" si="164"/>
        <v>-8.4096534602218188E-4</v>
      </c>
      <c r="AU158" s="87">
        <f t="shared" si="164"/>
        <v>-1.4012519714207891E-3</v>
      </c>
      <c r="AV158" s="87">
        <f t="shared" si="164"/>
        <v>-2.3897926253811625E-4</v>
      </c>
      <c r="AW158" s="87">
        <f t="shared" si="164"/>
        <v>-3.3981134570388889E-4</v>
      </c>
      <c r="AX158" s="87">
        <f t="shared" si="164"/>
        <v>-3.3774894170241008E-4</v>
      </c>
      <c r="AY158" s="87">
        <f t="shared" si="164"/>
        <v>-2.133084213783588E-4</v>
      </c>
      <c r="AZ158" s="87">
        <f t="shared" si="164"/>
        <v>-1.3090102120347374E-3</v>
      </c>
      <c r="BA158" s="87">
        <f t="shared" si="164"/>
        <v>-2.180009350053782E-4</v>
      </c>
      <c r="BB158" s="87">
        <f t="shared" si="164"/>
        <v>-1.8477368729101897E-4</v>
      </c>
      <c r="BC158" s="87">
        <f t="shared" si="164"/>
        <v>-8.436589995241458E-4</v>
      </c>
      <c r="BD158" s="87">
        <f t="shared" si="164"/>
        <v>-6.5442196128311125E-4</v>
      </c>
      <c r="BE158" s="87">
        <f t="shared" si="164"/>
        <v>-4.8292316059190318E-4</v>
      </c>
      <c r="BF158" s="87">
        <f t="shared" si="164"/>
        <v>-2.715041672663775E-4</v>
      </c>
      <c r="BG158" s="87">
        <f t="shared" si="164"/>
        <v>-3.4838479958184245E-4</v>
      </c>
      <c r="BH158" s="87">
        <f t="shared" si="164"/>
        <v>-8.3021364854391196E-5</v>
      </c>
      <c r="BI158" s="87">
        <f t="shared" si="164"/>
        <v>-2.4477636531021935E-4</v>
      </c>
      <c r="BJ158" s="87">
        <f t="shared" si="164"/>
        <v>-7.5055416058170479E-4</v>
      </c>
      <c r="BK158" s="87">
        <f t="shared" si="164"/>
        <v>-2.8255457521960059E-4</v>
      </c>
      <c r="BL158" s="87">
        <f t="shared" si="164"/>
        <v>-4.083826381606266E-4</v>
      </c>
      <c r="BM158" s="87">
        <f t="shared" si="164"/>
        <v>-7.9162808169609155E-5</v>
      </c>
      <c r="BN158" s="87">
        <f t="shared" si="164"/>
        <v>-4.620506413699195E-4</v>
      </c>
      <c r="BO158" s="87">
        <f t="shared" si="163"/>
        <v>-6.9137177270330486E-4</v>
      </c>
      <c r="BP158" s="87">
        <f t="shared" si="163"/>
        <v>-8.043500890704188E-4</v>
      </c>
      <c r="BQ158" s="87">
        <f t="shared" si="163"/>
        <v>-2.8210930667636519E-4</v>
      </c>
      <c r="BR158" s="87">
        <f t="shared" si="163"/>
        <v>-4.9402483453527338E-4</v>
      </c>
      <c r="BS158" s="87">
        <f t="shared" si="163"/>
        <v>-3.6666176504856647E-5</v>
      </c>
      <c r="BU158" s="96">
        <v>114110.89211204692</v>
      </c>
      <c r="BV158" s="98">
        <v>444421.57813277509</v>
      </c>
      <c r="BW158">
        <f t="shared" si="155"/>
        <v>-577.25399511306091</v>
      </c>
      <c r="BX158">
        <f t="shared" si="148"/>
        <v>-118.75906923756108</v>
      </c>
      <c r="BY158">
        <f t="shared" si="148"/>
        <v>-6019.4982225085214</v>
      </c>
      <c r="BZ158">
        <f t="shared" si="148"/>
        <v>-725.07085331809037</v>
      </c>
      <c r="CA158">
        <f t="shared" si="148"/>
        <v>-159.47318140621186</v>
      </c>
      <c r="CB158">
        <f t="shared" si="148"/>
        <v>-569.68408153629741</v>
      </c>
      <c r="CC158">
        <f t="shared" si="148"/>
        <v>142224.63806305092</v>
      </c>
      <c r="CD158">
        <f t="shared" si="148"/>
        <v>-349.62203254954971</v>
      </c>
      <c r="CE158">
        <f t="shared" si="148"/>
        <v>-3627.6640474842698</v>
      </c>
      <c r="CF158">
        <f t="shared" si="148"/>
        <v>-1488.6388862910831</v>
      </c>
      <c r="CG158">
        <f t="shared" si="148"/>
        <v>-903.73512479700071</v>
      </c>
      <c r="CH158">
        <f t="shared" si="148"/>
        <v>-1279.1993568934231</v>
      </c>
      <c r="CI158">
        <f t="shared" si="148"/>
        <v>-1385.6244675405271</v>
      </c>
      <c r="CJ158">
        <f t="shared" si="148"/>
        <v>-2499.5074980790682</v>
      </c>
      <c r="CK158">
        <f t="shared" si="148"/>
        <v>-1166.6373826443084</v>
      </c>
      <c r="CL158">
        <f t="shared" si="148"/>
        <v>-1475.9306163229055</v>
      </c>
      <c r="CM158">
        <f t="shared" si="148"/>
        <v>-689.80541528154629</v>
      </c>
      <c r="CN158">
        <f t="shared" si="148"/>
        <v>-1723.2717531067133</v>
      </c>
      <c r="CO158">
        <f t="shared" si="148"/>
        <v>-1267.3259326692262</v>
      </c>
      <c r="CP158">
        <f t="shared" si="148"/>
        <v>-5745.2569059886537</v>
      </c>
      <c r="CQ158">
        <f t="shared" si="148"/>
        <v>-4645.8570591246389</v>
      </c>
      <c r="CR158">
        <f t="shared" si="148"/>
        <v>-1232.7256718663889</v>
      </c>
      <c r="CS158">
        <f t="shared" si="148"/>
        <v>-776.60327429137988</v>
      </c>
      <c r="CT158">
        <f t="shared" si="148"/>
        <v>-69.351842936482086</v>
      </c>
      <c r="CU158">
        <f t="shared" si="148"/>
        <v>-123.17103225759901</v>
      </c>
      <c r="CV158">
        <f t="shared" si="148"/>
        <v>-1445.6338782658333</v>
      </c>
      <c r="CW158">
        <f t="shared" si="148"/>
        <v>-2266.6167228085196</v>
      </c>
      <c r="CX158">
        <f t="shared" si="148"/>
        <v>-5322.0605327777412</v>
      </c>
      <c r="CY158">
        <f t="shared" si="148"/>
        <v>-1308.5702495430946</v>
      </c>
      <c r="CZ158">
        <f t="shared" si="148"/>
        <v>-16332.881641949627</v>
      </c>
      <c r="DA158">
        <f t="shared" si="148"/>
        <v>-4374.3220489821251</v>
      </c>
      <c r="DB158">
        <f t="shared" si="148"/>
        <v>-3024.426639862957</v>
      </c>
      <c r="DC158">
        <f t="shared" si="156"/>
        <v>-3063.8001387364047</v>
      </c>
      <c r="DD158">
        <f t="shared" si="149"/>
        <v>-4370.1362551459988</v>
      </c>
      <c r="DE158">
        <f t="shared" si="149"/>
        <v>0</v>
      </c>
      <c r="DF158">
        <f t="shared" si="149"/>
        <v>-155.67407541024943</v>
      </c>
      <c r="DG158">
        <f t="shared" si="149"/>
        <v>-94.730964914988974</v>
      </c>
      <c r="DH158">
        <f t="shared" si="149"/>
        <v>-2228.8382161979603</v>
      </c>
      <c r="DI158">
        <f t="shared" si="149"/>
        <v>-441.47279436206975</v>
      </c>
      <c r="DJ158">
        <f t="shared" si="149"/>
        <v>-93.262490088027945</v>
      </c>
      <c r="DK158">
        <f t="shared" si="149"/>
        <v>-171.93774005265504</v>
      </c>
      <c r="DL158">
        <f t="shared" si="149"/>
        <v>-8059.2931536197548</v>
      </c>
      <c r="DM158">
        <f t="shared" si="157"/>
        <v>-59.986283420845986</v>
      </c>
      <c r="DN158">
        <f t="shared" si="150"/>
        <v>-760.5813926864115</v>
      </c>
      <c r="DO158">
        <f t="shared" si="150"/>
        <v>-429.75746047958756</v>
      </c>
      <c r="DP158">
        <f t="shared" si="150"/>
        <v>-571.09368355351614</v>
      </c>
      <c r="DQ158">
        <f t="shared" si="150"/>
        <v>-375.11382728483875</v>
      </c>
      <c r="DR158">
        <f t="shared" si="150"/>
        <v>-325.31739006658273</v>
      </c>
      <c r="DS158">
        <f t="shared" si="150"/>
        <v>-1041.3219628249547</v>
      </c>
      <c r="DT158">
        <f t="shared" si="150"/>
        <v>-303.8249303863787</v>
      </c>
      <c r="DU158">
        <f t="shared" si="150"/>
        <v>-374.94242323584979</v>
      </c>
      <c r="DV158">
        <f t="shared" si="150"/>
        <v>-179.00067752167786</v>
      </c>
      <c r="DW158">
        <f t="shared" si="150"/>
        <v>-424.81996533672503</v>
      </c>
      <c r="DX158">
        <f t="shared" si="150"/>
        <v>-247.2043409364513</v>
      </c>
      <c r="DY158">
        <f t="shared" si="150"/>
        <v>-1253.2783186392162</v>
      </c>
      <c r="DZ158">
        <f t="shared" si="150"/>
        <v>-687.97176189912125</v>
      </c>
      <c r="EA158">
        <f t="shared" si="150"/>
        <v>-242.6724235014868</v>
      </c>
      <c r="EB158">
        <f t="shared" si="150"/>
        <v>-304.15564487435353</v>
      </c>
      <c r="EC158">
        <f t="shared" si="150"/>
        <v>-14.335131405305431</v>
      </c>
      <c r="ED158">
        <f t="shared" si="150"/>
        <v>-38.742129514500931</v>
      </c>
      <c r="EE158">
        <f t="shared" si="150"/>
        <v>-255.10553577454291</v>
      </c>
      <c r="EF158">
        <f t="shared" si="150"/>
        <v>-301.24778523195971</v>
      </c>
      <c r="EG158">
        <f t="shared" si="158"/>
        <v>-980.39123595638364</v>
      </c>
      <c r="EH158">
        <f t="shared" si="151"/>
        <v>-162.13865825714834</v>
      </c>
      <c r="EI158">
        <f t="shared" si="151"/>
        <v>-1204.6992228050954</v>
      </c>
      <c r="EJ158">
        <f t="shared" si="151"/>
        <v>-1537.3766133298529</v>
      </c>
      <c r="EK158">
        <f t="shared" si="151"/>
        <v>-460.25430260789716</v>
      </c>
      <c r="EL158">
        <f t="shared" si="151"/>
        <v>-375.65816635932737</v>
      </c>
      <c r="EM158">
        <f t="shared" si="159"/>
        <v>-521.54608489704674</v>
      </c>
      <c r="EN158">
        <f t="shared" si="152"/>
        <v>-0.5046645846212946</v>
      </c>
      <c r="EO158">
        <v>7</v>
      </c>
      <c r="EP158">
        <f t="shared" si="153"/>
        <v>37418.270799716709</v>
      </c>
      <c r="EQ158" s="98">
        <f t="shared" si="160"/>
        <v>114110.89211204692</v>
      </c>
      <c r="ES158" s="99">
        <f t="shared" si="161"/>
        <v>0.67208852628217797</v>
      </c>
      <c r="ET158">
        <v>10</v>
      </c>
      <c r="EU158">
        <v>48466.011301056402</v>
      </c>
      <c r="EV158">
        <v>10</v>
      </c>
      <c r="EW158" s="98">
        <v>48466.011301056402</v>
      </c>
    </row>
    <row r="159" spans="1:153" x14ac:dyDescent="0.35">
      <c r="A159" s="39">
        <v>8</v>
      </c>
      <c r="B159" s="87">
        <f t="shared" si="154"/>
        <v>-1.7484349112650847E-2</v>
      </c>
      <c r="C159" s="87">
        <f t="shared" si="164"/>
        <v>-8.0505754104585152E-3</v>
      </c>
      <c r="D159" s="87">
        <f t="shared" si="164"/>
        <v>-3.4411587285156299E-3</v>
      </c>
      <c r="E159" s="87">
        <f t="shared" si="164"/>
        <v>-3.9845374865396591E-3</v>
      </c>
      <c r="F159" s="87">
        <f t="shared" si="164"/>
        <v>-2.5008531240016322E-3</v>
      </c>
      <c r="G159" s="87">
        <f t="shared" si="164"/>
        <v>-4.6761689550369277E-3</v>
      </c>
      <c r="H159" s="87">
        <f t="shared" si="164"/>
        <v>-3.0530110268118483E-3</v>
      </c>
      <c r="I159" s="87">
        <f t="shared" si="164"/>
        <v>0.87232151903252231</v>
      </c>
      <c r="J159" s="87">
        <f t="shared" si="164"/>
        <v>-2.5940912703004321E-2</v>
      </c>
      <c r="K159" s="87">
        <f t="shared" si="164"/>
        <v>-7.118782354814248E-3</v>
      </c>
      <c r="L159" s="87">
        <f t="shared" si="164"/>
        <v>-9.5028326887972754E-3</v>
      </c>
      <c r="M159" s="87">
        <f t="shared" si="164"/>
        <v>-5.4865092480231139E-3</v>
      </c>
      <c r="N159" s="87">
        <f t="shared" si="164"/>
        <v>-2.4926372936847712E-3</v>
      </c>
      <c r="O159" s="87">
        <f t="shared" si="164"/>
        <v>-1.773998894023004E-3</v>
      </c>
      <c r="P159" s="87">
        <f t="shared" si="164"/>
        <v>-2.04693623667997E-3</v>
      </c>
      <c r="Q159" s="87">
        <f t="shared" si="164"/>
        <v>-5.3955927676050215E-3</v>
      </c>
      <c r="R159" s="87">
        <f t="shared" si="164"/>
        <v>-1.6240249138967978E-2</v>
      </c>
      <c r="S159" s="87">
        <f t="shared" si="164"/>
        <v>-5.3599280161990732E-3</v>
      </c>
      <c r="T159" s="87">
        <f t="shared" si="164"/>
        <v>-5.330828095643606E-3</v>
      </c>
      <c r="U159" s="87">
        <f t="shared" si="164"/>
        <v>-9.3585952412354734E-3</v>
      </c>
      <c r="V159" s="87">
        <f t="shared" si="164"/>
        <v>-4.7714407591733267E-3</v>
      </c>
      <c r="W159" s="87">
        <f t="shared" si="164"/>
        <v>-3.4474144002089799E-3</v>
      </c>
      <c r="X159" s="87">
        <f t="shared" si="164"/>
        <v>-4.2429445895318635E-2</v>
      </c>
      <c r="Y159" s="87">
        <f t="shared" si="164"/>
        <v>-2.0977875510509562E-2</v>
      </c>
      <c r="Z159" s="87">
        <f t="shared" si="164"/>
        <v>-5.7119162613224396E-2</v>
      </c>
      <c r="AA159" s="87">
        <f t="shared" si="164"/>
        <v>-8.098515050025467E-3</v>
      </c>
      <c r="AB159" s="87">
        <f t="shared" si="164"/>
        <v>-2.6016692112565925E-3</v>
      </c>
      <c r="AC159" s="87">
        <f t="shared" si="164"/>
        <v>-1.3966537505149437E-3</v>
      </c>
      <c r="AD159" s="87">
        <f t="shared" si="164"/>
        <v>-6.6585745701151723E-4</v>
      </c>
      <c r="AE159" s="87">
        <f t="shared" si="164"/>
        <v>-3.1005497332479283E-3</v>
      </c>
      <c r="AF159" s="87">
        <f t="shared" si="164"/>
        <v>-3.6522582945559246E-3</v>
      </c>
      <c r="AG159" s="87">
        <f t="shared" si="164"/>
        <v>-2.6593861605854292E-3</v>
      </c>
      <c r="AH159" s="87">
        <f t="shared" si="164"/>
        <v>-2.2139302522601574E-3</v>
      </c>
      <c r="AI159" s="87">
        <f t="shared" si="164"/>
        <v>-4.3132708966441124E-3</v>
      </c>
      <c r="AJ159" s="87">
        <f t="shared" si="164"/>
        <v>0</v>
      </c>
      <c r="AK159" s="87">
        <f t="shared" si="164"/>
        <v>-6.0742751829718394E-4</v>
      </c>
      <c r="AL159" s="87">
        <f t="shared" si="164"/>
        <v>-2.5262478333771475E-4</v>
      </c>
      <c r="AM159" s="87">
        <f t="shared" si="164"/>
        <v>-2.3950775407101583E-4</v>
      </c>
      <c r="AN159" s="87">
        <f t="shared" si="164"/>
        <v>-3.3684947381547173E-4</v>
      </c>
      <c r="AO159" s="87">
        <f t="shared" si="164"/>
        <v>-3.0299269924816791E-4</v>
      </c>
      <c r="AP159" s="87">
        <f t="shared" si="164"/>
        <v>-2.9256633043714056E-4</v>
      </c>
      <c r="AQ159" s="87">
        <f t="shared" si="164"/>
        <v>-3.1301426725460085E-4</v>
      </c>
      <c r="AR159" s="87">
        <f t="shared" si="164"/>
        <v>-1.4486116955449409E-3</v>
      </c>
      <c r="AS159" s="87">
        <f t="shared" si="164"/>
        <v>-1.4482540236254401E-3</v>
      </c>
      <c r="AT159" s="87">
        <f t="shared" si="164"/>
        <v>-1.0226178146593653E-3</v>
      </c>
      <c r="AU159" s="87">
        <f t="shared" si="164"/>
        <v>-7.600584096257865E-4</v>
      </c>
      <c r="AV159" s="87">
        <f t="shared" si="164"/>
        <v>-3.8300560719839872E-4</v>
      </c>
      <c r="AW159" s="87">
        <f t="shared" si="164"/>
        <v>-1.6235182682527009E-4</v>
      </c>
      <c r="AX159" s="87">
        <f t="shared" si="164"/>
        <v>-1.1483015926677743E-4</v>
      </c>
      <c r="AY159" s="87">
        <f t="shared" si="164"/>
        <v>-1.1618756872083527E-4</v>
      </c>
      <c r="AZ159" s="87">
        <f t="shared" si="164"/>
        <v>-3.528032635052338E-4</v>
      </c>
      <c r="BA159" s="87">
        <f t="shared" si="164"/>
        <v>-1.0698311075437736E-3</v>
      </c>
      <c r="BB159" s="87">
        <f t="shared" si="164"/>
        <v>-4.7464717184576068E-4</v>
      </c>
      <c r="BC159" s="87">
        <f t="shared" si="164"/>
        <v>-2.965642353252161E-4</v>
      </c>
      <c r="BD159" s="87">
        <f t="shared" si="164"/>
        <v>-1.2916277709261803E-4</v>
      </c>
      <c r="BE159" s="87">
        <f t="shared" si="164"/>
        <v>-1.2273219505183774E-4</v>
      </c>
      <c r="BF159" s="87">
        <f t="shared" si="164"/>
        <v>-1.3970353920262347E-4</v>
      </c>
      <c r="BG159" s="87">
        <f t="shared" si="164"/>
        <v>-2.2459710117376649E-3</v>
      </c>
      <c r="BH159" s="87">
        <f t="shared" si="164"/>
        <v>-9.4519179132428622E-4</v>
      </c>
      <c r="BI159" s="87">
        <f t="shared" si="164"/>
        <v>-2.5937849606277588E-3</v>
      </c>
      <c r="BJ159" s="87">
        <f t="shared" si="164"/>
        <v>-1.3546983397387058E-3</v>
      </c>
      <c r="BK159" s="87">
        <f t="shared" si="164"/>
        <v>-1.8565868604136109E-4</v>
      </c>
      <c r="BL159" s="87">
        <f t="shared" si="164"/>
        <v>-6.0216007651924105E-5</v>
      </c>
      <c r="BM159" s="87">
        <f t="shared" si="164"/>
        <v>-6.7475362620439427E-5</v>
      </c>
      <c r="BN159" s="87">
        <f t="shared" si="164"/>
        <v>-2.122382394923567E-4</v>
      </c>
      <c r="BO159" s="87">
        <f t="shared" si="163"/>
        <v>-4.1788480604658954E-4</v>
      </c>
      <c r="BP159" s="87">
        <f t="shared" si="163"/>
        <v>-1.165495903735814E-4</v>
      </c>
      <c r="BQ159" s="87">
        <f t="shared" si="163"/>
        <v>-2.4321655820802531E-4</v>
      </c>
      <c r="BR159" s="87">
        <f t="shared" si="163"/>
        <v>-1.9526413239444868E-4</v>
      </c>
      <c r="BS159" s="87">
        <f t="shared" si="163"/>
        <v>-1.997562204248889E-5</v>
      </c>
      <c r="BU159" s="96">
        <v>113715.46300822825</v>
      </c>
      <c r="BV159" s="98">
        <v>320647.64310481364</v>
      </c>
      <c r="BW159">
        <f t="shared" si="155"/>
        <v>-4068.1269725122479</v>
      </c>
      <c r="BX159">
        <f t="shared" si="148"/>
        <v>-280.47976593691288</v>
      </c>
      <c r="BY159">
        <f t="shared" si="148"/>
        <v>-1276.993575820163</v>
      </c>
      <c r="BZ159">
        <f t="shared" si="148"/>
        <v>-303.54117532154009</v>
      </c>
      <c r="CA159">
        <f t="shared" si="148"/>
        <v>-37.54129665319995</v>
      </c>
      <c r="CB159">
        <f t="shared" si="148"/>
        <v>-241.06200941887951</v>
      </c>
      <c r="CC159">
        <f t="shared" si="148"/>
        <v>-542.72959143699427</v>
      </c>
      <c r="CD159">
        <f t="shared" si="148"/>
        <v>111883.13564295565</v>
      </c>
      <c r="CE159">
        <f t="shared" si="148"/>
        <v>-7233.5611564700293</v>
      </c>
      <c r="CF159">
        <f t="shared" si="148"/>
        <v>-849.21715205315786</v>
      </c>
      <c r="CG159">
        <f t="shared" si="148"/>
        <v>-796.05269646919817</v>
      </c>
      <c r="CH159">
        <f t="shared" si="148"/>
        <v>-1646.4579312536248</v>
      </c>
      <c r="CI159">
        <f t="shared" si="148"/>
        <v>-595.7510450499675</v>
      </c>
      <c r="CJ159">
        <f t="shared" si="148"/>
        <v>-662.60374024414864</v>
      </c>
      <c r="CK159">
        <f t="shared" si="148"/>
        <v>-687.37175325221415</v>
      </c>
      <c r="CL159">
        <f t="shared" si="148"/>
        <v>-424.23033268950905</v>
      </c>
      <c r="CM159">
        <f t="shared" si="148"/>
        <v>-3959.0713836818081</v>
      </c>
      <c r="CN159">
        <f t="shared" si="148"/>
        <v>-2941.858388257594</v>
      </c>
      <c r="CO159">
        <f t="shared" si="148"/>
        <v>-766.61006886120083</v>
      </c>
      <c r="CP159">
        <f t="shared" si="148"/>
        <v>-4353.6657394019639</v>
      </c>
      <c r="CQ159">
        <f t="shared" si="148"/>
        <v>-1633.4569819931723</v>
      </c>
      <c r="CR159">
        <f t="shared" si="148"/>
        <v>-747.66602112612077</v>
      </c>
      <c r="CS159">
        <f t="shared" si="148"/>
        <v>-8581.6705802411598</v>
      </c>
      <c r="CT159">
        <f t="shared" si="148"/>
        <v>-948.92050744373398</v>
      </c>
      <c r="CU159">
        <f t="shared" si="148"/>
        <v>-2659.8884477691404</v>
      </c>
      <c r="CV159">
        <f t="shared" si="148"/>
        <v>-1415.9265388939696</v>
      </c>
      <c r="CW159">
        <f t="shared" si="148"/>
        <v>-730.5474518239173</v>
      </c>
      <c r="CX159">
        <f t="shared" si="148"/>
        <v>-747.24264262440295</v>
      </c>
      <c r="CY159">
        <f t="shared" si="148"/>
        <v>-372.60537311905517</v>
      </c>
      <c r="CZ159">
        <f t="shared" si="148"/>
        <v>-2775.1048094721305</v>
      </c>
      <c r="DA159">
        <f t="shared" si="148"/>
        <v>-1448.7722179364728</v>
      </c>
      <c r="DB159">
        <f t="shared" si="148"/>
        <v>-622.93455573873712</v>
      </c>
      <c r="DC159">
        <f t="shared" si="156"/>
        <v>-1047.3214517235601</v>
      </c>
      <c r="DD159">
        <f t="shared" si="149"/>
        <v>-1241.2837595079875</v>
      </c>
      <c r="DE159">
        <f t="shared" si="149"/>
        <v>0</v>
      </c>
      <c r="DF159">
        <f t="shared" si="149"/>
        <v>-781.34012196895787</v>
      </c>
      <c r="DG159">
        <f t="shared" si="149"/>
        <v>-225.63030670475865</v>
      </c>
      <c r="DH159">
        <f t="shared" si="149"/>
        <v>-388.85243662407714</v>
      </c>
      <c r="DI159">
        <f t="shared" si="149"/>
        <v>-243.48547012614409</v>
      </c>
      <c r="DJ159">
        <f t="shared" si="149"/>
        <v>-32.70086617777833</v>
      </c>
      <c r="DK159">
        <f t="shared" si="149"/>
        <v>-70.88935380915855</v>
      </c>
      <c r="DL159">
        <f t="shared" si="149"/>
        <v>-206.37436898130471</v>
      </c>
      <c r="DM159">
        <f t="shared" si="157"/>
        <v>-759.84470273984596</v>
      </c>
      <c r="DN159">
        <f t="shared" si="150"/>
        <v>-1557.379028750961</v>
      </c>
      <c r="DO159">
        <f t="shared" si="150"/>
        <v>-522.58709249786659</v>
      </c>
      <c r="DP159">
        <f t="shared" si="150"/>
        <v>-309.76909629529445</v>
      </c>
      <c r="DQ159">
        <f t="shared" si="150"/>
        <v>-601.18479596040265</v>
      </c>
      <c r="DR159">
        <f t="shared" si="150"/>
        <v>-155.42704280793012</v>
      </c>
      <c r="DS159">
        <f t="shared" si="150"/>
        <v>-354.03565215176974</v>
      </c>
      <c r="DT159">
        <f t="shared" si="150"/>
        <v>-165.49126260587383</v>
      </c>
      <c r="DU159">
        <f t="shared" si="150"/>
        <v>-101.05414711665981</v>
      </c>
      <c r="DV159">
        <f t="shared" si="150"/>
        <v>-878.43886118826993</v>
      </c>
      <c r="DW159">
        <f t="shared" si="150"/>
        <v>-1091.2787315496271</v>
      </c>
      <c r="DX159">
        <f t="shared" si="150"/>
        <v>-86.897628520816227</v>
      </c>
      <c r="DY159">
        <f t="shared" si="150"/>
        <v>-247.35861215295952</v>
      </c>
      <c r="DZ159">
        <f t="shared" si="150"/>
        <v>-174.8441395274325</v>
      </c>
      <c r="EA159">
        <f t="shared" si="150"/>
        <v>-124.86805182910348</v>
      </c>
      <c r="EB159">
        <f t="shared" si="150"/>
        <v>-1960.8340038489373</v>
      </c>
      <c r="EC159">
        <f t="shared" si="150"/>
        <v>-163.20435776518084</v>
      </c>
      <c r="ED159">
        <f t="shared" si="150"/>
        <v>-410.53290725209547</v>
      </c>
      <c r="EE159">
        <f t="shared" si="150"/>
        <v>-460.44784496841851</v>
      </c>
      <c r="EF159">
        <f t="shared" si="150"/>
        <v>-197.94147001713816</v>
      </c>
      <c r="EG159">
        <f t="shared" si="158"/>
        <v>-144.55865810585453</v>
      </c>
      <c r="EH159">
        <f t="shared" si="151"/>
        <v>-138.20081694490253</v>
      </c>
      <c r="EI159">
        <f t="shared" si="151"/>
        <v>-553.36627476134765</v>
      </c>
      <c r="EJ159">
        <f t="shared" si="151"/>
        <v>-929.23424595410495</v>
      </c>
      <c r="EK159">
        <f t="shared" si="151"/>
        <v>-66.690426426909397</v>
      </c>
      <c r="EL159">
        <f t="shared" si="151"/>
        <v>-323.86838761568572</v>
      </c>
      <c r="EM159">
        <f t="shared" si="159"/>
        <v>-206.1419520881839</v>
      </c>
      <c r="EN159">
        <f t="shared" si="152"/>
        <v>-0.27493973906140301</v>
      </c>
      <c r="EO159">
        <v>8</v>
      </c>
      <c r="EP159">
        <f t="shared" si="153"/>
        <v>40607.840473182936</v>
      </c>
      <c r="EQ159" s="98">
        <f t="shared" si="160"/>
        <v>113715.46300822825</v>
      </c>
      <c r="ES159" s="99">
        <f t="shared" si="161"/>
        <v>0.64289957232777895</v>
      </c>
      <c r="ET159">
        <v>25</v>
      </c>
      <c r="EU159">
        <v>51080.676237488267</v>
      </c>
      <c r="EV159">
        <v>25</v>
      </c>
      <c r="EW159" s="98">
        <v>51080.676237488267</v>
      </c>
    </row>
    <row r="160" spans="1:153" x14ac:dyDescent="0.35">
      <c r="A160" s="39">
        <v>9</v>
      </c>
      <c r="B160" s="87">
        <f t="shared" si="154"/>
        <v>-2.8879880702256246E-2</v>
      </c>
      <c r="C160" s="87">
        <f t="shared" si="164"/>
        <v>-1.0419689995995119E-2</v>
      </c>
      <c r="D160" s="87">
        <f t="shared" si="164"/>
        <v>-8.5085014026666222E-3</v>
      </c>
      <c r="E160" s="87">
        <f t="shared" si="164"/>
        <v>-3.8060898652334717E-2</v>
      </c>
      <c r="F160" s="87">
        <f t="shared" si="164"/>
        <v>-2.5905433902738213E-2</v>
      </c>
      <c r="G160" s="87">
        <f t="shared" si="164"/>
        <v>-2.0949179732720036E-2</v>
      </c>
      <c r="H160" s="87">
        <f t="shared" si="164"/>
        <v>-2.3447813560054685E-2</v>
      </c>
      <c r="I160" s="87">
        <f t="shared" si="164"/>
        <v>-2.74792418021731E-2</v>
      </c>
      <c r="J160" s="87">
        <f t="shared" si="164"/>
        <v>0.84353455868888416</v>
      </c>
      <c r="K160" s="87">
        <f t="shared" si="164"/>
        <v>-0.1179405807133256</v>
      </c>
      <c r="L160" s="87">
        <f t="shared" si="164"/>
        <v>-2.2223449851340289E-2</v>
      </c>
      <c r="M160" s="87">
        <f t="shared" si="164"/>
        <v>-1.3962860566412513E-2</v>
      </c>
      <c r="N160" s="87">
        <f t="shared" si="164"/>
        <v>-8.2613326946100497E-3</v>
      </c>
      <c r="O160" s="87">
        <f t="shared" si="164"/>
        <v>-1.0388040270222993E-2</v>
      </c>
      <c r="P160" s="87">
        <f t="shared" si="164"/>
        <v>-9.090925777510965E-3</v>
      </c>
      <c r="Q160" s="87">
        <f t="shared" si="164"/>
        <v>-1.8567424819658247E-2</v>
      </c>
      <c r="R160" s="87">
        <f t="shared" si="164"/>
        <v>-3.7709631046567368E-3</v>
      </c>
      <c r="S160" s="87">
        <f t="shared" si="164"/>
        <v>-6.5677359710574947E-3</v>
      </c>
      <c r="T160" s="87">
        <f t="shared" si="164"/>
        <v>-5.9394169379141841E-3</v>
      </c>
      <c r="U160" s="87">
        <f t="shared" si="164"/>
        <v>-4.0683172086184933E-3</v>
      </c>
      <c r="V160" s="87">
        <f t="shared" si="164"/>
        <v>-2.7080801883957975E-3</v>
      </c>
      <c r="W160" s="87">
        <f t="shared" si="164"/>
        <v>-4.7997906263462778E-3</v>
      </c>
      <c r="X160" s="87">
        <f t="shared" si="164"/>
        <v>-2.3782272483438148E-3</v>
      </c>
      <c r="Y160" s="87">
        <f t="shared" si="164"/>
        <v>-1.617988209437631E-3</v>
      </c>
      <c r="Z160" s="87">
        <f t="shared" si="164"/>
        <v>-2.6329877029407263E-3</v>
      </c>
      <c r="AA160" s="87">
        <f t="shared" si="164"/>
        <v>-1.8117483834576441E-3</v>
      </c>
      <c r="AB160" s="87">
        <f t="shared" si="164"/>
        <v>-1.3685518956476992E-3</v>
      </c>
      <c r="AC160" s="87">
        <f t="shared" si="164"/>
        <v>-9.0025687089109209E-4</v>
      </c>
      <c r="AD160" s="87">
        <f t="shared" si="164"/>
        <v>-1.1173480157937404E-3</v>
      </c>
      <c r="AE160" s="87">
        <f t="shared" si="164"/>
        <v>-3.4518572489555042E-3</v>
      </c>
      <c r="AF160" s="87">
        <f t="shared" si="164"/>
        <v>-3.0024704879527703E-3</v>
      </c>
      <c r="AG160" s="87">
        <f t="shared" si="164"/>
        <v>-1.9178651625932895E-3</v>
      </c>
      <c r="AH160" s="87">
        <f t="shared" si="164"/>
        <v>-3.0186372653980293E-2</v>
      </c>
      <c r="AI160" s="87">
        <f t="shared" si="164"/>
        <v>-6.8623984915611395E-3</v>
      </c>
      <c r="AJ160" s="87">
        <f t="shared" si="164"/>
        <v>0</v>
      </c>
      <c r="AK160" s="87">
        <f t="shared" si="164"/>
        <v>-3.6023873640392543E-3</v>
      </c>
      <c r="AL160" s="87">
        <f t="shared" si="164"/>
        <v>-1.0235336714736142E-3</v>
      </c>
      <c r="AM160" s="87">
        <f t="shared" si="164"/>
        <v>-8.6812584638427893E-4</v>
      </c>
      <c r="AN160" s="87">
        <f t="shared" si="164"/>
        <v>-3.7824921923480131E-3</v>
      </c>
      <c r="AO160" s="87">
        <f t="shared" si="164"/>
        <v>-3.0166378532913182E-3</v>
      </c>
      <c r="AP160" s="87">
        <f t="shared" si="164"/>
        <v>-2.5913284630184031E-3</v>
      </c>
      <c r="AQ160" s="87">
        <f t="shared" si="164"/>
        <v>-3.1544066748819136E-3</v>
      </c>
      <c r="AR160" s="87">
        <f t="shared" si="164"/>
        <v>-1.4969635036419405E-3</v>
      </c>
      <c r="AS160" s="87">
        <f t="shared" si="164"/>
        <v>-1.9541667156533472E-2</v>
      </c>
      <c r="AT160" s="87">
        <f t="shared" si="164"/>
        <v>-1.8168531766541752E-2</v>
      </c>
      <c r="AU160" s="87">
        <f t="shared" si="164"/>
        <v>-2.8389614531193785E-3</v>
      </c>
      <c r="AV160" s="87">
        <f t="shared" si="164"/>
        <v>-1.1180631498076004E-3</v>
      </c>
      <c r="AW160" s="87">
        <f t="shared" si="164"/>
        <v>-8.2596932832248971E-4</v>
      </c>
      <c r="AX160" s="87">
        <f t="shared" si="164"/>
        <v>-1.2342979120023114E-3</v>
      </c>
      <c r="AY160" s="87">
        <f t="shared" si="164"/>
        <v>-8.863300425471706E-4</v>
      </c>
      <c r="AZ160" s="87">
        <f t="shared" si="164"/>
        <v>-2.5464484158207157E-3</v>
      </c>
      <c r="BA160" s="87">
        <f t="shared" si="164"/>
        <v>-1.0081843812363496E-3</v>
      </c>
      <c r="BB160" s="87">
        <f t="shared" si="164"/>
        <v>-1.1190026716095224E-3</v>
      </c>
      <c r="BC160" s="87">
        <f t="shared" si="164"/>
        <v>-5.7373779111735733E-4</v>
      </c>
      <c r="BD160" s="87">
        <f t="shared" si="164"/>
        <v>-2.5782189540074301E-4</v>
      </c>
      <c r="BE160" s="87">
        <f t="shared" si="164"/>
        <v>-1.7678862296505795E-4</v>
      </c>
      <c r="BF160" s="87">
        <f t="shared" si="164"/>
        <v>-3.2701398670719709E-4</v>
      </c>
      <c r="BG160" s="87">
        <f t="shared" si="164"/>
        <v>-3.7223460106826492E-4</v>
      </c>
      <c r="BH160" s="87">
        <f t="shared" si="164"/>
        <v>-2.3333101415367352E-4</v>
      </c>
      <c r="BI160" s="87">
        <f t="shared" si="164"/>
        <v>-4.0923979128413906E-4</v>
      </c>
      <c r="BJ160" s="87">
        <f t="shared" si="164"/>
        <v>-1.1504965259806416E-3</v>
      </c>
      <c r="BK160" s="87">
        <f t="shared" si="164"/>
        <v>-1.0460007470344163E-4</v>
      </c>
      <c r="BL160" s="87">
        <f t="shared" si="164"/>
        <v>-9.7647251647406765E-5</v>
      </c>
      <c r="BM160" s="87">
        <f t="shared" si="164"/>
        <v>-2.6707304430722152E-4</v>
      </c>
      <c r="BN160" s="87">
        <f t="shared" si="164"/>
        <v>-4.8316358609554693E-4</v>
      </c>
      <c r="BO160" s="87">
        <f t="shared" si="163"/>
        <v>-9.1647325401673734E-4</v>
      </c>
      <c r="BP160" s="87">
        <f t="shared" si="163"/>
        <v>-4.5423049166601055E-4</v>
      </c>
      <c r="BQ160" s="87">
        <f t="shared" si="163"/>
        <v>-4.6155853140255176E-3</v>
      </c>
      <c r="BR160" s="87">
        <f t="shared" si="163"/>
        <v>-7.894712537925713E-4</v>
      </c>
      <c r="BS160" s="87">
        <f t="shared" si="163"/>
        <v>-4.4001950871547917E-5</v>
      </c>
      <c r="BU160" s="96">
        <v>257354.45144336403</v>
      </c>
      <c r="BV160" s="98">
        <v>697118.99107854837</v>
      </c>
      <c r="BW160">
        <f t="shared" si="155"/>
        <v>-6719.5536357013452</v>
      </c>
      <c r="BX160">
        <f t="shared" si="148"/>
        <v>-363.01904673984711</v>
      </c>
      <c r="BY160">
        <f t="shared" si="148"/>
        <v>-3157.4543600750881</v>
      </c>
      <c r="BZ160">
        <f t="shared" si="148"/>
        <v>-2899.4707540715995</v>
      </c>
      <c r="CA160">
        <f t="shared" si="148"/>
        <v>-388.8767276010264</v>
      </c>
      <c r="CB160">
        <f t="shared" si="148"/>
        <v>-1079.9548541989918</v>
      </c>
      <c r="CC160">
        <f t="shared" si="148"/>
        <v>-4168.2857224490344</v>
      </c>
      <c r="CD160">
        <f t="shared" si="148"/>
        <v>-3524.4616472696307</v>
      </c>
      <c r="CE160">
        <f t="shared" ref="CE160:CE221" si="165">J160*CE88</f>
        <v>235217.5841972334</v>
      </c>
      <c r="CF160">
        <f t="shared" ref="CF160:CF221" si="166">K160*CF88</f>
        <v>-14069.42354363907</v>
      </c>
      <c r="CG160">
        <f t="shared" ref="CG160:CG221" si="167">L160*CG88</f>
        <v>-1861.6593344701412</v>
      </c>
      <c r="CH160">
        <f t="shared" ref="CH160:CH221" si="168">M160*CH88</f>
        <v>-4190.1437659732001</v>
      </c>
      <c r="CI160">
        <f t="shared" ref="CI160:CI221" si="169">N160*CI88</f>
        <v>-1974.4940825481442</v>
      </c>
      <c r="CJ160">
        <f t="shared" ref="CJ160:CJ221" si="170">O160*CJ88</f>
        <v>-3880.0217745611153</v>
      </c>
      <c r="CK160">
        <f t="shared" ref="CK160:CK221" si="171">P160*CK88</f>
        <v>-3052.779797630033</v>
      </c>
      <c r="CL160">
        <f t="shared" ref="CL160:CL221" si="172">Q160*CL88</f>
        <v>-1459.8701473030967</v>
      </c>
      <c r="CM160">
        <f t="shared" ref="CM160:CM221" si="173">R160*CM88</f>
        <v>-919.29083038162821</v>
      </c>
      <c r="CN160">
        <f t="shared" ref="CN160:CN221" si="174">S160*CN88</f>
        <v>-3604.7777320744917</v>
      </c>
      <c r="CO160">
        <f t="shared" ref="CO160:CO221" si="175">T160*CO88</f>
        <v>-854.12936715980379</v>
      </c>
      <c r="CP160">
        <f t="shared" ref="CP160:CP221" si="176">U160*CP88</f>
        <v>-1892.6016983980073</v>
      </c>
      <c r="CQ160">
        <f t="shared" ref="CQ160:CQ221" si="177">V160*CQ88</f>
        <v>-927.08527985557498</v>
      </c>
      <c r="CR160">
        <f t="shared" ref="CR160:CR221" si="178">W160*CR88</f>
        <v>-1040.9657625208133</v>
      </c>
      <c r="CS160">
        <f t="shared" ref="CS160:CS221" si="179">X160*CS88</f>
        <v>-481.0141254399885</v>
      </c>
      <c r="CT160">
        <f t="shared" ref="CT160:CT221" si="180">Y160*CT88</f>
        <v>-73.188640668992178</v>
      </c>
      <c r="CU160">
        <f t="shared" ref="CU160:CU221" si="181">Z160*CU88</f>
        <v>-122.61127883812469</v>
      </c>
      <c r="CV160">
        <f t="shared" ref="CV160:CV221" si="182">AA160*CV88</f>
        <v>-316.76209800065249</v>
      </c>
      <c r="CW160">
        <f t="shared" ref="CW160:CW221" si="183">AB160*CW88</f>
        <v>-384.28870808342458</v>
      </c>
      <c r="CX160">
        <f t="shared" ref="CX160:CX221" si="184">AC160*CX88</f>
        <v>-481.65862369066673</v>
      </c>
      <c r="CY160">
        <f t="shared" ref="CY160:CY221" si="185">AD160*CY88</f>
        <v>-625.25375355443589</v>
      </c>
      <c r="CZ160">
        <f t="shared" ref="CZ160:CZ221" si="186">AE160*CZ88</f>
        <v>-3089.537816622299</v>
      </c>
      <c r="DA160">
        <f t="shared" ref="DA160:DA221" si="187">AF160*DA88</f>
        <v>-1191.0153875491544</v>
      </c>
      <c r="DB160">
        <f t="shared" ref="DB160:DB221" si="188">AG160*DB88</f>
        <v>-449.24069348539172</v>
      </c>
      <c r="DC160">
        <f t="shared" si="156"/>
        <v>-14279.960083638614</v>
      </c>
      <c r="DD160">
        <f t="shared" si="149"/>
        <v>-1974.8779993100879</v>
      </c>
      <c r="DE160">
        <f t="shared" si="149"/>
        <v>0</v>
      </c>
      <c r="DF160">
        <f t="shared" si="149"/>
        <v>-4633.7870735398201</v>
      </c>
      <c r="DG160">
        <f t="shared" si="149"/>
        <v>-914.1629461924681</v>
      </c>
      <c r="DH160">
        <f t="shared" si="149"/>
        <v>-1409.4443496087117</v>
      </c>
      <c r="DI160">
        <f t="shared" si="149"/>
        <v>-2734.1051754376349</v>
      </c>
      <c r="DJ160">
        <f t="shared" si="149"/>
        <v>-325.57441480298763</v>
      </c>
      <c r="DK160">
        <f t="shared" si="149"/>
        <v>-627.88359814398746</v>
      </c>
      <c r="DL160">
        <f t="shared" si="149"/>
        <v>-2079.7412614731284</v>
      </c>
      <c r="DM160">
        <f t="shared" si="157"/>
        <v>-785.20682384061331</v>
      </c>
      <c r="DN160">
        <f t="shared" si="150"/>
        <v>-21014.119153096653</v>
      </c>
      <c r="DO160">
        <f t="shared" si="150"/>
        <v>-9284.6418815761135</v>
      </c>
      <c r="DP160">
        <f t="shared" si="150"/>
        <v>-1157.0459751678138</v>
      </c>
      <c r="DQ160">
        <f t="shared" si="150"/>
        <v>-1754.9679533536018</v>
      </c>
      <c r="DR160">
        <f t="shared" si="150"/>
        <v>-790.73930156254232</v>
      </c>
      <c r="DS160">
        <f t="shared" si="150"/>
        <v>-3805.4938616786744</v>
      </c>
      <c r="DT160">
        <f t="shared" si="150"/>
        <v>-1262.440375003267</v>
      </c>
      <c r="DU160">
        <f t="shared" si="150"/>
        <v>-729.38433244825831</v>
      </c>
      <c r="DV160">
        <f t="shared" si="150"/>
        <v>-827.82070317096554</v>
      </c>
      <c r="DW160">
        <f t="shared" si="150"/>
        <v>-2572.7401078279281</v>
      </c>
      <c r="DX160">
        <f t="shared" si="150"/>
        <v>-168.11350629045526</v>
      </c>
      <c r="DY160">
        <f t="shared" si="150"/>
        <v>-493.75267135393727</v>
      </c>
      <c r="DZ160">
        <f t="shared" si="150"/>
        <v>-251.85286262915585</v>
      </c>
      <c r="EA160">
        <f t="shared" si="150"/>
        <v>-292.28750877793965</v>
      </c>
      <c r="EB160">
        <f t="shared" si="150"/>
        <v>-324.97759738185385</v>
      </c>
      <c r="EC160">
        <f t="shared" si="150"/>
        <v>-40.288794995029221</v>
      </c>
      <c r="ED160">
        <f t="shared" si="150"/>
        <v>-64.772679242637281</v>
      </c>
      <c r="EE160">
        <f t="shared" si="150"/>
        <v>-391.04177697125954</v>
      </c>
      <c r="EF160">
        <f t="shared" si="150"/>
        <v>-111.5201932760049</v>
      </c>
      <c r="EG160">
        <f t="shared" si="158"/>
        <v>-234.41865736880632</v>
      </c>
      <c r="EH160">
        <f t="shared" si="151"/>
        <v>-547.0102193424832</v>
      </c>
      <c r="EI160">
        <f t="shared" si="151"/>
        <v>-1259.7467561808301</v>
      </c>
      <c r="EJ160">
        <f t="shared" si="151"/>
        <v>-2037.9260523733942</v>
      </c>
      <c r="EK160">
        <f t="shared" si="151"/>
        <v>-259.91361349458259</v>
      </c>
      <c r="EL160">
        <f t="shared" si="151"/>
        <v>-6146.1365318619919</v>
      </c>
      <c r="EM160">
        <f t="shared" si="159"/>
        <v>-833.45130198081097</v>
      </c>
      <c r="EN160">
        <f t="shared" si="152"/>
        <v>-0.60563244864582477</v>
      </c>
      <c r="EO160">
        <v>9</v>
      </c>
      <c r="EP160">
        <f t="shared" si="153"/>
        <v>79552.739479834971</v>
      </c>
      <c r="EQ160" s="98">
        <f t="shared" si="160"/>
        <v>257354.45144336403</v>
      </c>
      <c r="ES160" s="99">
        <f t="shared" si="161"/>
        <v>0.69088259778035299</v>
      </c>
      <c r="ET160">
        <v>12</v>
      </c>
      <c r="EU160">
        <v>87664.908459582497</v>
      </c>
      <c r="EV160">
        <v>12</v>
      </c>
      <c r="EW160" s="98">
        <v>87664.908459582497</v>
      </c>
    </row>
    <row r="161" spans="1:153" x14ac:dyDescent="0.35">
      <c r="A161" s="39">
        <v>10</v>
      </c>
      <c r="B161" s="87">
        <f t="shared" si="154"/>
        <v>-4.4186014312703808E-3</v>
      </c>
      <c r="C161" s="87">
        <f t="shared" si="164"/>
        <v>-5.2042490073178132E-3</v>
      </c>
      <c r="D161" s="87">
        <f t="shared" si="164"/>
        <v>-1.4745933357925095E-2</v>
      </c>
      <c r="E161" s="87">
        <f t="shared" si="164"/>
        <v>-1.109895037503229E-2</v>
      </c>
      <c r="F161" s="87">
        <f t="shared" si="164"/>
        <v>-3.558169402196925E-2</v>
      </c>
      <c r="G161" s="87">
        <f t="shared" si="164"/>
        <v>-7.7080728865813967E-3</v>
      </c>
      <c r="H161" s="87">
        <f t="shared" si="164"/>
        <v>-9.849494117992753E-3</v>
      </c>
      <c r="I161" s="87">
        <f t="shared" si="164"/>
        <v>-1.6702972904643378E-2</v>
      </c>
      <c r="J161" s="87">
        <f t="shared" si="164"/>
        <v>-1.5312714990712038E-2</v>
      </c>
      <c r="K161" s="87">
        <f t="shared" si="164"/>
        <v>0.89710018652576062</v>
      </c>
      <c r="L161" s="87">
        <f t="shared" si="164"/>
        <v>-9.1613655734867541E-3</v>
      </c>
      <c r="M161" s="87">
        <f t="shared" si="164"/>
        <v>-8.9432247323067478E-3</v>
      </c>
      <c r="N161" s="87">
        <f t="shared" si="164"/>
        <v>-2.1629677079709388E-2</v>
      </c>
      <c r="O161" s="87">
        <f t="shared" si="164"/>
        <v>-2.1459113540925178E-2</v>
      </c>
      <c r="P161" s="87">
        <f t="shared" si="164"/>
        <v>-3.6313596584346082E-2</v>
      </c>
      <c r="Q161" s="87">
        <f t="shared" si="164"/>
        <v>-2.6836457078579467E-2</v>
      </c>
      <c r="R161" s="87">
        <f t="shared" si="164"/>
        <v>-2.4154304821644508E-3</v>
      </c>
      <c r="S161" s="87">
        <f t="shared" si="164"/>
        <v>-1.970630991846543E-2</v>
      </c>
      <c r="T161" s="87">
        <f t="shared" si="164"/>
        <v>-1.2301236675410082E-2</v>
      </c>
      <c r="U161" s="87">
        <f t="shared" si="164"/>
        <v>-5.8340056486213794E-3</v>
      </c>
      <c r="V161" s="87">
        <f t="shared" si="164"/>
        <v>-5.3585135809351946E-3</v>
      </c>
      <c r="W161" s="87">
        <f t="shared" si="164"/>
        <v>-1.7908155427123909E-3</v>
      </c>
      <c r="X161" s="87">
        <f t="shared" si="164"/>
        <v>-8.932900373962915E-3</v>
      </c>
      <c r="Y161" s="87">
        <f t="shared" si="164"/>
        <v>-6.6883357145272691E-4</v>
      </c>
      <c r="Z161" s="87">
        <f t="shared" si="164"/>
        <v>-1.4114045490110675E-3</v>
      </c>
      <c r="AA161" s="87">
        <f t="shared" si="164"/>
        <v>-3.5825652006674161E-3</v>
      </c>
      <c r="AB161" s="87">
        <f t="shared" si="164"/>
        <v>-4.260904688399402E-3</v>
      </c>
      <c r="AC161" s="87">
        <f t="shared" si="164"/>
        <v>-5.8300677755035489E-4</v>
      </c>
      <c r="AD161" s="87">
        <f t="shared" si="164"/>
        <v>-9.0271996345669145E-4</v>
      </c>
      <c r="AE161" s="87">
        <f t="shared" si="164"/>
        <v>-2.1552741082481843E-3</v>
      </c>
      <c r="AF161" s="87">
        <f t="shared" si="164"/>
        <v>-1.4650930332595383E-3</v>
      </c>
      <c r="AG161" s="87">
        <f t="shared" si="164"/>
        <v>-7.6089894137075075E-4</v>
      </c>
      <c r="AH161" s="87">
        <f t="shared" si="164"/>
        <v>-2.1577969232444991E-3</v>
      </c>
      <c r="AI161" s="87">
        <f t="shared" si="164"/>
        <v>-3.0541885348957885E-3</v>
      </c>
      <c r="AJ161" s="87">
        <f t="shared" si="164"/>
        <v>0</v>
      </c>
      <c r="AK161" s="87">
        <f t="shared" si="164"/>
        <v>-1.8507596321562725E-4</v>
      </c>
      <c r="AL161" s="87">
        <f t="shared" si="164"/>
        <v>-1.7399405672269554E-4</v>
      </c>
      <c r="AM161" s="87">
        <f t="shared" si="164"/>
        <v>-8.3843337182655671E-4</v>
      </c>
      <c r="AN161" s="87">
        <f t="shared" si="164"/>
        <v>-6.6328142715828525E-4</v>
      </c>
      <c r="AO161" s="87">
        <f t="shared" si="164"/>
        <v>-1.6653701046239876E-3</v>
      </c>
      <c r="AP161" s="87">
        <f t="shared" si="164"/>
        <v>-2.8346436768972826E-4</v>
      </c>
      <c r="AQ161" s="87">
        <f t="shared" si="164"/>
        <v>-7.4757560955604377E-4</v>
      </c>
      <c r="AR161" s="87">
        <f t="shared" si="164"/>
        <v>-1.1610784237297748E-4</v>
      </c>
      <c r="AS161" s="87">
        <f t="shared" si="164"/>
        <v>-7.9048563983834567E-4</v>
      </c>
      <c r="AT161" s="87">
        <f t="shared" si="164"/>
        <v>-5.6902297013978467E-3</v>
      </c>
      <c r="AU161" s="87">
        <f t="shared" si="164"/>
        <v>-6.2287565493744711E-4</v>
      </c>
      <c r="AV161" s="87">
        <f t="shared" si="164"/>
        <v>-2.9883558216027339E-4</v>
      </c>
      <c r="AW161" s="87">
        <f t="shared" si="164"/>
        <v>-8.4934519952660113E-4</v>
      </c>
      <c r="AX161" s="87">
        <f t="shared" si="164"/>
        <v>-9.5758843979052062E-4</v>
      </c>
      <c r="AY161" s="87">
        <f t="shared" si="164"/>
        <v>-1.6602967045322094E-3</v>
      </c>
      <c r="AZ161" s="87">
        <f t="shared" si="164"/>
        <v>-2.0635796290787759E-3</v>
      </c>
      <c r="BA161" s="87">
        <f t="shared" si="164"/>
        <v>-1.4541918761177831E-4</v>
      </c>
      <c r="BB161" s="87">
        <f t="shared" si="164"/>
        <v>-7.3966194258018282E-4</v>
      </c>
      <c r="BC161" s="87">
        <f t="shared" si="164"/>
        <v>-3.7723674824526304E-4</v>
      </c>
      <c r="BD161" s="87">
        <f t="shared" si="164"/>
        <v>-1.9822281923650748E-4</v>
      </c>
      <c r="BE161" s="87">
        <f t="shared" si="164"/>
        <v>-1.8823448653158202E-4</v>
      </c>
      <c r="BF161" s="87">
        <f t="shared" si="164"/>
        <v>-1.5473662272478994E-4</v>
      </c>
      <c r="BG161" s="87">
        <f t="shared" si="164"/>
        <v>-6.823941974351068E-4</v>
      </c>
      <c r="BH161" s="87">
        <f t="shared" si="164"/>
        <v>-1.2332305823373288E-4</v>
      </c>
      <c r="BI161" s="87">
        <f t="shared" si="164"/>
        <v>-4.2499638471534532E-4</v>
      </c>
      <c r="BJ161" s="87">
        <f t="shared" si="164"/>
        <v>-4.8006284903542781E-4</v>
      </c>
      <c r="BK161" s="87">
        <f t="shared" si="164"/>
        <v>-1.5170227809516599E-4</v>
      </c>
      <c r="BL161" s="87">
        <f t="shared" si="164"/>
        <v>-1.6784024242811714E-5</v>
      </c>
      <c r="BM161" s="87">
        <f t="shared" si="164"/>
        <v>-6.2189234504842001E-5</v>
      </c>
      <c r="BN161" s="87">
        <f t="shared" ref="BN161:BS164" si="189">BN88-BN11</f>
        <v>-1.2995960870175018E-4</v>
      </c>
      <c r="BO161" s="87">
        <f t="shared" si="189"/>
        <v>-8.3165939728006789E-5</v>
      </c>
      <c r="BP161" s="87">
        <f t="shared" si="189"/>
        <v>-7.604140445486119E-5</v>
      </c>
      <c r="BQ161" s="87">
        <f t="shared" si="189"/>
        <v>-2.0446272147980427E-4</v>
      </c>
      <c r="BR161" s="87">
        <f t="shared" si="189"/>
        <v>-2.5496763586381976E-4</v>
      </c>
      <c r="BS161" s="87">
        <f t="shared" si="189"/>
        <v>-2.2191365451826358E-5</v>
      </c>
      <c r="BU161" s="96">
        <v>48466.011301056402</v>
      </c>
      <c r="BV161" s="98">
        <v>298231.18256974604</v>
      </c>
      <c r="BW161">
        <f t="shared" si="155"/>
        <v>-1028.0869792474052</v>
      </c>
      <c r="BX161">
        <f t="shared" ref="BX161:BX221" si="190">C161*BX89</f>
        <v>-181.31456064042706</v>
      </c>
      <c r="BY161">
        <f t="shared" ref="BY161:BY221" si="191">D161*BY89</f>
        <v>-5472.1283303502987</v>
      </c>
      <c r="BZ161">
        <f t="shared" ref="BZ161:BZ221" si="192">E161*BZ89</f>
        <v>-845.51555934752207</v>
      </c>
      <c r="CA161">
        <f t="shared" ref="CA161:CA221" si="193">F161*CA89</f>
        <v>-534.13090032442346</v>
      </c>
      <c r="CB161">
        <f t="shared" ref="CB161:CB221" si="194">G161*CB89</f>
        <v>-397.3602230058475</v>
      </c>
      <c r="CC161">
        <f t="shared" ref="CC161:CC221" si="195">H161*CC89</f>
        <v>-1750.9310878911301</v>
      </c>
      <c r="CD161">
        <f t="shared" ref="CD161:CD221" si="196">I161*CD89</f>
        <v>-2142.3075578869848</v>
      </c>
      <c r="CE161">
        <f t="shared" si="165"/>
        <v>-4269.9137699994162</v>
      </c>
      <c r="CF161">
        <f t="shared" si="166"/>
        <v>107017.29980444694</v>
      </c>
      <c r="CG161">
        <f t="shared" si="167"/>
        <v>-767.44798176986967</v>
      </c>
      <c r="CH161">
        <f t="shared" si="168"/>
        <v>-2683.7908451162402</v>
      </c>
      <c r="CI161">
        <f t="shared" si="169"/>
        <v>-5169.5859469716333</v>
      </c>
      <c r="CJ161">
        <f t="shared" si="170"/>
        <v>-8015.1622092028765</v>
      </c>
      <c r="CK161">
        <f t="shared" si="171"/>
        <v>-12194.293160572994</v>
      </c>
      <c r="CL161">
        <f t="shared" si="172"/>
        <v>-2110.0256459323123</v>
      </c>
      <c r="CM161">
        <f t="shared" si="173"/>
        <v>-588.83713047629533</v>
      </c>
      <c r="CN161">
        <f t="shared" si="174"/>
        <v>-10816.035767650534</v>
      </c>
      <c r="CO161">
        <f t="shared" si="175"/>
        <v>-1769.0031878012587</v>
      </c>
      <c r="CP161">
        <f t="shared" si="176"/>
        <v>-2714.0088721827601</v>
      </c>
      <c r="CQ161">
        <f t="shared" si="177"/>
        <v>-1834.4357320283084</v>
      </c>
      <c r="CR161">
        <f t="shared" si="178"/>
        <v>-388.38728854570627</v>
      </c>
      <c r="CS161">
        <f t="shared" si="179"/>
        <v>-1806.745450425994</v>
      </c>
      <c r="CT161">
        <f t="shared" si="180"/>
        <v>-30.254250088402308</v>
      </c>
      <c r="CU161">
        <f t="shared" si="181"/>
        <v>-65.725379772534936</v>
      </c>
      <c r="CV161">
        <f t="shared" si="182"/>
        <v>-626.36781108742173</v>
      </c>
      <c r="CW161">
        <f t="shared" si="183"/>
        <v>-1196.4599685104868</v>
      </c>
      <c r="CX161">
        <f t="shared" si="184"/>
        <v>-311.92235367143945</v>
      </c>
      <c r="CY161">
        <f t="shared" si="185"/>
        <v>-505.15062235006616</v>
      </c>
      <c r="CZ161">
        <f t="shared" si="186"/>
        <v>-1929.0487359042879</v>
      </c>
      <c r="DA161">
        <f t="shared" si="187"/>
        <v>-581.17085706742967</v>
      </c>
      <c r="DB161">
        <f t="shared" si="188"/>
        <v>-178.23295128396143</v>
      </c>
      <c r="DC161">
        <f t="shared" si="156"/>
        <v>-1020.7670290741843</v>
      </c>
      <c r="DD161">
        <f t="shared" si="149"/>
        <v>-878.94192544021917</v>
      </c>
      <c r="DE161">
        <f t="shared" si="149"/>
        <v>0</v>
      </c>
      <c r="DF161">
        <f t="shared" si="149"/>
        <v>-238.06507166122731</v>
      </c>
      <c r="DG161">
        <f t="shared" si="149"/>
        <v>-155.40174587964123</v>
      </c>
      <c r="DH161">
        <f t="shared" si="149"/>
        <v>-1361.2371793400396</v>
      </c>
      <c r="DI161">
        <f t="shared" si="149"/>
        <v>-479.44082645664236</v>
      </c>
      <c r="DJ161">
        <f t="shared" si="149"/>
        <v>-179.73715229084357</v>
      </c>
      <c r="DK161">
        <f t="shared" si="149"/>
        <v>-68.683931686267599</v>
      </c>
      <c r="DL161">
        <f t="shared" si="149"/>
        <v>-492.88630208812015</v>
      </c>
      <c r="DM161">
        <f t="shared" si="157"/>
        <v>-60.902400032378416</v>
      </c>
      <c r="DN161">
        <f t="shared" si="150"/>
        <v>-850.04822215596255</v>
      </c>
      <c r="DO161">
        <f t="shared" si="150"/>
        <v>-2907.8709100027036</v>
      </c>
      <c r="DP161">
        <f t="shared" si="150"/>
        <v>-253.8589485896355</v>
      </c>
      <c r="DQ161">
        <f t="shared" si="150"/>
        <v>-469.06730635321941</v>
      </c>
      <c r="DR161">
        <f t="shared" si="150"/>
        <v>-813.11812294916183</v>
      </c>
      <c r="DS161">
        <f t="shared" si="150"/>
        <v>-2952.3641692998835</v>
      </c>
      <c r="DT161">
        <f t="shared" si="150"/>
        <v>-2364.8364533178737</v>
      </c>
      <c r="DU161">
        <f t="shared" si="150"/>
        <v>-591.07525636812977</v>
      </c>
      <c r="DV161">
        <f t="shared" si="150"/>
        <v>-119.40376818346272</v>
      </c>
      <c r="DW161">
        <f t="shared" si="150"/>
        <v>-1700.5839165449233</v>
      </c>
      <c r="DX161">
        <f t="shared" si="150"/>
        <v>-110.53584656784221</v>
      </c>
      <c r="DY161">
        <f t="shared" si="150"/>
        <v>-379.61495228792012</v>
      </c>
      <c r="DZ161">
        <f t="shared" si="150"/>
        <v>-268.15862629281423</v>
      </c>
      <c r="EA161">
        <f t="shared" si="150"/>
        <v>-138.30473255395282</v>
      </c>
      <c r="EB161">
        <f t="shared" si="150"/>
        <v>-595.76091559825159</v>
      </c>
      <c r="EC161">
        <f t="shared" si="150"/>
        <v>-21.293943410654357</v>
      </c>
      <c r="ED161">
        <f t="shared" si="150"/>
        <v>-67.266563742660296</v>
      </c>
      <c r="EE161">
        <f t="shared" si="150"/>
        <v>-163.16835844827042</v>
      </c>
      <c r="EF161">
        <f t="shared" si="150"/>
        <v>-161.73857830931848</v>
      </c>
      <c r="EG161">
        <f t="shared" si="158"/>
        <v>-40.292874216802467</v>
      </c>
      <c r="EH161">
        <f t="shared" si="151"/>
        <v>-127.37394331755446</v>
      </c>
      <c r="EI161">
        <f t="shared" si="151"/>
        <v>-338.84216486501623</v>
      </c>
      <c r="EJ161">
        <f t="shared" si="151"/>
        <v>-184.93287665405808</v>
      </c>
      <c r="EK161">
        <f t="shared" si="151"/>
        <v>-43.511381489550828</v>
      </c>
      <c r="EL161">
        <f t="shared" si="151"/>
        <v>-272.26358444124321</v>
      </c>
      <c r="EM161">
        <f t="shared" si="159"/>
        <v>-269.17143221215218</v>
      </c>
      <c r="EN161">
        <f t="shared" si="152"/>
        <v>-0.30543670749094598</v>
      </c>
      <c r="EO161">
        <v>10</v>
      </c>
      <c r="EP161">
        <f t="shared" si="153"/>
        <v>12972.691838510575</v>
      </c>
      <c r="EQ161" s="98">
        <f t="shared" si="160"/>
        <v>48466.011301056402</v>
      </c>
      <c r="ES161" s="99">
        <f t="shared" si="161"/>
        <v>0.73233423815448551</v>
      </c>
      <c r="ET161">
        <v>26</v>
      </c>
      <c r="EU161">
        <v>91263.152466013315</v>
      </c>
      <c r="EV161">
        <v>26</v>
      </c>
      <c r="EW161" s="98">
        <v>91263.152466013315</v>
      </c>
    </row>
    <row r="162" spans="1:153" x14ac:dyDescent="0.35">
      <c r="A162" s="39">
        <v>11</v>
      </c>
      <c r="B162" s="87">
        <f t="shared" si="154"/>
        <v>-3.1289931382638358E-3</v>
      </c>
      <c r="C162" s="87">
        <f t="shared" ref="C162:BN165" si="197">C89-C12</f>
        <v>-1.183418760729993E-2</v>
      </c>
      <c r="D162" s="87">
        <f t="shared" si="197"/>
        <v>-6.0584864946639366E-3</v>
      </c>
      <c r="E162" s="87">
        <f t="shared" si="197"/>
        <v>-2.2121058304453746E-3</v>
      </c>
      <c r="F162" s="87">
        <f t="shared" si="197"/>
        <v>-1.3191678483980352E-3</v>
      </c>
      <c r="G162" s="87">
        <f t="shared" si="197"/>
        <v>-8.2444401150333184E-3</v>
      </c>
      <c r="H162" s="87">
        <f t="shared" si="197"/>
        <v>-1.2341328625536823E-3</v>
      </c>
      <c r="I162" s="87">
        <f t="shared" si="197"/>
        <v>-2.102471529295896E-3</v>
      </c>
      <c r="J162" s="87">
        <f t="shared" si="197"/>
        <v>-5.2453089507066217E-3</v>
      </c>
      <c r="K162" s="87">
        <f t="shared" si="197"/>
        <v>-6.2716295987466078E-3</v>
      </c>
      <c r="L162" s="87">
        <f t="shared" si="197"/>
        <v>0.88724088835023363</v>
      </c>
      <c r="M162" s="87">
        <f t="shared" si="197"/>
        <v>-7.149513819170809E-3</v>
      </c>
      <c r="N162" s="87">
        <f t="shared" si="197"/>
        <v>-4.0020317771120072E-3</v>
      </c>
      <c r="O162" s="87">
        <f t="shared" si="197"/>
        <v>-6.4509502679967858E-3</v>
      </c>
      <c r="P162" s="87">
        <f t="shared" si="197"/>
        <v>-5.9911020169993385E-3</v>
      </c>
      <c r="Q162" s="87">
        <f t="shared" si="197"/>
        <v>-6.4917619816139381E-3</v>
      </c>
      <c r="R162" s="87">
        <f t="shared" si="197"/>
        <v>-2.0422899943782135E-3</v>
      </c>
      <c r="S162" s="87">
        <f t="shared" si="197"/>
        <v>-6.0486673584164756E-2</v>
      </c>
      <c r="T162" s="87">
        <f t="shared" si="197"/>
        <v>-2.9921044437408602E-3</v>
      </c>
      <c r="U162" s="87">
        <f t="shared" si="197"/>
        <v>-1.8910603083192286E-3</v>
      </c>
      <c r="V162" s="87">
        <f t="shared" si="197"/>
        <v>-1.3875988960922324E-3</v>
      </c>
      <c r="W162" s="87">
        <f t="shared" si="197"/>
        <v>-2.9879932824071159E-3</v>
      </c>
      <c r="X162" s="87">
        <f t="shared" si="197"/>
        <v>-1.312465258770555E-3</v>
      </c>
      <c r="Y162" s="87">
        <f t="shared" si="197"/>
        <v>-3.3687186195749814E-4</v>
      </c>
      <c r="Z162" s="87">
        <f t="shared" si="197"/>
        <v>-3.9074257585996423E-4</v>
      </c>
      <c r="AA162" s="87">
        <f t="shared" si="197"/>
        <v>-1.0764200292349751E-3</v>
      </c>
      <c r="AB162" s="87">
        <f t="shared" si="197"/>
        <v>-1.6637023475301398E-3</v>
      </c>
      <c r="AC162" s="87">
        <f t="shared" si="197"/>
        <v>-1.9218286999126465E-4</v>
      </c>
      <c r="AD162" s="87">
        <f t="shared" si="197"/>
        <v>-2.0160985379057516E-3</v>
      </c>
      <c r="AE162" s="87">
        <f t="shared" si="197"/>
        <v>-9.7722373748000582E-4</v>
      </c>
      <c r="AF162" s="87">
        <f t="shared" si="197"/>
        <v>-1.0064934374165286E-3</v>
      </c>
      <c r="AG162" s="87">
        <f t="shared" si="197"/>
        <v>-1.0671391855719794E-3</v>
      </c>
      <c r="AH162" s="87">
        <f t="shared" si="197"/>
        <v>-1.0947102087050945E-3</v>
      </c>
      <c r="AI162" s="87">
        <f t="shared" si="197"/>
        <v>-2.2224596933818242E-3</v>
      </c>
      <c r="AJ162" s="87">
        <f t="shared" si="197"/>
        <v>0</v>
      </c>
      <c r="AK162" s="87">
        <f t="shared" si="197"/>
        <v>-3.4409192468615239E-5</v>
      </c>
      <c r="AL162" s="87">
        <f t="shared" si="197"/>
        <v>-9.1699378350698933E-5</v>
      </c>
      <c r="AM162" s="87">
        <f t="shared" si="197"/>
        <v>-1.31813692005327E-4</v>
      </c>
      <c r="AN162" s="87">
        <f t="shared" si="197"/>
        <v>-7.259246156724982E-5</v>
      </c>
      <c r="AO162" s="87">
        <f t="shared" si="197"/>
        <v>-4.6954928470186949E-5</v>
      </c>
      <c r="AP162" s="87">
        <f t="shared" si="197"/>
        <v>-1.2744777820194536E-4</v>
      </c>
      <c r="AQ162" s="87">
        <f t="shared" si="197"/>
        <v>-3.9005881520767999E-5</v>
      </c>
      <c r="AR162" s="87">
        <f t="shared" si="197"/>
        <v>-1.4660063100084786E-4</v>
      </c>
      <c r="AS162" s="87">
        <f t="shared" si="197"/>
        <v>-1.6274057886566401E-4</v>
      </c>
      <c r="AT162" s="87">
        <f t="shared" si="197"/>
        <v>-1.6918922631897846E-4</v>
      </c>
      <c r="AU162" s="87">
        <f t="shared" si="197"/>
        <v>-3.5527879636507208E-3</v>
      </c>
      <c r="AV162" s="87">
        <f t="shared" si="197"/>
        <v>-2.7632705085945097E-4</v>
      </c>
      <c r="AW162" s="87">
        <f t="shared" si="197"/>
        <v>-1.506498883393042E-4</v>
      </c>
      <c r="AX162" s="87">
        <f t="shared" si="197"/>
        <v>-1.6770834758742873E-4</v>
      </c>
      <c r="AY162" s="87">
        <f t="shared" si="197"/>
        <v>-1.8019783570194688E-4</v>
      </c>
      <c r="AZ162" s="87">
        <f t="shared" si="197"/>
        <v>-4.954335675998136E-4</v>
      </c>
      <c r="BA162" s="87">
        <f t="shared" si="197"/>
        <v>-7.1408493155879338E-5</v>
      </c>
      <c r="BB162" s="87">
        <f t="shared" si="197"/>
        <v>-2.766398884028362E-3</v>
      </c>
      <c r="BC162" s="87">
        <f t="shared" si="197"/>
        <v>-1.4736051373818302E-4</v>
      </c>
      <c r="BD162" s="87">
        <f t="shared" si="197"/>
        <v>-4.2345256676779022E-5</v>
      </c>
      <c r="BE162" s="87">
        <f t="shared" si="197"/>
        <v>-4.1554272984014268E-5</v>
      </c>
      <c r="BF162" s="87">
        <f t="shared" si="197"/>
        <v>-1.0819324471589382E-4</v>
      </c>
      <c r="BG162" s="87">
        <f t="shared" si="197"/>
        <v>-7.7443296923596249E-5</v>
      </c>
      <c r="BH162" s="87">
        <f t="shared" si="197"/>
        <v>-1.2907428321259989E-5</v>
      </c>
      <c r="BI162" s="87">
        <f t="shared" si="197"/>
        <v>-6.2034740821294672E-5</v>
      </c>
      <c r="BJ162" s="87">
        <f t="shared" si="197"/>
        <v>-1.4197280761627835E-4</v>
      </c>
      <c r="BK162" s="87">
        <f t="shared" si="197"/>
        <v>-3.0761748278908297E-5</v>
      </c>
      <c r="BL162" s="87">
        <f t="shared" si="197"/>
        <v>-6.201770090943074E-6</v>
      </c>
      <c r="BM162" s="87">
        <f t="shared" si="197"/>
        <v>-8.5771905020756391E-5</v>
      </c>
      <c r="BN162" s="87">
        <f t="shared" si="197"/>
        <v>-3.4233325610959157E-5</v>
      </c>
      <c r="BO162" s="87">
        <f t="shared" si="189"/>
        <v>-4.517608230869697E-5</v>
      </c>
      <c r="BP162" s="87">
        <f t="shared" si="189"/>
        <v>-3.9319194782084763E-5</v>
      </c>
      <c r="BQ162" s="87">
        <f t="shared" si="189"/>
        <v>-7.4599363140575073E-5</v>
      </c>
      <c r="BR162" s="87">
        <f t="shared" si="189"/>
        <v>-6.0003038740967033E-5</v>
      </c>
      <c r="BS162" s="87">
        <f t="shared" si="189"/>
        <v>-1.2543384690446016E-5</v>
      </c>
      <c r="BU162" s="96">
        <v>27881.323686277748</v>
      </c>
      <c r="BV162" s="98">
        <v>209425.10579178427</v>
      </c>
      <c r="BW162">
        <f t="shared" si="155"/>
        <v>-728.0306118668525</v>
      </c>
      <c r="BX162">
        <f t="shared" si="190"/>
        <v>-412.29974267888434</v>
      </c>
      <c r="BY162">
        <f t="shared" si="191"/>
        <v>-2248.2683721527505</v>
      </c>
      <c r="BZ162">
        <f t="shared" si="192"/>
        <v>-168.51772783599768</v>
      </c>
      <c r="CA162">
        <f t="shared" si="193"/>
        <v>-19.802551000208926</v>
      </c>
      <c r="CB162">
        <f t="shared" si="194"/>
        <v>-425.01058447060655</v>
      </c>
      <c r="CC162">
        <f t="shared" si="195"/>
        <v>-219.39010976065069</v>
      </c>
      <c r="CD162">
        <f t="shared" si="196"/>
        <v>-269.66101622548086</v>
      </c>
      <c r="CE162">
        <f t="shared" si="165"/>
        <v>-1462.6417934447518</v>
      </c>
      <c r="CF162">
        <f t="shared" si="166"/>
        <v>-748.15820474944906</v>
      </c>
      <c r="CG162">
        <f t="shared" si="167"/>
        <v>74324.206762217742</v>
      </c>
      <c r="CH162">
        <f t="shared" si="168"/>
        <v>-2145.5124196541919</v>
      </c>
      <c r="CI162">
        <f t="shared" si="169"/>
        <v>-956.50282517163294</v>
      </c>
      <c r="CJ162">
        <f t="shared" si="170"/>
        <v>-2409.4850284885442</v>
      </c>
      <c r="CK162">
        <f t="shared" si="171"/>
        <v>-2011.8429795434618</v>
      </c>
      <c r="CL162">
        <f t="shared" si="172"/>
        <v>-510.41701325869803</v>
      </c>
      <c r="CM162">
        <f t="shared" si="173"/>
        <v>-497.87240360256453</v>
      </c>
      <c r="CN162">
        <f t="shared" si="174"/>
        <v>-33198.809298107022</v>
      </c>
      <c r="CO162">
        <f t="shared" si="175"/>
        <v>-430.28538015145875</v>
      </c>
      <c r="CP162">
        <f t="shared" si="176"/>
        <v>-879.73079968201046</v>
      </c>
      <c r="CQ162">
        <f t="shared" si="177"/>
        <v>-475.03117390072578</v>
      </c>
      <c r="CR162">
        <f t="shared" si="178"/>
        <v>-648.02799700363289</v>
      </c>
      <c r="CS162">
        <f t="shared" si="179"/>
        <v>-265.45584702115019</v>
      </c>
      <c r="CT162">
        <f t="shared" si="180"/>
        <v>-15.238178815203572</v>
      </c>
      <c r="CU162">
        <f t="shared" si="181"/>
        <v>-18.195849099175113</v>
      </c>
      <c r="CV162">
        <f t="shared" si="182"/>
        <v>-188.1989076980268</v>
      </c>
      <c r="CW162">
        <f t="shared" si="183"/>
        <v>-467.1668117233761</v>
      </c>
      <c r="CX162">
        <f t="shared" si="184"/>
        <v>-102.82236065056708</v>
      </c>
      <c r="CY162">
        <f t="shared" si="185"/>
        <v>-1128.1831269604008</v>
      </c>
      <c r="CZ162">
        <f t="shared" si="186"/>
        <v>-874.6507965122338</v>
      </c>
      <c r="DA162">
        <f t="shared" si="187"/>
        <v>-399.25427285305062</v>
      </c>
      <c r="DB162">
        <f t="shared" si="188"/>
        <v>-249.96665934718592</v>
      </c>
      <c r="DC162">
        <f t="shared" si="156"/>
        <v>-517.86341680238934</v>
      </c>
      <c r="DD162">
        <f t="shared" si="149"/>
        <v>-639.58494369141874</v>
      </c>
      <c r="DE162">
        <f t="shared" si="149"/>
        <v>0</v>
      </c>
      <c r="DF162">
        <f t="shared" si="149"/>
        <v>-44.260890115168529</v>
      </c>
      <c r="DG162">
        <f t="shared" si="149"/>
        <v>-81.900748566876814</v>
      </c>
      <c r="DH162">
        <f t="shared" si="149"/>
        <v>-214.00591189832309</v>
      </c>
      <c r="DI162">
        <f t="shared" si="149"/>
        <v>-52.472130747630203</v>
      </c>
      <c r="DJ162">
        <f t="shared" si="149"/>
        <v>-5.0676694062291725</v>
      </c>
      <c r="DK162">
        <f t="shared" si="149"/>
        <v>-30.880828383941537</v>
      </c>
      <c r="DL162">
        <f t="shared" si="149"/>
        <v>-25.717083940012355</v>
      </c>
      <c r="DM162">
        <f t="shared" si="157"/>
        <v>-76.89687528196356</v>
      </c>
      <c r="DN162">
        <f t="shared" si="150"/>
        <v>-175.00297635473797</v>
      </c>
      <c r="DO162">
        <f t="shared" si="150"/>
        <v>-86.460557010196382</v>
      </c>
      <c r="DP162">
        <f t="shared" si="150"/>
        <v>-1447.9728174716654</v>
      </c>
      <c r="DQ162">
        <f t="shared" si="150"/>
        <v>-433.73678757456418</v>
      </c>
      <c r="DR162">
        <f t="shared" si="150"/>
        <v>-144.22422649498864</v>
      </c>
      <c r="DS162">
        <f t="shared" si="150"/>
        <v>-517.06567846404846</v>
      </c>
      <c r="DT162">
        <f t="shared" si="150"/>
        <v>-256.66401042277198</v>
      </c>
      <c r="DU162">
        <f t="shared" si="150"/>
        <v>-141.90803148854792</v>
      </c>
      <c r="DV162">
        <f t="shared" si="150"/>
        <v>-58.633549692753171</v>
      </c>
      <c r="DW162">
        <f t="shared" si="150"/>
        <v>-6360.3291964916361</v>
      </c>
      <c r="DX162">
        <f t="shared" si="150"/>
        <v>-43.178770924332234</v>
      </c>
      <c r="DY162">
        <f t="shared" si="150"/>
        <v>-81.095065920718284</v>
      </c>
      <c r="DZ162">
        <f t="shared" si="150"/>
        <v>-59.198168015403873</v>
      </c>
      <c r="EA162">
        <f t="shared" si="150"/>
        <v>-96.703918639803547</v>
      </c>
      <c r="EB162">
        <f t="shared" si="150"/>
        <v>-67.611491503833435</v>
      </c>
      <c r="EC162">
        <f t="shared" si="150"/>
        <v>-2.2286995812986343</v>
      </c>
      <c r="ED162">
        <f t="shared" si="150"/>
        <v>-9.8185866934137227</v>
      </c>
      <c r="EE162">
        <f t="shared" si="150"/>
        <v>-48.255077454099499</v>
      </c>
      <c r="EF162">
        <f t="shared" si="150"/>
        <v>-32.796880148487979</v>
      </c>
      <c r="EG162">
        <f t="shared" si="158"/>
        <v>-14.888392591718215</v>
      </c>
      <c r="EH162">
        <f t="shared" si="151"/>
        <v>-175.67519290660942</v>
      </c>
      <c r="EI162">
        <f t="shared" si="151"/>
        <v>-89.256148709765938</v>
      </c>
      <c r="EJ162">
        <f t="shared" si="151"/>
        <v>-100.45630320094097</v>
      </c>
      <c r="EK162">
        <f t="shared" si="151"/>
        <v>-22.498696549467478</v>
      </c>
      <c r="EL162">
        <f t="shared" si="151"/>
        <v>-99.336885759358864</v>
      </c>
      <c r="EM162">
        <f t="shared" si="159"/>
        <v>-63.345701976127593</v>
      </c>
      <c r="EN162">
        <f t="shared" si="152"/>
        <v>-0.17264418131273035</v>
      </c>
      <c r="EO162">
        <v>11</v>
      </c>
      <c r="EP162">
        <f t="shared" si="153"/>
        <v>7432.6109637312393</v>
      </c>
      <c r="EQ162" s="98">
        <f t="shared" si="160"/>
        <v>27881.323686277748</v>
      </c>
      <c r="ES162" s="99">
        <f t="shared" si="161"/>
        <v>0.73341972399289912</v>
      </c>
      <c r="ET162">
        <v>8</v>
      </c>
      <c r="EU162">
        <v>113715.46300822825</v>
      </c>
      <c r="EV162">
        <v>8</v>
      </c>
      <c r="EW162" s="98">
        <v>113715.46300822825</v>
      </c>
    </row>
    <row r="163" spans="1:153" x14ac:dyDescent="0.35">
      <c r="A163" s="39">
        <v>12</v>
      </c>
      <c r="B163" s="87">
        <f t="shared" si="154"/>
        <v>-7.0702938164434043E-3</v>
      </c>
      <c r="C163" s="87">
        <f t="shared" si="197"/>
        <v>-2.7316262844014248E-2</v>
      </c>
      <c r="D163" s="87">
        <f t="shared" si="197"/>
        <v>-9.3936215804927472E-3</v>
      </c>
      <c r="E163" s="87">
        <f t="shared" si="197"/>
        <v>-6.6383905566041292E-3</v>
      </c>
      <c r="F163" s="87">
        <f t="shared" si="197"/>
        <v>-1.1758513985246435E-2</v>
      </c>
      <c r="G163" s="87">
        <f t="shared" si="197"/>
        <v>-2.0456406780629752E-2</v>
      </c>
      <c r="H163" s="87">
        <f t="shared" si="197"/>
        <v>-6.4865464127625474E-3</v>
      </c>
      <c r="I163" s="87">
        <f t="shared" si="197"/>
        <v>-1.2609781699501188E-2</v>
      </c>
      <c r="J163" s="87">
        <f t="shared" si="197"/>
        <v>-1.2562475756852123E-2</v>
      </c>
      <c r="K163" s="87">
        <f t="shared" si="197"/>
        <v>-2.3874265692706682E-2</v>
      </c>
      <c r="L163" s="87">
        <f t="shared" si="197"/>
        <v>-2.2359209224355643E-2</v>
      </c>
      <c r="M163" s="87">
        <f t="shared" si="197"/>
        <v>0.73243015173032355</v>
      </c>
      <c r="N163" s="87">
        <f t="shared" si="197"/>
        <v>-0.13077317706155636</v>
      </c>
      <c r="O163" s="87">
        <f t="shared" si="197"/>
        <v>-5.5925282707010894E-2</v>
      </c>
      <c r="P163" s="87">
        <f t="shared" si="197"/>
        <v>-8.4551227918556709E-2</v>
      </c>
      <c r="Q163" s="87">
        <f t="shared" si="197"/>
        <v>-9.2301014207973819E-2</v>
      </c>
      <c r="R163" s="87">
        <f t="shared" si="197"/>
        <v>-9.1339173905491435E-3</v>
      </c>
      <c r="S163" s="87">
        <f t="shared" si="197"/>
        <v>-4.7047021841830683E-2</v>
      </c>
      <c r="T163" s="87">
        <f t="shared" si="197"/>
        <v>-1.1128960749234305E-2</v>
      </c>
      <c r="U163" s="87">
        <f t="shared" si="197"/>
        <v>-4.4427037720312663E-3</v>
      </c>
      <c r="V163" s="87">
        <f t="shared" si="197"/>
        <v>-3.388758385904838E-3</v>
      </c>
      <c r="W163" s="87">
        <f t="shared" si="197"/>
        <v>-1.9752124446574199E-3</v>
      </c>
      <c r="X163" s="87">
        <f t="shared" si="197"/>
        <v>-4.4616022894417998E-3</v>
      </c>
      <c r="Y163" s="87">
        <f t="shared" si="197"/>
        <v>-1.5568644455666242E-3</v>
      </c>
      <c r="Z163" s="87">
        <f t="shared" si="197"/>
        <v>-1.9932385997969049E-3</v>
      </c>
      <c r="AA163" s="87">
        <f t="shared" si="197"/>
        <v>-4.4680379789652355E-3</v>
      </c>
      <c r="AB163" s="87">
        <f t="shared" si="197"/>
        <v>-2.0640849145444414E-3</v>
      </c>
      <c r="AC163" s="87">
        <f t="shared" si="197"/>
        <v>-5.5983719017659776E-4</v>
      </c>
      <c r="AD163" s="87">
        <f t="shared" si="197"/>
        <v>-1.5367938553714892E-3</v>
      </c>
      <c r="AE163" s="87">
        <f t="shared" si="197"/>
        <v>-2.6728985322951294E-3</v>
      </c>
      <c r="AF163" s="87">
        <f t="shared" si="197"/>
        <v>-3.2938073699855866E-3</v>
      </c>
      <c r="AG163" s="87">
        <f t="shared" si="197"/>
        <v>-1.4880586438832328E-3</v>
      </c>
      <c r="AH163" s="87">
        <f t="shared" si="197"/>
        <v>-1.5009338467333029E-3</v>
      </c>
      <c r="AI163" s="87">
        <f t="shared" si="197"/>
        <v>-4.420650840786103E-3</v>
      </c>
      <c r="AJ163" s="87">
        <f t="shared" si="197"/>
        <v>0</v>
      </c>
      <c r="AK163" s="87">
        <f t="shared" si="197"/>
        <v>-2.2999104137245088E-4</v>
      </c>
      <c r="AL163" s="87">
        <f t="shared" si="197"/>
        <v>-5.720962376957431E-4</v>
      </c>
      <c r="AM163" s="87">
        <f t="shared" si="197"/>
        <v>-4.2209372716461429E-4</v>
      </c>
      <c r="AN163" s="87">
        <f t="shared" si="197"/>
        <v>-2.4238687969791218E-4</v>
      </c>
      <c r="AO163" s="87">
        <f t="shared" si="197"/>
        <v>-4.6017358874514891E-4</v>
      </c>
      <c r="AP163" s="87">
        <f t="shared" si="197"/>
        <v>-5.6512807557512008E-4</v>
      </c>
      <c r="AQ163" s="87">
        <f t="shared" si="197"/>
        <v>-3.9826621415413099E-4</v>
      </c>
      <c r="AR163" s="87">
        <f t="shared" si="197"/>
        <v>-2.3185086795560715E-4</v>
      </c>
      <c r="AS163" s="87">
        <f t="shared" si="197"/>
        <v>-5.2374945862433057E-4</v>
      </c>
      <c r="AT163" s="87">
        <f t="shared" si="197"/>
        <v>-9.8942963806325263E-4</v>
      </c>
      <c r="AU163" s="87">
        <f t="shared" si="197"/>
        <v>-1.5417091495675927E-3</v>
      </c>
      <c r="AV163" s="87">
        <f t="shared" si="197"/>
        <v>-1.1084037439206303E-2</v>
      </c>
      <c r="AW163" s="87">
        <f t="shared" si="197"/>
        <v>-6.0982107185434181E-3</v>
      </c>
      <c r="AX163" s="87">
        <f t="shared" si="197"/>
        <v>-2.3567046042116515E-3</v>
      </c>
      <c r="AY163" s="87">
        <f t="shared" si="197"/>
        <v>-3.5921792562823864E-3</v>
      </c>
      <c r="AZ163" s="87">
        <f t="shared" si="197"/>
        <v>-3.3720930071734732E-3</v>
      </c>
      <c r="BA163" s="87">
        <f t="shared" si="197"/>
        <v>-3.2731426491276375E-4</v>
      </c>
      <c r="BB163" s="87">
        <f t="shared" si="197"/>
        <v>-4.003947092585794E-3</v>
      </c>
      <c r="BC163" s="87">
        <f t="shared" si="197"/>
        <v>-5.9409056968082663E-4</v>
      </c>
      <c r="BD163" s="87">
        <f t="shared" si="197"/>
        <v>-1.3403885618461467E-4</v>
      </c>
      <c r="BE163" s="87">
        <f t="shared" si="197"/>
        <v>-1.2580873352232346E-4</v>
      </c>
      <c r="BF163" s="87">
        <f t="shared" si="197"/>
        <v>-1.2656610960691745E-4</v>
      </c>
      <c r="BG163" s="87">
        <f t="shared" si="197"/>
        <v>-3.5166284190882888E-4</v>
      </c>
      <c r="BH163" s="87">
        <f t="shared" si="197"/>
        <v>-1.6626144293596149E-4</v>
      </c>
      <c r="BI163" s="87">
        <f t="shared" si="197"/>
        <v>-2.6604983665539918E-4</v>
      </c>
      <c r="BJ163" s="87">
        <f t="shared" si="197"/>
        <v>-6.3788831115245588E-4</v>
      </c>
      <c r="BK163" s="87">
        <f t="shared" si="197"/>
        <v>-1.1028441475067035E-4</v>
      </c>
      <c r="BL163" s="87">
        <f t="shared" si="197"/>
        <v>-3.55810870686935E-5</v>
      </c>
      <c r="BM163" s="87">
        <f t="shared" si="197"/>
        <v>-1.230184931413872E-4</v>
      </c>
      <c r="BN163" s="87">
        <f t="shared" si="197"/>
        <v>-1.5020974125375667E-4</v>
      </c>
      <c r="BO163" s="87">
        <f t="shared" si="189"/>
        <v>-1.29538071251749E-4</v>
      </c>
      <c r="BP163" s="87">
        <f t="shared" si="189"/>
        <v>-1.0255015038290753E-4</v>
      </c>
      <c r="BQ163" s="87">
        <f t="shared" si="189"/>
        <v>-1.0171706412467024E-4</v>
      </c>
      <c r="BR163" s="87">
        <f t="shared" si="189"/>
        <v>-1.5400935269555498E-4</v>
      </c>
      <c r="BS163" s="87">
        <f t="shared" si="189"/>
        <v>-2.5106555630034627E-5</v>
      </c>
      <c r="BU163" s="96">
        <v>87664.908459582497</v>
      </c>
      <c r="BV163" s="98">
        <v>750230.18135204667</v>
      </c>
      <c r="BW163">
        <f t="shared" si="155"/>
        <v>-1645.0628383671733</v>
      </c>
      <c r="BX163">
        <f t="shared" si="190"/>
        <v>-951.69085663206545</v>
      </c>
      <c r="BY163">
        <f t="shared" si="191"/>
        <v>-3485.9172035778993</v>
      </c>
      <c r="BZ163">
        <f t="shared" si="192"/>
        <v>-505.71110915685296</v>
      </c>
      <c r="CA163">
        <f t="shared" si="193"/>
        <v>-176.51171013777963</v>
      </c>
      <c r="CB163">
        <f t="shared" si="194"/>
        <v>-1054.5518289532502</v>
      </c>
      <c r="CC163">
        <f t="shared" si="195"/>
        <v>-1153.1044773565691</v>
      </c>
      <c r="CD163">
        <f t="shared" si="196"/>
        <v>-1617.318712804507</v>
      </c>
      <c r="CE163">
        <f t="shared" si="165"/>
        <v>-3503.0161700261901</v>
      </c>
      <c r="CF163">
        <f t="shared" si="166"/>
        <v>-2848.0201962080923</v>
      </c>
      <c r="CG163">
        <f t="shared" si="167"/>
        <v>-1873.031902892528</v>
      </c>
      <c r="CH163">
        <f t="shared" si="168"/>
        <v>219796.48222413906</v>
      </c>
      <c r="CI163">
        <f t="shared" si="169"/>
        <v>-31255.352351628269</v>
      </c>
      <c r="CJ163">
        <f t="shared" si="170"/>
        <v>-20888.570799411278</v>
      </c>
      <c r="CK163">
        <f t="shared" si="171"/>
        <v>-28392.738734388044</v>
      </c>
      <c r="CL163">
        <f t="shared" si="172"/>
        <v>-7257.1989124391739</v>
      </c>
      <c r="CM163">
        <f t="shared" si="173"/>
        <v>-2226.6795695312044</v>
      </c>
      <c r="CN163">
        <f t="shared" si="174"/>
        <v>-25822.301237932763</v>
      </c>
      <c r="CO163">
        <f t="shared" si="175"/>
        <v>-1600.4217756142202</v>
      </c>
      <c r="CP163">
        <f t="shared" si="176"/>
        <v>-2066.768217240578</v>
      </c>
      <c r="CQ163">
        <f t="shared" si="177"/>
        <v>-1160.1089325277931</v>
      </c>
      <c r="CR163">
        <f t="shared" si="178"/>
        <v>-428.37879579730497</v>
      </c>
      <c r="CS163">
        <f t="shared" si="179"/>
        <v>-902.39220192747621</v>
      </c>
      <c r="CT163">
        <f t="shared" si="180"/>
        <v>-70.423747102897323</v>
      </c>
      <c r="CU163">
        <f t="shared" si="181"/>
        <v>-92.819853840431435</v>
      </c>
      <c r="CV163">
        <f t="shared" si="182"/>
        <v>-781.18192188618059</v>
      </c>
      <c r="CW163">
        <f t="shared" si="183"/>
        <v>-579.5940422188861</v>
      </c>
      <c r="CX163">
        <f t="shared" si="184"/>
        <v>-299.52607886725133</v>
      </c>
      <c r="CY163">
        <f t="shared" si="185"/>
        <v>-859.97031625623219</v>
      </c>
      <c r="CZ163">
        <f t="shared" si="186"/>
        <v>-2392.3414266389004</v>
      </c>
      <c r="DA163">
        <f t="shared" si="187"/>
        <v>-1306.5824550204052</v>
      </c>
      <c r="DB163">
        <f t="shared" si="188"/>
        <v>-348.56282400015584</v>
      </c>
      <c r="DC163">
        <f t="shared" si="156"/>
        <v>-710.03149882294952</v>
      </c>
      <c r="DD163">
        <f t="shared" si="149"/>
        <v>-1272.1858252382044</v>
      </c>
      <c r="DE163">
        <f t="shared" si="149"/>
        <v>0</v>
      </c>
      <c r="DF163">
        <f t="shared" si="149"/>
        <v>-295.83978813057263</v>
      </c>
      <c r="DG163">
        <f t="shared" si="149"/>
        <v>-510.96431581444972</v>
      </c>
      <c r="DH163">
        <f t="shared" si="149"/>
        <v>-685.28960545900441</v>
      </c>
      <c r="DI163">
        <f t="shared" si="149"/>
        <v>-175.20491478631649</v>
      </c>
      <c r="DJ163">
        <f t="shared" si="149"/>
        <v>-49.664810345076674</v>
      </c>
      <c r="DK163">
        <f t="shared" si="149"/>
        <v>-136.93156022798399</v>
      </c>
      <c r="DL163">
        <f t="shared" si="149"/>
        <v>-262.58208404851507</v>
      </c>
      <c r="DM163">
        <f t="shared" si="157"/>
        <v>-121.61344160308705</v>
      </c>
      <c r="DN163">
        <f t="shared" si="150"/>
        <v>-563.21364199583184</v>
      </c>
      <c r="DO163">
        <f t="shared" si="150"/>
        <v>-505.6269804559642</v>
      </c>
      <c r="DP163">
        <f t="shared" si="150"/>
        <v>-628.33835395212964</v>
      </c>
      <c r="DQ163">
        <f t="shared" si="150"/>
        <v>-17398.06065777766</v>
      </c>
      <c r="DR163">
        <f t="shared" si="150"/>
        <v>-5838.1040542458295</v>
      </c>
      <c r="DS163">
        <f t="shared" si="150"/>
        <v>-7266.0131868557473</v>
      </c>
      <c r="DT163">
        <f t="shared" si="150"/>
        <v>-5116.5050372742435</v>
      </c>
      <c r="DU163">
        <f t="shared" si="150"/>
        <v>-965.87537046100124</v>
      </c>
      <c r="DV163">
        <f t="shared" si="150"/>
        <v>-268.75790776057556</v>
      </c>
      <c r="DW163">
        <f t="shared" si="150"/>
        <v>-9205.621698739862</v>
      </c>
      <c r="DX163">
        <f t="shared" si="150"/>
        <v>-174.07716603194535</v>
      </c>
      <c r="DY163">
        <f t="shared" si="150"/>
        <v>-256.69675263037794</v>
      </c>
      <c r="DZ163">
        <f t="shared" si="150"/>
        <v>-179.22697258413717</v>
      </c>
      <c r="EA163">
        <f t="shared" si="150"/>
        <v>-113.1257205394248</v>
      </c>
      <c r="EB163">
        <f t="shared" si="150"/>
        <v>-307.01752369078497</v>
      </c>
      <c r="EC163">
        <f t="shared" si="150"/>
        <v>-28.708027581850043</v>
      </c>
      <c r="ED163">
        <f t="shared" si="150"/>
        <v>-42.10920125377384</v>
      </c>
      <c r="EE163">
        <f t="shared" si="150"/>
        <v>-216.81158792690624</v>
      </c>
      <c r="EF163">
        <f t="shared" si="150"/>
        <v>-117.58059717639165</v>
      </c>
      <c r="EG163">
        <f t="shared" si="158"/>
        <v>-85.418386259181901</v>
      </c>
      <c r="EH163">
        <f t="shared" si="151"/>
        <v>-251.96242882169605</v>
      </c>
      <c r="EI163">
        <f t="shared" si="151"/>
        <v>-391.64009817114356</v>
      </c>
      <c r="EJ163">
        <f t="shared" si="151"/>
        <v>-288.04878813552278</v>
      </c>
      <c r="EK163">
        <f t="shared" si="151"/>
        <v>-58.679856679530893</v>
      </c>
      <c r="EL163">
        <f t="shared" si="151"/>
        <v>-135.44695227074905</v>
      </c>
      <c r="EM163">
        <f t="shared" si="159"/>
        <v>-162.58894152852565</v>
      </c>
      <c r="EN163">
        <f t="shared" si="152"/>
        <v>-0.34556069588070043</v>
      </c>
      <c r="EO163">
        <v>12</v>
      </c>
      <c r="EP163">
        <f t="shared" si="153"/>
        <v>17464.72172778389</v>
      </c>
      <c r="EQ163" s="98">
        <f t="shared" si="160"/>
        <v>87664.908459582497</v>
      </c>
      <c r="ES163" s="99">
        <f t="shared" si="161"/>
        <v>0.80077864638578933</v>
      </c>
      <c r="ET163">
        <v>7</v>
      </c>
      <c r="EU163">
        <v>114110.89211204692</v>
      </c>
      <c r="EV163">
        <v>7</v>
      </c>
      <c r="EW163" s="98">
        <v>114110.89211204692</v>
      </c>
    </row>
    <row r="164" spans="1:153" x14ac:dyDescent="0.35">
      <c r="A164" s="39">
        <v>13</v>
      </c>
      <c r="B164" s="87">
        <f t="shared" si="154"/>
        <v>-1.2373954839525253E-2</v>
      </c>
      <c r="C164" s="87">
        <f t="shared" si="197"/>
        <v>-2.6457870619037684E-2</v>
      </c>
      <c r="D164" s="87">
        <f t="shared" si="197"/>
        <v>-5.1044365684443779E-3</v>
      </c>
      <c r="E164" s="87">
        <f t="shared" si="197"/>
        <v>-7.888389347812233E-3</v>
      </c>
      <c r="F164" s="87">
        <f t="shared" si="197"/>
        <v>-5.8295478784722975E-3</v>
      </c>
      <c r="G164" s="87">
        <f t="shared" si="197"/>
        <v>-8.9495036313678288E-3</v>
      </c>
      <c r="H164" s="87">
        <f t="shared" si="197"/>
        <v>-7.1121086893226344E-3</v>
      </c>
      <c r="I164" s="87">
        <f t="shared" si="197"/>
        <v>-8.2332927631487817E-3</v>
      </c>
      <c r="J164" s="87">
        <f t="shared" si="197"/>
        <v>-6.9362649930551547E-3</v>
      </c>
      <c r="K164" s="87">
        <f t="shared" si="197"/>
        <v>-1.324928848987922E-2</v>
      </c>
      <c r="L164" s="87">
        <f t="shared" si="197"/>
        <v>-1.4227642659929086E-2</v>
      </c>
      <c r="M164" s="87">
        <f t="shared" si="197"/>
        <v>-1.7395087449533317E-2</v>
      </c>
      <c r="N164" s="87">
        <f t="shared" si="197"/>
        <v>0.88794186863548663</v>
      </c>
      <c r="O164" s="87">
        <f t="shared" si="197"/>
        <v>-1.3779444781546678E-2</v>
      </c>
      <c r="P164" s="87">
        <f t="shared" si="197"/>
        <v>-2.8099760634265315E-2</v>
      </c>
      <c r="Q164" s="87">
        <f t="shared" si="197"/>
        <v>-1.438217709910593E-2</v>
      </c>
      <c r="R164" s="87">
        <f t="shared" si="197"/>
        <v>-8.4522936674838126E-3</v>
      </c>
      <c r="S164" s="87">
        <f t="shared" si="197"/>
        <v>-1.22534341671297E-2</v>
      </c>
      <c r="T164" s="87">
        <f t="shared" si="197"/>
        <v>-7.3768021440320155E-3</v>
      </c>
      <c r="U164" s="87">
        <f t="shared" si="197"/>
        <v>-3.1665108098579095E-3</v>
      </c>
      <c r="V164" s="87">
        <f t="shared" si="197"/>
        <v>-2.9951846740098259E-3</v>
      </c>
      <c r="W164" s="87">
        <f t="shared" si="197"/>
        <v>-2.7830172231852546E-3</v>
      </c>
      <c r="X164" s="87">
        <f t="shared" si="197"/>
        <v>-3.5636813472441587E-3</v>
      </c>
      <c r="Y164" s="87">
        <f t="shared" si="197"/>
        <v>-2.0759155104011326E-3</v>
      </c>
      <c r="Z164" s="87">
        <f t="shared" si="197"/>
        <v>-1.8090236731714874E-3</v>
      </c>
      <c r="AA164" s="87">
        <f t="shared" si="197"/>
        <v>-3.741889868118593E-3</v>
      </c>
      <c r="AB164" s="87">
        <f t="shared" si="197"/>
        <v>-2.567566523343777E-3</v>
      </c>
      <c r="AC164" s="87">
        <f t="shared" si="197"/>
        <v>-6.151647607750227E-4</v>
      </c>
      <c r="AD164" s="87">
        <f t="shared" si="197"/>
        <v>-8.7115635712525807E-4</v>
      </c>
      <c r="AE164" s="87">
        <f t="shared" si="197"/>
        <v>-2.3639569709519668E-3</v>
      </c>
      <c r="AF164" s="87">
        <f t="shared" si="197"/>
        <v>-1.229225051150191E-2</v>
      </c>
      <c r="AG164" s="87">
        <f t="shared" si="197"/>
        <v>-7.1236827709026719E-4</v>
      </c>
      <c r="AH164" s="87">
        <f t="shared" si="197"/>
        <v>-2.0732966103111277E-3</v>
      </c>
      <c r="AI164" s="87">
        <f t="shared" si="197"/>
        <v>-3.3999710624005074E-3</v>
      </c>
      <c r="AJ164" s="87">
        <f t="shared" si="197"/>
        <v>0</v>
      </c>
      <c r="AK164" s="87">
        <f t="shared" si="197"/>
        <v>-5.2388245251257237E-4</v>
      </c>
      <c r="AL164" s="87">
        <f t="shared" si="197"/>
        <v>-1.2186918705704871E-3</v>
      </c>
      <c r="AM164" s="87">
        <f t="shared" si="197"/>
        <v>-3.102486347818703E-4</v>
      </c>
      <c r="AN164" s="87">
        <f t="shared" si="197"/>
        <v>-6.9016351570917647E-4</v>
      </c>
      <c r="AO164" s="87">
        <f t="shared" si="197"/>
        <v>-5.0393880469829476E-4</v>
      </c>
      <c r="AP164" s="87">
        <f t="shared" si="197"/>
        <v>-7.0003989054952958E-4</v>
      </c>
      <c r="AQ164" s="87">
        <f t="shared" si="197"/>
        <v>-5.6335713576630359E-4</v>
      </c>
      <c r="AR164" s="87">
        <f t="shared" si="197"/>
        <v>-5.3449491611223755E-4</v>
      </c>
      <c r="AS164" s="87">
        <f t="shared" si="197"/>
        <v>-6.2186718626867563E-4</v>
      </c>
      <c r="AT164" s="87">
        <f t="shared" si="197"/>
        <v>-7.8998488613924746E-4</v>
      </c>
      <c r="AU164" s="87">
        <f t="shared" si="197"/>
        <v>-1.4208521807726703E-3</v>
      </c>
      <c r="AV164" s="87">
        <f t="shared" si="197"/>
        <v>-1.5192173334064815E-3</v>
      </c>
      <c r="AW164" s="87">
        <f t="shared" si="197"/>
        <v>-9.5557761847385424E-3</v>
      </c>
      <c r="AX164" s="87">
        <f t="shared" si="197"/>
        <v>-1.0409751538699088E-3</v>
      </c>
      <c r="AY164" s="87">
        <f t="shared" si="197"/>
        <v>-3.0476509997423877E-3</v>
      </c>
      <c r="AZ164" s="87">
        <f t="shared" si="197"/>
        <v>-8.4530456058469743E-4</v>
      </c>
      <c r="BA164" s="87">
        <f t="shared" si="197"/>
        <v>-7.1291205760809473E-4</v>
      </c>
      <c r="BB164" s="87">
        <f t="shared" si="197"/>
        <v>-1.6408429978759386E-3</v>
      </c>
      <c r="BC164" s="87">
        <f t="shared" si="197"/>
        <v>-2.0987815077210281E-3</v>
      </c>
      <c r="BD164" s="87">
        <f t="shared" si="197"/>
        <v>-2.1121827759879711E-4</v>
      </c>
      <c r="BE164" s="87">
        <f t="shared" si="197"/>
        <v>-2.0978077684423509E-4</v>
      </c>
      <c r="BF164" s="87">
        <f t="shared" si="197"/>
        <v>-1.7019232363372851E-4</v>
      </c>
      <c r="BG164" s="87">
        <f t="shared" si="197"/>
        <v>-4.9126182422908678E-4</v>
      </c>
      <c r="BH164" s="87">
        <f t="shared" si="197"/>
        <v>-5.8962202054899072E-4</v>
      </c>
      <c r="BI164" s="87">
        <f t="shared" si="197"/>
        <v>-5.9754060128048799E-4</v>
      </c>
      <c r="BJ164" s="87">
        <f t="shared" si="197"/>
        <v>-1.2051898773817007E-3</v>
      </c>
      <c r="BK164" s="87">
        <f t="shared" si="197"/>
        <v>-1.5650796712616752E-4</v>
      </c>
      <c r="BL164" s="87">
        <f t="shared" si="197"/>
        <v>-9.2675362978164808E-5</v>
      </c>
      <c r="BM164" s="87">
        <f t="shared" si="197"/>
        <v>-2.0888797138549263E-4</v>
      </c>
      <c r="BN164" s="87">
        <f t="shared" si="197"/>
        <v>-2.4672643983508367E-4</v>
      </c>
      <c r="BO164" s="87">
        <f t="shared" si="189"/>
        <v>-3.9180103963678392E-4</v>
      </c>
      <c r="BP164" s="87">
        <f t="shared" si="189"/>
        <v>-3.1232769341752728E-4</v>
      </c>
      <c r="BQ164" s="87">
        <f t="shared" si="189"/>
        <v>-2.8434132982469525E-4</v>
      </c>
      <c r="BR164" s="87">
        <f t="shared" si="189"/>
        <v>-2.935483155011831E-4</v>
      </c>
      <c r="BS164" s="87">
        <f t="shared" si="189"/>
        <v>-1.6787565346223439E-5</v>
      </c>
      <c r="BU164" s="96">
        <v>322847.23289598513</v>
      </c>
      <c r="BV164" s="98">
        <v>597510.76355887635</v>
      </c>
      <c r="BW164">
        <f t="shared" si="155"/>
        <v>-2879.0788330174873</v>
      </c>
      <c r="BX164">
        <f t="shared" si="190"/>
        <v>-921.78471476415393</v>
      </c>
      <c r="BY164">
        <f t="shared" si="191"/>
        <v>-1894.2261082204484</v>
      </c>
      <c r="BZ164">
        <f t="shared" si="192"/>
        <v>-600.93573774061406</v>
      </c>
      <c r="CA164">
        <f t="shared" si="193"/>
        <v>-87.509651870150407</v>
      </c>
      <c r="CB164">
        <f t="shared" si="194"/>
        <v>-461.35743798462715</v>
      </c>
      <c r="CC164">
        <f t="shared" si="195"/>
        <v>-1264.3098270242351</v>
      </c>
      <c r="CD164">
        <f t="shared" si="196"/>
        <v>-1055.9943677982303</v>
      </c>
      <c r="CE164">
        <f t="shared" si="165"/>
        <v>-1934.1608215248257</v>
      </c>
      <c r="CF164">
        <f t="shared" si="166"/>
        <v>-1580.5403898177619</v>
      </c>
      <c r="CG164">
        <f t="shared" si="167"/>
        <v>-1191.850227689341</v>
      </c>
      <c r="CH164">
        <f t="shared" si="168"/>
        <v>-5220.1278447592367</v>
      </c>
      <c r="CI164">
        <f t="shared" si="169"/>
        <v>212221.92956971403</v>
      </c>
      <c r="CJ164">
        <f t="shared" si="170"/>
        <v>-5146.7403285890377</v>
      </c>
      <c r="CK164">
        <f t="shared" si="171"/>
        <v>-9436.0446539704863</v>
      </c>
      <c r="CL164">
        <f t="shared" si="172"/>
        <v>-1130.8036092318725</v>
      </c>
      <c r="CM164">
        <f t="shared" si="173"/>
        <v>-2060.5123541557086</v>
      </c>
      <c r="CN164">
        <f t="shared" si="174"/>
        <v>-6725.4388455566632</v>
      </c>
      <c r="CO164">
        <f t="shared" si="175"/>
        <v>-1060.8353333008906</v>
      </c>
      <c r="CP164">
        <f t="shared" si="176"/>
        <v>-1473.0768102440554</v>
      </c>
      <c r="CQ164">
        <f t="shared" si="177"/>
        <v>-1025.3727469452942</v>
      </c>
      <c r="CR164">
        <f t="shared" si="178"/>
        <v>-603.57333712426623</v>
      </c>
      <c r="CS164">
        <f t="shared" si="179"/>
        <v>-720.7810219924088</v>
      </c>
      <c r="CT164">
        <f t="shared" si="180"/>
        <v>-93.902683260432383</v>
      </c>
      <c r="CU164">
        <f t="shared" si="181"/>
        <v>-84.24145155264749</v>
      </c>
      <c r="CV164">
        <f t="shared" si="182"/>
        <v>-654.22378512106491</v>
      </c>
      <c r="CW164">
        <f t="shared" si="183"/>
        <v>-720.97143360943392</v>
      </c>
      <c r="CX164">
        <f t="shared" si="184"/>
        <v>-329.12763189978506</v>
      </c>
      <c r="CY164">
        <f t="shared" si="185"/>
        <v>-487.48802926762016</v>
      </c>
      <c r="CZ164">
        <f t="shared" si="186"/>
        <v>-2115.827489921252</v>
      </c>
      <c r="DA164">
        <f t="shared" si="187"/>
        <v>-4876.0710773181245</v>
      </c>
      <c r="DB164">
        <f t="shared" si="188"/>
        <v>-166.8651295507635</v>
      </c>
      <c r="DC164">
        <f t="shared" si="156"/>
        <v>-980.79332605344689</v>
      </c>
      <c r="DD164">
        <f t="shared" si="149"/>
        <v>-978.45207585696585</v>
      </c>
      <c r="DE164">
        <f t="shared" si="149"/>
        <v>0</v>
      </c>
      <c r="DF164">
        <f t="shared" si="149"/>
        <v>-673.87526414847935</v>
      </c>
      <c r="DG164">
        <f t="shared" si="149"/>
        <v>-1088.4673186154644</v>
      </c>
      <c r="DH164">
        <f t="shared" si="149"/>
        <v>-503.70368200460325</v>
      </c>
      <c r="DI164">
        <f t="shared" si="149"/>
        <v>-498.87205161085473</v>
      </c>
      <c r="DJ164">
        <f t="shared" si="149"/>
        <v>-54.388226036862676</v>
      </c>
      <c r="DK164">
        <f t="shared" si="149"/>
        <v>-169.62093829300875</v>
      </c>
      <c r="DL164">
        <f t="shared" si="149"/>
        <v>-371.4286713657051</v>
      </c>
      <c r="DM164">
        <f t="shared" si="157"/>
        <v>-280.36024553597315</v>
      </c>
      <c r="DN164">
        <f t="shared" si="150"/>
        <v>-668.72447703530804</v>
      </c>
      <c r="DO164">
        <f t="shared" si="150"/>
        <v>-403.70498034232219</v>
      </c>
      <c r="DP164">
        <f t="shared" si="150"/>
        <v>-579.08193690515009</v>
      </c>
      <c r="DQ164">
        <f t="shared" si="150"/>
        <v>-2384.6396643753915</v>
      </c>
      <c r="DR164">
        <f t="shared" si="150"/>
        <v>-9148.1941606164983</v>
      </c>
      <c r="DS164">
        <f t="shared" si="150"/>
        <v>-3209.4557721365836</v>
      </c>
      <c r="DT164">
        <f t="shared" si="150"/>
        <v>-4340.9085626126662</v>
      </c>
      <c r="DU164">
        <f t="shared" si="150"/>
        <v>-242.12228247271378</v>
      </c>
      <c r="DV164">
        <f t="shared" si="150"/>
        <v>-585.37244953593495</v>
      </c>
      <c r="DW164">
        <f t="shared" si="150"/>
        <v>-3772.5223526160876</v>
      </c>
      <c r="DX164">
        <f t="shared" si="150"/>
        <v>-614.97346638680563</v>
      </c>
      <c r="DY164">
        <f t="shared" si="150"/>
        <v>-404.50245174515544</v>
      </c>
      <c r="DZ164">
        <f t="shared" si="150"/>
        <v>-298.85344592129832</v>
      </c>
      <c r="EA164">
        <f t="shared" si="150"/>
        <v>-152.11915181038509</v>
      </c>
      <c r="EB164">
        <f t="shared" si="150"/>
        <v>-428.89373224633897</v>
      </c>
      <c r="EC164">
        <f t="shared" si="150"/>
        <v>-101.80884352908127</v>
      </c>
      <c r="ED164">
        <f t="shared" si="150"/>
        <v>-94.576105563305049</v>
      </c>
      <c r="EE164">
        <f t="shared" si="150"/>
        <v>-409.63147701590231</v>
      </c>
      <c r="EF164">
        <f t="shared" si="150"/>
        <v>-166.86220151017298</v>
      </c>
      <c r="EG164">
        <f t="shared" si="158"/>
        <v>-222.4828020654806</v>
      </c>
      <c r="EH164">
        <f t="shared" si="151"/>
        <v>-427.83746799300269</v>
      </c>
      <c r="EI164">
        <f t="shared" si="151"/>
        <v>-643.2869553725584</v>
      </c>
      <c r="EJ164">
        <f t="shared" si="151"/>
        <v>-871.23278559769153</v>
      </c>
      <c r="EK164">
        <f t="shared" si="151"/>
        <v>-178.71591819570517</v>
      </c>
      <c r="EL164">
        <f t="shared" si="151"/>
        <v>-378.63033956783175</v>
      </c>
      <c r="EM164">
        <f t="shared" si="159"/>
        <v>-309.90137332222275</v>
      </c>
      <c r="EN164">
        <f t="shared" si="152"/>
        <v>-0.2310600804295074</v>
      </c>
      <c r="EO164">
        <v>13</v>
      </c>
      <c r="EP164">
        <f t="shared" si="153"/>
        <v>117578.92783879772</v>
      </c>
      <c r="EQ164" s="98">
        <f t="shared" si="160"/>
        <v>322847.23289598513</v>
      </c>
      <c r="ES164" s="99">
        <f t="shared" si="161"/>
        <v>0.63580630137635619</v>
      </c>
      <c r="ET164">
        <v>4</v>
      </c>
      <c r="EU164">
        <v>116939.75973298564</v>
      </c>
      <c r="EV164">
        <v>4</v>
      </c>
      <c r="EW164" s="98">
        <v>116939.75973298564</v>
      </c>
    </row>
    <row r="165" spans="1:153" x14ac:dyDescent="0.35">
      <c r="A165" s="39">
        <v>14</v>
      </c>
      <c r="B165" s="87">
        <f t="shared" si="154"/>
        <v>-2.1590325569299279E-3</v>
      </c>
      <c r="C165" s="87">
        <f t="shared" si="197"/>
        <v>-7.6478272136194852E-3</v>
      </c>
      <c r="D165" s="87">
        <f t="shared" si="197"/>
        <v>-3.2278722608427182E-3</v>
      </c>
      <c r="E165" s="87">
        <f t="shared" si="197"/>
        <v>-3.8320070944038967E-3</v>
      </c>
      <c r="F165" s="87">
        <f t="shared" si="197"/>
        <v>-4.5582976952193025E-3</v>
      </c>
      <c r="G165" s="87">
        <f t="shared" si="197"/>
        <v>-4.1468565967564307E-3</v>
      </c>
      <c r="H165" s="87">
        <f t="shared" si="197"/>
        <v>-5.3100672405782716E-3</v>
      </c>
      <c r="I165" s="87">
        <f t="shared" si="197"/>
        <v>-8.3664116451110711E-3</v>
      </c>
      <c r="J165" s="87">
        <f t="shared" si="197"/>
        <v>-7.1962859063942923E-3</v>
      </c>
      <c r="K165" s="87">
        <f t="shared" si="197"/>
        <v>-7.5561037378405757E-3</v>
      </c>
      <c r="L165" s="87">
        <f t="shared" si="197"/>
        <v>-6.6053699450391024E-3</v>
      </c>
      <c r="M165" s="87">
        <f t="shared" si="197"/>
        <v>-1.2139097112455026E-2</v>
      </c>
      <c r="N165" s="87">
        <f t="shared" si="197"/>
        <v>-5.39925725868012E-2</v>
      </c>
      <c r="O165" s="87">
        <f t="shared" si="197"/>
        <v>0.82117338800912532</v>
      </c>
      <c r="P165" s="87">
        <f t="shared" si="197"/>
        <v>-4.3402771787873676E-2</v>
      </c>
      <c r="Q165" s="87">
        <f t="shared" si="197"/>
        <v>-1.0543838088709168E-2</v>
      </c>
      <c r="R165" s="87">
        <f t="shared" si="197"/>
        <v>-1.7258364027532634E-2</v>
      </c>
      <c r="S165" s="87">
        <f t="shared" si="197"/>
        <v>-2.8526400012669918E-2</v>
      </c>
      <c r="T165" s="87">
        <f t="shared" si="197"/>
        <v>-9.8013197285382221E-3</v>
      </c>
      <c r="U165" s="87">
        <f t="shared" si="197"/>
        <v>-6.6048350938145584E-3</v>
      </c>
      <c r="V165" s="87">
        <f t="shared" si="197"/>
        <v>-5.0582270128249219E-3</v>
      </c>
      <c r="W165" s="87">
        <f t="shared" si="197"/>
        <v>-3.7656488737832384E-3</v>
      </c>
      <c r="X165" s="87">
        <f t="shared" si="197"/>
        <v>-5.888525906143376E-3</v>
      </c>
      <c r="Y165" s="87">
        <f t="shared" si="197"/>
        <v>-2.1912715296440598E-3</v>
      </c>
      <c r="Z165" s="87">
        <f t="shared" si="197"/>
        <v>-3.286760409504313E-3</v>
      </c>
      <c r="AA165" s="87">
        <f t="shared" si="197"/>
        <v>-5.9391408964745949E-3</v>
      </c>
      <c r="AB165" s="87">
        <f t="shared" si="197"/>
        <v>-2.7814172577717556E-2</v>
      </c>
      <c r="AC165" s="87">
        <f t="shared" si="197"/>
        <v>-2.0522569639552222E-3</v>
      </c>
      <c r="AD165" s="87">
        <f t="shared" si="197"/>
        <v>-1.3146759630975945E-3</v>
      </c>
      <c r="AE165" s="87">
        <f t="shared" si="197"/>
        <v>-8.504298865164954E-3</v>
      </c>
      <c r="AF165" s="87">
        <f t="shared" si="197"/>
        <v>-9.6661428264870879E-3</v>
      </c>
      <c r="AG165" s="87">
        <f t="shared" si="197"/>
        <v>-3.4801205322288259E-3</v>
      </c>
      <c r="AH165" s="87">
        <f t="shared" si="197"/>
        <v>-1.7366394917903993E-2</v>
      </c>
      <c r="AI165" s="87">
        <f t="shared" si="197"/>
        <v>-6.6600055643827464E-3</v>
      </c>
      <c r="AJ165" s="87">
        <f t="shared" si="197"/>
        <v>0</v>
      </c>
      <c r="AK165" s="87">
        <f t="shared" si="197"/>
        <v>-2.9907857019435629E-4</v>
      </c>
      <c r="AL165" s="87">
        <f t="shared" si="197"/>
        <v>-8.8128343342576735E-4</v>
      </c>
      <c r="AM165" s="87">
        <f t="shared" si="197"/>
        <v>-3.7702645794845968E-4</v>
      </c>
      <c r="AN165" s="87">
        <f t="shared" si="197"/>
        <v>-5.988297843394604E-4</v>
      </c>
      <c r="AO165" s="87">
        <f t="shared" si="197"/>
        <v>-5.6323798261747888E-4</v>
      </c>
      <c r="AP165" s="87">
        <f t="shared" si="197"/>
        <v>-5.0320652023779042E-4</v>
      </c>
      <c r="AQ165" s="87">
        <f t="shared" si="197"/>
        <v>-7.3367137432994094E-4</v>
      </c>
      <c r="AR165" s="87">
        <f t="shared" si="197"/>
        <v>-4.2420310557817723E-4</v>
      </c>
      <c r="AS165" s="87">
        <f t="shared" si="197"/>
        <v>-1.5053033428873899E-3</v>
      </c>
      <c r="AT165" s="87">
        <f t="shared" si="197"/>
        <v>-1.2247559322710829E-3</v>
      </c>
      <c r="AU165" s="87">
        <f t="shared" si="197"/>
        <v>-1.4013522847887172E-3</v>
      </c>
      <c r="AV165" s="87">
        <f t="shared" si="197"/>
        <v>-1.3896271068305744E-3</v>
      </c>
      <c r="AW165" s="87">
        <f t="shared" si="197"/>
        <v>-6.4506941596715077E-3</v>
      </c>
      <c r="AX165" s="87">
        <f t="shared" si="197"/>
        <v>-1.5730691954313269E-2</v>
      </c>
      <c r="AY165" s="87">
        <f t="shared" si="197"/>
        <v>-4.8036632967086226E-3</v>
      </c>
      <c r="AZ165" s="87">
        <f t="shared" si="197"/>
        <v>-2.2486506500970379E-3</v>
      </c>
      <c r="BA165" s="87">
        <f t="shared" si="197"/>
        <v>-4.272967904002882E-3</v>
      </c>
      <c r="BB165" s="87">
        <f t="shared" si="197"/>
        <v>-2.9387186145087259E-3</v>
      </c>
      <c r="BC165" s="87">
        <f t="shared" si="197"/>
        <v>-1.5579952184629703E-3</v>
      </c>
      <c r="BD165" s="87">
        <f t="shared" si="197"/>
        <v>-5.8603444197062181E-4</v>
      </c>
      <c r="BE165" s="87">
        <f t="shared" si="197"/>
        <v>-4.2495159172591552E-4</v>
      </c>
      <c r="BF165" s="87">
        <f t="shared" si="197"/>
        <v>-2.6088538735396231E-4</v>
      </c>
      <c r="BG165" s="87">
        <f t="shared" si="197"/>
        <v>-9.3786443868776109E-4</v>
      </c>
      <c r="BH165" s="87">
        <f t="shared" si="197"/>
        <v>-3.7216075513337251E-4</v>
      </c>
      <c r="BI165" s="87">
        <f t="shared" si="197"/>
        <v>-6.4226606348822906E-4</v>
      </c>
      <c r="BJ165" s="87">
        <f t="shared" si="197"/>
        <v>-1.8214532467703201E-3</v>
      </c>
      <c r="BK165" s="87">
        <f t="shared" si="197"/>
        <v>-2.5008138857560295E-3</v>
      </c>
      <c r="BL165" s="87">
        <f t="shared" si="197"/>
        <v>-2.3877541624584873E-4</v>
      </c>
      <c r="BM165" s="87">
        <f t="shared" si="197"/>
        <v>-2.3881714316228246E-4</v>
      </c>
      <c r="BN165" s="87">
        <f t="shared" ref="BN165:BS168" si="198">BN92-BN15</f>
        <v>-1.4908686016502997E-3</v>
      </c>
      <c r="BO165" s="87">
        <f t="shared" si="198"/>
        <v>-9.0661136128214253E-4</v>
      </c>
      <c r="BP165" s="87">
        <f t="shared" si="198"/>
        <v>-2.4693133977117324E-3</v>
      </c>
      <c r="BQ165" s="87">
        <f t="shared" si="198"/>
        <v>-1.8481052263285538E-3</v>
      </c>
      <c r="BR165" s="87">
        <f t="shared" si="198"/>
        <v>-1.2032437455824982E-3</v>
      </c>
      <c r="BS165" s="87">
        <f t="shared" si="198"/>
        <v>-3.1355255321484365E-4</v>
      </c>
      <c r="BU165" s="96">
        <v>347777.86318354134</v>
      </c>
      <c r="BV165" s="98">
        <v>933771.35475761525</v>
      </c>
      <c r="BW165">
        <f t="shared" si="155"/>
        <v>-502.34747217576455</v>
      </c>
      <c r="BX165">
        <f t="shared" si="190"/>
        <v>-266.44813288939497</v>
      </c>
      <c r="BY165">
        <f t="shared" si="191"/>
        <v>-1197.8442338352409</v>
      </c>
      <c r="BZ165">
        <f t="shared" si="192"/>
        <v>-291.92144413377986</v>
      </c>
      <c r="CA165">
        <f t="shared" si="193"/>
        <v>-68.42641191818899</v>
      </c>
      <c r="CB165">
        <f t="shared" si="194"/>
        <v>-213.77533480890816</v>
      </c>
      <c r="CC165">
        <f t="shared" si="195"/>
        <v>-943.9633852195783</v>
      </c>
      <c r="CD165">
        <f t="shared" si="196"/>
        <v>-1073.0680700998125</v>
      </c>
      <c r="CE165">
        <f t="shared" si="165"/>
        <v>-2006.6670282313466</v>
      </c>
      <c r="CF165">
        <f t="shared" si="166"/>
        <v>-901.38630134234927</v>
      </c>
      <c r="CG165">
        <f t="shared" si="167"/>
        <v>-553.33211981347461</v>
      </c>
      <c r="CH165">
        <f t="shared" si="168"/>
        <v>-3642.8468112508958</v>
      </c>
      <c r="CI165">
        <f t="shared" si="169"/>
        <v>-12904.457309139056</v>
      </c>
      <c r="CJ165">
        <f t="shared" si="170"/>
        <v>306715.27480487275</v>
      </c>
      <c r="CK165">
        <f t="shared" si="171"/>
        <v>-14574.874783703808</v>
      </c>
      <c r="CL165">
        <f t="shared" si="172"/>
        <v>-829.01288752799553</v>
      </c>
      <c r="CM165">
        <f t="shared" si="173"/>
        <v>-4207.2689012275814</v>
      </c>
      <c r="CN165">
        <f t="shared" si="174"/>
        <v>-15657.044070449254</v>
      </c>
      <c r="CO165">
        <f t="shared" si="175"/>
        <v>-1409.4977848123935</v>
      </c>
      <c r="CP165">
        <f t="shared" si="176"/>
        <v>-3072.6026204915856</v>
      </c>
      <c r="CQ165">
        <f t="shared" si="177"/>
        <v>-1731.6355054226499</v>
      </c>
      <c r="CR165">
        <f t="shared" si="178"/>
        <v>-816.68386320162188</v>
      </c>
      <c r="CS165">
        <f t="shared" si="179"/>
        <v>-1190.9981019882709</v>
      </c>
      <c r="CT165">
        <f t="shared" si="180"/>
        <v>-99.120737503429879</v>
      </c>
      <c r="CU165">
        <f t="shared" si="181"/>
        <v>-153.05574598534855</v>
      </c>
      <c r="CV165">
        <f t="shared" si="182"/>
        <v>-1038.3863167016596</v>
      </c>
      <c r="CW165">
        <f t="shared" si="183"/>
        <v>-7810.2061604626479</v>
      </c>
      <c r="CX165">
        <f t="shared" si="184"/>
        <v>-1098.005798878085</v>
      </c>
      <c r="CY165">
        <f t="shared" si="185"/>
        <v>-735.67596578280779</v>
      </c>
      <c r="CZ165">
        <f t="shared" si="186"/>
        <v>-7611.6568713076331</v>
      </c>
      <c r="DA165">
        <f t="shared" si="187"/>
        <v>-3834.3507091201404</v>
      </c>
      <c r="DB165">
        <f t="shared" si="188"/>
        <v>-815.18335689315188</v>
      </c>
      <c r="DC165">
        <f t="shared" si="156"/>
        <v>-8215.343693892748</v>
      </c>
      <c r="DD165">
        <f t="shared" si="149"/>
        <v>-1916.6328624833502</v>
      </c>
      <c r="DE165">
        <f t="shared" si="149"/>
        <v>0</v>
      </c>
      <c r="DF165">
        <f t="shared" si="149"/>
        <v>-384.70777084490089</v>
      </c>
      <c r="DG165">
        <f t="shared" si="149"/>
        <v>-787.11300114945163</v>
      </c>
      <c r="DH165">
        <f t="shared" si="149"/>
        <v>-612.12071155547414</v>
      </c>
      <c r="DI165">
        <f t="shared" si="149"/>
        <v>-432.85313737881813</v>
      </c>
      <c r="DJ165">
        <f t="shared" si="149"/>
        <v>-60.788164010283111</v>
      </c>
      <c r="DK165">
        <f t="shared" si="149"/>
        <v>-121.92785478394802</v>
      </c>
      <c r="DL165">
        <f t="shared" si="149"/>
        <v>-483.71905934189539</v>
      </c>
      <c r="DM165">
        <f t="shared" si="157"/>
        <v>-222.50854639007699</v>
      </c>
      <c r="DN165">
        <f t="shared" si="150"/>
        <v>-1618.7269773661255</v>
      </c>
      <c r="DO165">
        <f t="shared" si="150"/>
        <v>-625.88547988307596</v>
      </c>
      <c r="DP165">
        <f t="shared" si="150"/>
        <v>-571.13456722894932</v>
      </c>
      <c r="DQ165">
        <f t="shared" si="150"/>
        <v>-2181.2283501328234</v>
      </c>
      <c r="DR165">
        <f t="shared" si="150"/>
        <v>-6175.5530375102098</v>
      </c>
      <c r="DS165">
        <f t="shared" si="150"/>
        <v>-48499.678311037402</v>
      </c>
      <c r="DT165">
        <f t="shared" si="150"/>
        <v>-6842.077107369988</v>
      </c>
      <c r="DU165">
        <f t="shared" si="150"/>
        <v>-644.08552050003289</v>
      </c>
      <c r="DV165">
        <f t="shared" ref="DV165:DV221" si="199">BA165*DV93</f>
        <v>-3508.5360979118277</v>
      </c>
      <c r="DW165">
        <f t="shared" ref="DW165:DW221" si="200">BB165*DW93</f>
        <v>-6756.5158126855549</v>
      </c>
      <c r="DX165">
        <f t="shared" ref="DX165:DX221" si="201">BC165*DX93</f>
        <v>-456.51522875891294</v>
      </c>
      <c r="DY165">
        <f t="shared" ref="DY165:DY221" si="202">BD165*DY93</f>
        <v>-1122.3099216559967</v>
      </c>
      <c r="DZ165">
        <f t="shared" ref="DZ165:DZ221" si="203">BE165*DZ93</f>
        <v>-605.38553363890128</v>
      </c>
      <c r="EA165">
        <f t="shared" ref="EA165:EA221" si="204">BF165*EA93</f>
        <v>-233.18127984089438</v>
      </c>
      <c r="EB165">
        <f t="shared" ref="EB165:EB221" si="205">BG165*EB93</f>
        <v>-818.79795988856608</v>
      </c>
      <c r="EC165">
        <f t="shared" ref="EC165:EC221" si="206">BH165*EC93</f>
        <v>-64.26024599922502</v>
      </c>
      <c r="ED165">
        <f t="shared" ref="ED165:ED221" si="207">BI165*ED93</f>
        <v>-101.6550555560962</v>
      </c>
      <c r="EE165">
        <f t="shared" ref="EE165:EE221" si="208">BJ165*EE93</f>
        <v>-619.09297264503061</v>
      </c>
      <c r="EF165">
        <f t="shared" ref="EF165:EF221" si="209">BK165*EF93</f>
        <v>-2666.2624159450334</v>
      </c>
      <c r="EG165">
        <f t="shared" si="158"/>
        <v>-573.22056222476613</v>
      </c>
      <c r="EH165">
        <f t="shared" si="151"/>
        <v>-489.13741258616801</v>
      </c>
      <c r="EI165">
        <f t="shared" si="151"/>
        <v>-3887.1242346674121</v>
      </c>
      <c r="EJ165">
        <f t="shared" si="151"/>
        <v>-2015.9965437473022</v>
      </c>
      <c r="EK165">
        <f t="shared" si="151"/>
        <v>-1412.9570335444466</v>
      </c>
      <c r="EL165">
        <f t="shared" si="151"/>
        <v>-2460.9461798370307</v>
      </c>
      <c r="EM165">
        <f t="shared" si="159"/>
        <v>-1270.2743279611445</v>
      </c>
      <c r="EN165">
        <f t="shared" si="152"/>
        <v>-4.315663210865627</v>
      </c>
      <c r="EO165">
        <v>14</v>
      </c>
      <c r="EP165">
        <f t="shared" si="153"/>
        <v>106000.96193339015</v>
      </c>
      <c r="EQ165" s="98">
        <f t="shared" si="160"/>
        <v>347777.86318354134</v>
      </c>
      <c r="ES165" s="99">
        <f t="shared" si="161"/>
        <v>0.69520497663921854</v>
      </c>
      <c r="ET165">
        <v>16</v>
      </c>
      <c r="EU165">
        <v>121174.46560885946</v>
      </c>
      <c r="EV165">
        <v>16</v>
      </c>
      <c r="EW165" s="98">
        <v>121174.46560885946</v>
      </c>
    </row>
    <row r="166" spans="1:153" x14ac:dyDescent="0.35">
      <c r="A166" s="39">
        <v>15</v>
      </c>
      <c r="B166" s="87">
        <f t="shared" si="154"/>
        <v>-2.6039791339975849E-3</v>
      </c>
      <c r="C166" s="87">
        <f t="shared" ref="C166:BN169" si="210">C93-C16</f>
        <v>-4.3816256708772488E-3</v>
      </c>
      <c r="D166" s="87">
        <f t="shared" si="210"/>
        <v>-1.6872041356116481E-3</v>
      </c>
      <c r="E166" s="87">
        <f t="shared" si="210"/>
        <v>-2.6194416056935666E-3</v>
      </c>
      <c r="F166" s="87">
        <f t="shared" si="210"/>
        <v>-2.4157522707719571E-3</v>
      </c>
      <c r="G166" s="87">
        <f t="shared" si="210"/>
        <v>-1.9897467076506886E-3</v>
      </c>
      <c r="H166" s="87">
        <f t="shared" si="210"/>
        <v>-1.5369405362530833E-3</v>
      </c>
      <c r="I166" s="87">
        <f t="shared" si="210"/>
        <v>-1.8389201953138508E-3</v>
      </c>
      <c r="J166" s="87">
        <f t="shared" si="210"/>
        <v>-2.2978252340590606E-3</v>
      </c>
      <c r="K166" s="87">
        <f t="shared" si="210"/>
        <v>-3.7871457324768513E-3</v>
      </c>
      <c r="L166" s="87">
        <f t="shared" si="210"/>
        <v>-3.1326212544248895E-3</v>
      </c>
      <c r="M166" s="87">
        <f t="shared" si="210"/>
        <v>-5.1249263072838131E-3</v>
      </c>
      <c r="N166" s="87">
        <f t="shared" si="210"/>
        <v>-1.1369736545415699E-2</v>
      </c>
      <c r="O166" s="87">
        <f t="shared" si="210"/>
        <v>-4.4135210344218474E-3</v>
      </c>
      <c r="P166" s="87">
        <f t="shared" si="210"/>
        <v>0.77318110307292809</v>
      </c>
      <c r="Q166" s="87">
        <f t="shared" si="210"/>
        <v>-7.1654590333543296E-3</v>
      </c>
      <c r="R166" s="87">
        <f t="shared" si="210"/>
        <v>-1.2287573073108088E-3</v>
      </c>
      <c r="S166" s="87">
        <f t="shared" si="210"/>
        <v>-2.1499895569718707E-3</v>
      </c>
      <c r="T166" s="87">
        <f t="shared" si="210"/>
        <v>-6.2198610798059037E-2</v>
      </c>
      <c r="U166" s="87">
        <f t="shared" si="210"/>
        <v>-2.8705286989657987E-3</v>
      </c>
      <c r="V166" s="87">
        <f t="shared" si="210"/>
        <v>-1.849921853325244E-3</v>
      </c>
      <c r="W166" s="87">
        <f t="shared" si="210"/>
        <v>-1.2630383108758803E-3</v>
      </c>
      <c r="X166" s="87">
        <f t="shared" si="210"/>
        <v>-1.6521764818493639E-2</v>
      </c>
      <c r="Y166" s="87">
        <f t="shared" si="210"/>
        <v>-1.1060025865691802E-2</v>
      </c>
      <c r="Z166" s="87">
        <f t="shared" si="210"/>
        <v>-3.7954185888722812E-2</v>
      </c>
      <c r="AA166" s="87">
        <f t="shared" si="210"/>
        <v>-5.3449156835915944E-3</v>
      </c>
      <c r="AB166" s="87">
        <f t="shared" si="210"/>
        <v>-1.3592902884921512E-3</v>
      </c>
      <c r="AC166" s="87">
        <f t="shared" si="210"/>
        <v>-8.1720505544422375E-4</v>
      </c>
      <c r="AD166" s="87">
        <f t="shared" si="210"/>
        <v>-3.9901394204505756E-4</v>
      </c>
      <c r="AE166" s="87">
        <f t="shared" si="210"/>
        <v>-2.3487508090021029E-3</v>
      </c>
      <c r="AF166" s="87">
        <f t="shared" si="210"/>
        <v>-1.2196908184948377E-2</v>
      </c>
      <c r="AG166" s="87">
        <f t="shared" si="210"/>
        <v>-5.4943511250014876E-4</v>
      </c>
      <c r="AH166" s="87">
        <f t="shared" si="210"/>
        <v>-1.4044044758703658E-3</v>
      </c>
      <c r="AI166" s="87">
        <f t="shared" si="210"/>
        <v>-2.5943160129971356E-3</v>
      </c>
      <c r="AJ166" s="87">
        <f t="shared" si="210"/>
        <v>0</v>
      </c>
      <c r="AK166" s="87">
        <f t="shared" si="210"/>
        <v>-5.8680487690881966E-4</v>
      </c>
      <c r="AL166" s="87">
        <f t="shared" si="210"/>
        <v>-3.5261919754207496E-4</v>
      </c>
      <c r="AM166" s="87">
        <f t="shared" si="210"/>
        <v>-1.3510411257711537E-4</v>
      </c>
      <c r="AN166" s="87">
        <f t="shared" si="210"/>
        <v>-1.8010784015039233E-4</v>
      </c>
      <c r="AO166" s="87">
        <f t="shared" si="210"/>
        <v>-1.4438319635694171E-4</v>
      </c>
      <c r="AP166" s="87">
        <f t="shared" si="210"/>
        <v>-3.0708265060302298E-4</v>
      </c>
      <c r="AQ166" s="87">
        <f t="shared" si="210"/>
        <v>-2.1802719146561209E-4</v>
      </c>
      <c r="AR166" s="87">
        <f t="shared" si="210"/>
        <v>-9.1921426854353841E-5</v>
      </c>
      <c r="AS166" s="87">
        <f t="shared" si="210"/>
        <v>-1.6979406967508983E-4</v>
      </c>
      <c r="AT166" s="87">
        <f t="shared" si="210"/>
        <v>-2.6190654906627661E-4</v>
      </c>
      <c r="AU166" s="87">
        <f t="shared" si="210"/>
        <v>-5.2717414074279138E-4</v>
      </c>
      <c r="AV166" s="87">
        <f t="shared" si="210"/>
        <v>-4.1484536627008165E-4</v>
      </c>
      <c r="AW166" s="87">
        <f t="shared" si="210"/>
        <v>-1.3202619507889349E-3</v>
      </c>
      <c r="AX166" s="87">
        <f t="shared" si="210"/>
        <v>-2.6924471899177576E-4</v>
      </c>
      <c r="AY166" s="87">
        <f t="shared" si="210"/>
        <v>-1.8337503806367398E-2</v>
      </c>
      <c r="AZ166" s="87">
        <f t="shared" si="210"/>
        <v>-3.9878756746848621E-4</v>
      </c>
      <c r="BA166" s="87">
        <f t="shared" si="210"/>
        <v>-3.967615475170885E-4</v>
      </c>
      <c r="BB166" s="87">
        <f t="shared" si="210"/>
        <v>-6.070272908184494E-4</v>
      </c>
      <c r="BC166" s="87">
        <f t="shared" si="210"/>
        <v>-3.0992816604930654E-3</v>
      </c>
      <c r="BD166" s="87">
        <f t="shared" si="210"/>
        <v>-5.5330604636401543E-4</v>
      </c>
      <c r="BE166" s="87">
        <f t="shared" si="210"/>
        <v>-4.6732147214235313E-4</v>
      </c>
      <c r="BF166" s="87">
        <f t="shared" si="210"/>
        <v>-2.3903050589717747E-4</v>
      </c>
      <c r="BG166" s="87">
        <f t="shared" si="210"/>
        <v>-3.6713389294370808E-3</v>
      </c>
      <c r="BH166" s="87">
        <f t="shared" si="210"/>
        <v>-5.2766051384485028E-3</v>
      </c>
      <c r="BI166" s="87">
        <f t="shared" si="210"/>
        <v>-4.75832364612704E-3</v>
      </c>
      <c r="BJ166" s="87">
        <f t="shared" si="210"/>
        <v>-4.1000521817825715E-3</v>
      </c>
      <c r="BK166" s="87">
        <f t="shared" si="210"/>
        <v>-3.5598740872395528E-4</v>
      </c>
      <c r="BL166" s="87">
        <f t="shared" si="210"/>
        <v>-1.4278344317092013E-4</v>
      </c>
      <c r="BM166" s="87">
        <f t="shared" si="210"/>
        <v>-1.8092247571926216E-4</v>
      </c>
      <c r="BN166" s="87">
        <f t="shared" si="210"/>
        <v>-3.3237416712628826E-4</v>
      </c>
      <c r="BO166" s="87">
        <f t="shared" si="198"/>
        <v>-1.5517585474004386E-3</v>
      </c>
      <c r="BP166" s="87">
        <f t="shared" si="198"/>
        <v>-2.4613332788457799E-4</v>
      </c>
      <c r="BQ166" s="87">
        <f t="shared" si="198"/>
        <v>-1.0661153362118599E-4</v>
      </c>
      <c r="BR166" s="87">
        <f t="shared" si="198"/>
        <v>-5.7086814455903107E-4</v>
      </c>
      <c r="BS166" s="87">
        <f t="shared" si="198"/>
        <v>-5.8628284042223486E-5</v>
      </c>
      <c r="BU166" s="96">
        <v>471562.47427652648</v>
      </c>
      <c r="BV166" s="98">
        <v>839512.9034003244</v>
      </c>
      <c r="BW166">
        <f t="shared" si="155"/>
        <v>-605.87429835805767</v>
      </c>
      <c r="BX166">
        <f t="shared" si="190"/>
        <v>-152.65459671296031</v>
      </c>
      <c r="BY166">
        <f t="shared" si="191"/>
        <v>-626.11143869049795</v>
      </c>
      <c r="BZ166">
        <f t="shared" si="192"/>
        <v>-199.54847616928134</v>
      </c>
      <c r="CA166">
        <f t="shared" si="193"/>
        <v>-36.263814043016254</v>
      </c>
      <c r="CB166">
        <f t="shared" si="194"/>
        <v>-102.57378298194681</v>
      </c>
      <c r="CC166">
        <f t="shared" si="195"/>
        <v>-273.21981544713157</v>
      </c>
      <c r="CD166">
        <f t="shared" si="196"/>
        <v>-235.85817059409194</v>
      </c>
      <c r="CE166">
        <f t="shared" si="165"/>
        <v>-640.74304353683272</v>
      </c>
      <c r="CF166">
        <f t="shared" si="166"/>
        <v>-451.77798014421541</v>
      </c>
      <c r="CG166">
        <f t="shared" si="167"/>
        <v>-262.41981504540979</v>
      </c>
      <c r="CH166">
        <f t="shared" si="168"/>
        <v>-1537.9497571717638</v>
      </c>
      <c r="CI166">
        <f t="shared" si="169"/>
        <v>-2717.4159858858379</v>
      </c>
      <c r="CJ166">
        <f t="shared" si="170"/>
        <v>-1648.4878062253281</v>
      </c>
      <c r="CK166">
        <f t="shared" si="171"/>
        <v>259638.20507800774</v>
      </c>
      <c r="CL166">
        <f t="shared" si="172"/>
        <v>-563.3866751108153</v>
      </c>
      <c r="CM166">
        <f t="shared" si="173"/>
        <v>-299.54823052506924</v>
      </c>
      <c r="CN166">
        <f t="shared" si="174"/>
        <v>-1180.0465964707482</v>
      </c>
      <c r="CO166">
        <f t="shared" si="175"/>
        <v>-8944.5918066533104</v>
      </c>
      <c r="CP166">
        <f t="shared" si="176"/>
        <v>-1335.3844384242927</v>
      </c>
      <c r="CQ166">
        <f t="shared" si="177"/>
        <v>-633.3030042647755</v>
      </c>
      <c r="CR166">
        <f t="shared" si="178"/>
        <v>-273.92437310848999</v>
      </c>
      <c r="CS166">
        <f t="shared" si="179"/>
        <v>-3341.6496511959817</v>
      </c>
      <c r="CT166">
        <f t="shared" si="180"/>
        <v>-500.29305167509585</v>
      </c>
      <c r="CU166">
        <f t="shared" si="181"/>
        <v>-1767.4261311128394</v>
      </c>
      <c r="CV166">
        <f t="shared" si="182"/>
        <v>-934.49328893006657</v>
      </c>
      <c r="CW166">
        <f t="shared" si="183"/>
        <v>-381.68805328918506</v>
      </c>
      <c r="CX166">
        <f t="shared" si="184"/>
        <v>-437.22394685942584</v>
      </c>
      <c r="CY166">
        <f t="shared" si="185"/>
        <v>-223.28313243300076</v>
      </c>
      <c r="CZ166">
        <f t="shared" si="186"/>
        <v>-2102.217421774893</v>
      </c>
      <c r="DA166">
        <f t="shared" si="187"/>
        <v>-4838.250829470353</v>
      </c>
      <c r="DB166">
        <f t="shared" si="188"/>
        <v>-128.69966866233472</v>
      </c>
      <c r="DC166">
        <f t="shared" si="156"/>
        <v>-664.36733179558939</v>
      </c>
      <c r="DD166">
        <f t="shared" si="149"/>
        <v>-746.59867444689337</v>
      </c>
      <c r="DE166">
        <f t="shared" si="149"/>
        <v>0</v>
      </c>
      <c r="DF166">
        <f t="shared" si="149"/>
        <v>-754.81301107533648</v>
      </c>
      <c r="DG166">
        <f t="shared" si="149"/>
        <v>-314.93971668268375</v>
      </c>
      <c r="DH166">
        <f t="shared" si="149"/>
        <v>-219.34806903148427</v>
      </c>
      <c r="DI166">
        <f t="shared" si="149"/>
        <v>-130.18765217500678</v>
      </c>
      <c r="DJ166">
        <f t="shared" si="149"/>
        <v>-15.582737122392205</v>
      </c>
      <c r="DK166">
        <f t="shared" si="149"/>
        <v>-74.406684578932001</v>
      </c>
      <c r="DL166">
        <f t="shared" si="149"/>
        <v>-143.74815708602637</v>
      </c>
      <c r="DM166">
        <f t="shared" si="157"/>
        <v>-48.215825868570121</v>
      </c>
      <c r="DN166">
        <f t="shared" ref="DN166:DN221" si="211">AS166*DN94</f>
        <v>-182.58794314018391</v>
      </c>
      <c r="DO166">
        <f t="shared" ref="DO166:DO221" si="212">AT166*DO94</f>
        <v>-133.84177355475319</v>
      </c>
      <c r="DP166">
        <f t="shared" ref="DP166:DP221" si="213">AU166*DP94</f>
        <v>-214.85487838828658</v>
      </c>
      <c r="DQ166">
        <f t="shared" ref="DQ166:DQ221" si="214">AV166*DQ94</f>
        <v>-651.16207749670832</v>
      </c>
      <c r="DR166">
        <f t="shared" ref="DR166:DR221" si="215">AW166*DR94</f>
        <v>-1263.9488865364158</v>
      </c>
      <c r="DS166">
        <f t="shared" ref="DS166:DS221" si="216">AX166*DS94</f>
        <v>-830.11493047934721</v>
      </c>
      <c r="DT166">
        <f t="shared" ref="DT166:DT221" si="217">AY166*DT94</f>
        <v>-26118.944490931266</v>
      </c>
      <c r="DU166">
        <f t="shared" ref="DU166:DU221" si="218">AZ166*DU94</f>
        <v>-114.22552362715736</v>
      </c>
      <c r="DV166">
        <f t="shared" si="199"/>
        <v>-325.78110648175021</v>
      </c>
      <c r="DW166">
        <f t="shared" si="200"/>
        <v>-1395.6387212091645</v>
      </c>
      <c r="DX166">
        <f t="shared" si="201"/>
        <v>-908.13454332942365</v>
      </c>
      <c r="DY166">
        <f t="shared" si="202"/>
        <v>-1059.6320302582446</v>
      </c>
      <c r="DZ166">
        <f t="shared" si="203"/>
        <v>-665.74561503533778</v>
      </c>
      <c r="EA166">
        <f t="shared" si="204"/>
        <v>-213.64722590038065</v>
      </c>
      <c r="EB166">
        <f t="shared" si="205"/>
        <v>-3205.2444910786899</v>
      </c>
      <c r="EC166">
        <f t="shared" si="206"/>
        <v>-911.100752995731</v>
      </c>
      <c r="ED166">
        <f t="shared" si="207"/>
        <v>-753.12659674691884</v>
      </c>
      <c r="EE166">
        <f t="shared" si="208"/>
        <v>-1393.5649996618274</v>
      </c>
      <c r="EF166">
        <f t="shared" si="209"/>
        <v>-379.53877888973835</v>
      </c>
      <c r="EG166">
        <f t="shared" si="158"/>
        <v>-342.77567958064748</v>
      </c>
      <c r="EH166">
        <f t="shared" si="151"/>
        <v>-370.55946018024508</v>
      </c>
      <c r="EI166">
        <f t="shared" si="151"/>
        <v>-866.59527109488386</v>
      </c>
      <c r="EJ166">
        <f t="shared" si="151"/>
        <v>-3450.5853355570976</v>
      </c>
      <c r="EK166">
        <f t="shared" si="151"/>
        <v>-140.83907581212389</v>
      </c>
      <c r="EL166">
        <f t="shared" si="151"/>
        <v>-141.96445237744371</v>
      </c>
      <c r="EM166">
        <f t="shared" si="159"/>
        <v>-602.67019990458743</v>
      </c>
      <c r="EN166">
        <f t="shared" si="152"/>
        <v>-0.8069458403798645</v>
      </c>
      <c r="EO166">
        <v>15</v>
      </c>
      <c r="EP166">
        <f t="shared" si="153"/>
        <v>172512.05635108915</v>
      </c>
      <c r="EQ166" s="98">
        <f t="shared" si="160"/>
        <v>471562.47427652648</v>
      </c>
      <c r="ES166" s="99">
        <f t="shared" si="161"/>
        <v>0.63416924424328291</v>
      </c>
      <c r="ET166">
        <v>23</v>
      </c>
      <c r="EU166">
        <v>173156.50891122359</v>
      </c>
      <c r="EV166">
        <v>23</v>
      </c>
      <c r="EW166" s="98">
        <v>173156.50891122359</v>
      </c>
    </row>
    <row r="167" spans="1:153" x14ac:dyDescent="0.35">
      <c r="A167" s="39">
        <v>16</v>
      </c>
      <c r="B167" s="87">
        <f t="shared" si="154"/>
        <v>-6.3420414304330493E-4</v>
      </c>
      <c r="C167" s="87">
        <f t="shared" si="210"/>
        <v>-1.0126623647088279E-3</v>
      </c>
      <c r="D167" s="87">
        <f t="shared" si="210"/>
        <v>-1.2316190586125798E-3</v>
      </c>
      <c r="E167" s="87">
        <f t="shared" si="210"/>
        <v>-3.7733002807525894E-3</v>
      </c>
      <c r="F167" s="87">
        <f t="shared" si="210"/>
        <v>-3.0176328949557806E-3</v>
      </c>
      <c r="G167" s="87">
        <f t="shared" si="210"/>
        <v>-3.8570620815655226E-3</v>
      </c>
      <c r="H167" s="87">
        <f t="shared" si="210"/>
        <v>-4.3072248567859132E-3</v>
      </c>
      <c r="I167" s="87">
        <f t="shared" si="210"/>
        <v>-1.7191404089344623E-3</v>
      </c>
      <c r="J167" s="87">
        <f t="shared" si="210"/>
        <v>-1.5430513320301984E-3</v>
      </c>
      <c r="K167" s="87">
        <f t="shared" si="210"/>
        <v>-3.9992879317147529E-3</v>
      </c>
      <c r="L167" s="87">
        <f t="shared" si="210"/>
        <v>-4.4526410241531051E-3</v>
      </c>
      <c r="M167" s="87">
        <f t="shared" si="210"/>
        <v>-1.9997232279382542E-2</v>
      </c>
      <c r="N167" s="87">
        <f t="shared" si="210"/>
        <v>-3.7812424328855722E-3</v>
      </c>
      <c r="O167" s="87">
        <f t="shared" si="210"/>
        <v>-2.3066271791640017E-3</v>
      </c>
      <c r="P167" s="87">
        <f t="shared" si="210"/>
        <v>-5.0728810835677755E-3</v>
      </c>
      <c r="Q167" s="87">
        <f t="shared" si="210"/>
        <v>0.95204990260208566</v>
      </c>
      <c r="R167" s="87">
        <f t="shared" si="210"/>
        <v>-8.6435883935931086E-4</v>
      </c>
      <c r="S167" s="87">
        <f t="shared" si="210"/>
        <v>-2.9775820663406976E-3</v>
      </c>
      <c r="T167" s="87">
        <f t="shared" si="210"/>
        <v>-1.5559014004812609E-3</v>
      </c>
      <c r="U167" s="87">
        <f t="shared" si="210"/>
        <v>-1.4819565535475478E-3</v>
      </c>
      <c r="V167" s="87">
        <f t="shared" si="210"/>
        <v>-1.7032103046751206E-3</v>
      </c>
      <c r="W167" s="87">
        <f t="shared" si="210"/>
        <v>-2.217284472341837E-3</v>
      </c>
      <c r="X167" s="87">
        <f t="shared" si="210"/>
        <v>-1.1317526467349692E-3</v>
      </c>
      <c r="Y167" s="87">
        <f t="shared" si="210"/>
        <v>-1.0672780110016994E-3</v>
      </c>
      <c r="Z167" s="87">
        <f t="shared" si="210"/>
        <v>-2.3884489255766002E-3</v>
      </c>
      <c r="AA167" s="87">
        <f t="shared" si="210"/>
        <v>-1.1838068815963334E-3</v>
      </c>
      <c r="AB167" s="87">
        <f t="shared" si="210"/>
        <v>-7.347166436973702E-4</v>
      </c>
      <c r="AC167" s="87">
        <f t="shared" si="210"/>
        <v>-5.3293127200356621E-4</v>
      </c>
      <c r="AD167" s="87">
        <f t="shared" si="210"/>
        <v>-3.8558302948129224E-4</v>
      </c>
      <c r="AE167" s="87">
        <f t="shared" si="210"/>
        <v>-1.2284815880052034E-3</v>
      </c>
      <c r="AF167" s="87">
        <f t="shared" si="210"/>
        <v>-1.5574183005799501E-3</v>
      </c>
      <c r="AG167" s="87">
        <f t="shared" si="210"/>
        <v>-1.6217647647610526E-3</v>
      </c>
      <c r="AH167" s="87">
        <f t="shared" si="210"/>
        <v>-1.3013238646779693E-3</v>
      </c>
      <c r="AI167" s="87">
        <f t="shared" si="210"/>
        <v>-5.8345237366019681E-3</v>
      </c>
      <c r="AJ167" s="87">
        <f t="shared" si="210"/>
        <v>0</v>
      </c>
      <c r="AK167" s="87">
        <f t="shared" si="210"/>
        <v>-3.1735513517113665E-5</v>
      </c>
      <c r="AL167" s="87">
        <f t="shared" si="210"/>
        <v>-3.0259607400190521E-5</v>
      </c>
      <c r="AM167" s="87">
        <f t="shared" si="210"/>
        <v>-4.0326310090401625E-5</v>
      </c>
      <c r="AN167" s="87">
        <f t="shared" si="210"/>
        <v>-4.5149531160753757E-4</v>
      </c>
      <c r="AO167" s="87">
        <f t="shared" si="210"/>
        <v>-1.3036824585463519E-4</v>
      </c>
      <c r="AP167" s="87">
        <f t="shared" si="210"/>
        <v>-7.0862798204168425E-5</v>
      </c>
      <c r="AQ167" s="87">
        <f t="shared" si="210"/>
        <v>-8.6619813017041608E-5</v>
      </c>
      <c r="AR167" s="87">
        <f t="shared" si="210"/>
        <v>-4.148253013441718E-5</v>
      </c>
      <c r="AS167" s="87">
        <f t="shared" si="210"/>
        <v>-9.2185420505523942E-5</v>
      </c>
      <c r="AT167" s="87">
        <f t="shared" si="210"/>
        <v>-9.9459499860255412E-5</v>
      </c>
      <c r="AU167" s="87">
        <f t="shared" si="210"/>
        <v>-1.14113881669633E-4</v>
      </c>
      <c r="AV167" s="87">
        <f t="shared" si="210"/>
        <v>-1.915256448667032E-4</v>
      </c>
      <c r="AW167" s="87">
        <f t="shared" si="210"/>
        <v>-1.9074331268346647E-4</v>
      </c>
      <c r="AX167" s="87">
        <f t="shared" si="210"/>
        <v>-8.7634830640889643E-5</v>
      </c>
      <c r="AY167" s="87">
        <f t="shared" si="210"/>
        <v>-1.9621618188133438E-4</v>
      </c>
      <c r="AZ167" s="87">
        <f t="shared" si="210"/>
        <v>-6.3679641690799474E-3</v>
      </c>
      <c r="BA167" s="87">
        <f t="shared" si="210"/>
        <v>-1.9891667603932466E-4</v>
      </c>
      <c r="BB167" s="87">
        <f t="shared" si="210"/>
        <v>-1.969049726843638E-4</v>
      </c>
      <c r="BC167" s="87">
        <f t="shared" si="210"/>
        <v>-5.4741939196843971E-5</v>
      </c>
      <c r="BD167" s="87">
        <f t="shared" si="210"/>
        <v>-3.3232816806462592E-5</v>
      </c>
      <c r="BE167" s="87">
        <f t="shared" si="210"/>
        <v>-5.4153860807945616E-5</v>
      </c>
      <c r="BF167" s="87">
        <f t="shared" si="210"/>
        <v>-1.0345265125265211E-4</v>
      </c>
      <c r="BG167" s="87">
        <f t="shared" si="210"/>
        <v>-4.1446984104499753E-4</v>
      </c>
      <c r="BH167" s="87">
        <f t="shared" si="210"/>
        <v>-2.7201505020074658E-5</v>
      </c>
      <c r="BI167" s="87">
        <f t="shared" si="210"/>
        <v>-1.7682519848171438E-4</v>
      </c>
      <c r="BJ167" s="87">
        <f t="shared" si="210"/>
        <v>-9.6768708204697854E-5</v>
      </c>
      <c r="BK167" s="87">
        <f t="shared" si="210"/>
        <v>-1.0657716533161624E-4</v>
      </c>
      <c r="BL167" s="87">
        <f t="shared" si="210"/>
        <v>-4.0577200572568185E-5</v>
      </c>
      <c r="BM167" s="87">
        <f t="shared" si="210"/>
        <v>-6.8925372735003691E-5</v>
      </c>
      <c r="BN167" s="87">
        <f t="shared" si="210"/>
        <v>-5.8259568941671958E-5</v>
      </c>
      <c r="BO167" s="87">
        <f t="shared" si="198"/>
        <v>-6.5318589455912236E-5</v>
      </c>
      <c r="BP167" s="87">
        <f t="shared" si="198"/>
        <v>-1.5338982249655863E-4</v>
      </c>
      <c r="BQ167" s="87">
        <f t="shared" si="198"/>
        <v>-6.5717106920262243E-5</v>
      </c>
      <c r="BR167" s="87">
        <f t="shared" si="198"/>
        <v>-1.8199980709282456E-4</v>
      </c>
      <c r="BS167" s="87">
        <f t="shared" si="198"/>
        <v>-6.4734788737035823E-4</v>
      </c>
      <c r="BU167" s="96">
        <v>121174.46560885946</v>
      </c>
      <c r="BV167" s="98">
        <v>196563.35780035853</v>
      </c>
      <c r="BW167">
        <f t="shared" si="155"/>
        <v>-147.56185453461933</v>
      </c>
      <c r="BX167">
        <f t="shared" si="190"/>
        <v>-35.280869819276177</v>
      </c>
      <c r="BY167">
        <f t="shared" si="191"/>
        <v>-457.04652118281314</v>
      </c>
      <c r="BZ167">
        <f t="shared" si="192"/>
        <v>-287.44917218871751</v>
      </c>
      <c r="CA167">
        <f t="shared" si="193"/>
        <v>-45.298882454448211</v>
      </c>
      <c r="CB167">
        <f t="shared" si="194"/>
        <v>-198.83608671453757</v>
      </c>
      <c r="CC167">
        <f t="shared" si="195"/>
        <v>-765.68946729020468</v>
      </c>
      <c r="CD167">
        <f t="shared" si="196"/>
        <v>-220.49532811643235</v>
      </c>
      <c r="CE167">
        <f t="shared" si="165"/>
        <v>-430.27615510692084</v>
      </c>
      <c r="CF167">
        <f t="shared" si="166"/>
        <v>-477.08494772488183</v>
      </c>
      <c r="CG167">
        <f t="shared" si="167"/>
        <v>-372.99792701444113</v>
      </c>
      <c r="CH167">
        <f t="shared" si="168"/>
        <v>-6001.0108798000665</v>
      </c>
      <c r="CI167">
        <f t="shared" si="169"/>
        <v>-903.73322130987265</v>
      </c>
      <c r="CJ167">
        <f t="shared" si="170"/>
        <v>-861.54495440348262</v>
      </c>
      <c r="CK167">
        <f t="shared" si="171"/>
        <v>-1703.4996508282268</v>
      </c>
      <c r="CL167">
        <f t="shared" si="172"/>
        <v>74855.250259588109</v>
      </c>
      <c r="CM167">
        <f t="shared" si="173"/>
        <v>-210.71464586887063</v>
      </c>
      <c r="CN167">
        <f t="shared" si="174"/>
        <v>-1634.2803022943469</v>
      </c>
      <c r="CO167">
        <f t="shared" si="175"/>
        <v>-223.74941723199044</v>
      </c>
      <c r="CP167">
        <f t="shared" si="176"/>
        <v>-689.41366820031624</v>
      </c>
      <c r="CQ167">
        <f t="shared" si="177"/>
        <v>-583.07771266478198</v>
      </c>
      <c r="CR167">
        <f t="shared" si="178"/>
        <v>-480.87873016950255</v>
      </c>
      <c r="CS167">
        <f t="shared" si="179"/>
        <v>-228.90537898038264</v>
      </c>
      <c r="CT167">
        <f t="shared" si="180"/>
        <v>-48.277624265426446</v>
      </c>
      <c r="CU167">
        <f t="shared" si="181"/>
        <v>-111.22375424595155</v>
      </c>
      <c r="CV167">
        <f t="shared" si="182"/>
        <v>-206.97418850537156</v>
      </c>
      <c r="CW167">
        <f t="shared" si="183"/>
        <v>-206.30807696205528</v>
      </c>
      <c r="CX167">
        <f t="shared" si="184"/>
        <v>-285.13077910849631</v>
      </c>
      <c r="CY167">
        <f t="shared" si="185"/>
        <v>-215.76736440419182</v>
      </c>
      <c r="CZ167">
        <f t="shared" si="186"/>
        <v>-1099.5357135103866</v>
      </c>
      <c r="DA167">
        <f t="shared" si="187"/>
        <v>-617.79430248659719</v>
      </c>
      <c r="DB167">
        <f t="shared" si="188"/>
        <v>-379.88214281252397</v>
      </c>
      <c r="DC167">
        <f t="shared" si="156"/>
        <v>-615.6040361821166</v>
      </c>
      <c r="DD167">
        <f t="shared" si="149"/>
        <v>-1679.0736617870823</v>
      </c>
      <c r="DE167">
        <f t="shared" si="149"/>
        <v>0</v>
      </c>
      <c r="DF167">
        <f t="shared" si="149"/>
        <v>-40.821710007016094</v>
      </c>
      <c r="DG167">
        <f t="shared" si="149"/>
        <v>-27.026186458291505</v>
      </c>
      <c r="DH167">
        <f t="shared" si="149"/>
        <v>-65.4717171873327</v>
      </c>
      <c r="DI167">
        <f t="shared" si="149"/>
        <v>-326.35511334280113</v>
      </c>
      <c r="DJ167">
        <f t="shared" si="149"/>
        <v>-14.070156053603023</v>
      </c>
      <c r="DK167">
        <f t="shared" si="149"/>
        <v>-17.170184847642982</v>
      </c>
      <c r="DL167">
        <f t="shared" si="149"/>
        <v>-57.109566951880893</v>
      </c>
      <c r="DM167">
        <f t="shared" si="157"/>
        <v>-21.758957818593046</v>
      </c>
      <c r="DN167">
        <f t="shared" si="211"/>
        <v>-99.131532389943843</v>
      </c>
      <c r="DO167">
        <f t="shared" si="212"/>
        <v>-50.826662813982146</v>
      </c>
      <c r="DP167">
        <f t="shared" si="213"/>
        <v>-46.508207200752345</v>
      </c>
      <c r="DQ167">
        <f t="shared" si="214"/>
        <v>-300.62825077839983</v>
      </c>
      <c r="DR167">
        <f t="shared" si="215"/>
        <v>-182.60754809791297</v>
      </c>
      <c r="DS167">
        <f t="shared" si="216"/>
        <v>-270.18907415321888</v>
      </c>
      <c r="DT167">
        <f t="shared" si="217"/>
        <v>-279.47967274594305</v>
      </c>
      <c r="DU167">
        <f t="shared" si="218"/>
        <v>-1823.9887624119922</v>
      </c>
      <c r="DV167">
        <f t="shared" si="199"/>
        <v>-163.33058287351287</v>
      </c>
      <c r="DW167">
        <f t="shared" si="200"/>
        <v>-452.7114487824914</v>
      </c>
      <c r="DX167">
        <f t="shared" si="201"/>
        <v>-16.040183306729251</v>
      </c>
      <c r="DY167">
        <f t="shared" si="202"/>
        <v>-63.643904445361699</v>
      </c>
      <c r="DZ167">
        <f t="shared" si="203"/>
        <v>-77.147525888007209</v>
      </c>
      <c r="EA167">
        <f t="shared" si="204"/>
        <v>-92.46674130236886</v>
      </c>
      <c r="EB167">
        <f t="shared" si="205"/>
        <v>-361.85086701636436</v>
      </c>
      <c r="EC167">
        <f t="shared" si="206"/>
        <v>-4.6968289375722163</v>
      </c>
      <c r="ED167">
        <f t="shared" si="207"/>
        <v>-27.987116862053927</v>
      </c>
      <c r="EE167">
        <f t="shared" si="208"/>
        <v>-32.890675249387982</v>
      </c>
      <c r="EF167">
        <f t="shared" si="209"/>
        <v>-113.6280840170328</v>
      </c>
      <c r="EG167">
        <f t="shared" si="158"/>
        <v>-97.41239735403046</v>
      </c>
      <c r="EH167">
        <f t="shared" si="151"/>
        <v>-141.17067993827976</v>
      </c>
      <c r="EI167">
        <f t="shared" si="151"/>
        <v>-151.89949139969161</v>
      </c>
      <c r="EJ167">
        <f t="shared" si="151"/>
        <v>-145.2464156188617</v>
      </c>
      <c r="EK167">
        <f t="shared" si="151"/>
        <v>-87.770644573300999</v>
      </c>
      <c r="EL167">
        <f t="shared" si="151"/>
        <v>-87.509228869314157</v>
      </c>
      <c r="EM167">
        <f t="shared" si="159"/>
        <v>-192.13869466819895</v>
      </c>
      <c r="EN167">
        <f t="shared" si="152"/>
        <v>-8.9099432727042593</v>
      </c>
      <c r="EO167">
        <v>16</v>
      </c>
      <c r="EP167">
        <f t="shared" si="153"/>
        <v>46489.258083784196</v>
      </c>
      <c r="EQ167" s="98">
        <f t="shared" si="160"/>
        <v>121174.46560885946</v>
      </c>
      <c r="ES167" s="99">
        <f t="shared" si="161"/>
        <v>0.61634443485934209</v>
      </c>
      <c r="ET167">
        <v>19</v>
      </c>
      <c r="EU167">
        <v>197885.05929202584</v>
      </c>
      <c r="EV167">
        <v>19</v>
      </c>
      <c r="EW167" s="98">
        <v>197885.05929202584</v>
      </c>
    </row>
    <row r="168" spans="1:153" x14ac:dyDescent="0.35">
      <c r="A168" s="39">
        <v>17</v>
      </c>
      <c r="B168" s="87">
        <f t="shared" si="154"/>
        <v>-1.5679135223615998E-2</v>
      </c>
      <c r="C168" s="87">
        <f t="shared" si="210"/>
        <v>-4.6355004560784868E-2</v>
      </c>
      <c r="D168" s="87">
        <f t="shared" si="210"/>
        <v>-1.7583780481325598E-2</v>
      </c>
      <c r="E168" s="87">
        <f t="shared" si="210"/>
        <v>-2.100157187028805E-2</v>
      </c>
      <c r="F168" s="87">
        <f t="shared" si="210"/>
        <v>-1.1360391701156861E-2</v>
      </c>
      <c r="G168" s="87">
        <f t="shared" si="210"/>
        <v>-1.7028143248673702E-2</v>
      </c>
      <c r="H168" s="87">
        <f t="shared" si="210"/>
        <v>-2.446480203587701E-2</v>
      </c>
      <c r="I168" s="87">
        <f t="shared" si="210"/>
        <v>-1.9326011857964155E-2</v>
      </c>
      <c r="J168" s="87">
        <f t="shared" si="210"/>
        <v>-2.3856207464902194E-2</v>
      </c>
      <c r="K168" s="87">
        <f t="shared" si="210"/>
        <v>-2.2221369886258713E-2</v>
      </c>
      <c r="L168" s="87">
        <f t="shared" si="210"/>
        <v>-4.4577033710635511E-2</v>
      </c>
      <c r="M168" s="87">
        <f t="shared" si="210"/>
        <v>-2.4651800425613189E-2</v>
      </c>
      <c r="N168" s="87">
        <f t="shared" si="210"/>
        <v>-1.1661134125562843E-2</v>
      </c>
      <c r="O168" s="87">
        <f t="shared" si="210"/>
        <v>-8.229456630394991E-3</v>
      </c>
      <c r="P168" s="87">
        <f t="shared" si="210"/>
        <v>-9.48287506659291E-3</v>
      </c>
      <c r="Q168" s="87">
        <f t="shared" si="210"/>
        <v>-1.1731700090918021E-2</v>
      </c>
      <c r="R168" s="87">
        <f t="shared" si="210"/>
        <v>0.78706668571897598</v>
      </c>
      <c r="S168" s="87">
        <f t="shared" si="210"/>
        <v>-4.4734255016073907E-3</v>
      </c>
      <c r="T168" s="87">
        <f t="shared" si="210"/>
        <v>-1.0452794306636103E-2</v>
      </c>
      <c r="U168" s="87">
        <f t="shared" si="210"/>
        <v>-7.5838450448443857E-3</v>
      </c>
      <c r="V168" s="87">
        <f t="shared" si="210"/>
        <v>-1.7294636691709234E-2</v>
      </c>
      <c r="W168" s="87">
        <f t="shared" si="210"/>
        <v>-1.5986746752074375E-2</v>
      </c>
      <c r="X168" s="87">
        <f t="shared" si="210"/>
        <v>-1.2323611773405197E-2</v>
      </c>
      <c r="Y168" s="87">
        <f t="shared" si="210"/>
        <v>-2.9818665803180038E-3</v>
      </c>
      <c r="Z168" s="87">
        <f t="shared" si="210"/>
        <v>-3.3550674415586687E-3</v>
      </c>
      <c r="AA168" s="87">
        <f t="shared" si="210"/>
        <v>-9.5165883670893566E-3</v>
      </c>
      <c r="AB168" s="87">
        <f t="shared" si="210"/>
        <v>-8.4464902769883828E-3</v>
      </c>
      <c r="AC168" s="87">
        <f t="shared" si="210"/>
        <v>-4.3612160010638194E-3</v>
      </c>
      <c r="AD168" s="87">
        <f t="shared" si="210"/>
        <v>-6.8681817495013214E-3</v>
      </c>
      <c r="AE168" s="87">
        <f t="shared" si="210"/>
        <v>-5.4598084482463515E-3</v>
      </c>
      <c r="AF168" s="87">
        <f t="shared" si="210"/>
        <v>-1.4363163929870889E-2</v>
      </c>
      <c r="AG168" s="87">
        <f t="shared" si="210"/>
        <v>-1.3277278489851243E-2</v>
      </c>
      <c r="AH168" s="87">
        <f t="shared" si="210"/>
        <v>-1.0395109331183133E-2</v>
      </c>
      <c r="AI168" s="87">
        <f t="shared" si="210"/>
        <v>-1.5740279759578282E-2</v>
      </c>
      <c r="AJ168" s="87">
        <f t="shared" si="210"/>
        <v>0</v>
      </c>
      <c r="AK168" s="87">
        <f t="shared" si="210"/>
        <v>-3.7756275291958157E-5</v>
      </c>
      <c r="AL168" s="87">
        <f t="shared" si="210"/>
        <v>-7.1543996225380594E-5</v>
      </c>
      <c r="AM168" s="87">
        <f t="shared" si="210"/>
        <v>-8.2069374454499461E-5</v>
      </c>
      <c r="AN168" s="87">
        <f t="shared" si="210"/>
        <v>-8.6316700278776351E-5</v>
      </c>
      <c r="AO168" s="87">
        <f t="shared" si="210"/>
        <v>-7.0329077186158747E-5</v>
      </c>
      <c r="AP168" s="87">
        <f t="shared" si="210"/>
        <v>-8.3028293893153322E-5</v>
      </c>
      <c r="AQ168" s="87">
        <f t="shared" si="210"/>
        <v>-1.3040165647874987E-4</v>
      </c>
      <c r="AR168" s="87">
        <f t="shared" si="210"/>
        <v>-2.4783387069023246E-4</v>
      </c>
      <c r="AS168" s="87">
        <f t="shared" si="210"/>
        <v>-1.2849260684576544E-4</v>
      </c>
      <c r="AT168" s="87">
        <f t="shared" si="210"/>
        <v>-8.5382687019391873E-5</v>
      </c>
      <c r="AU168" s="87">
        <f t="shared" si="210"/>
        <v>-1.6972209354451569E-4</v>
      </c>
      <c r="AV168" s="87">
        <f t="shared" si="210"/>
        <v>-1.2232068250236979E-4</v>
      </c>
      <c r="AW168" s="87">
        <f t="shared" si="210"/>
        <v>-1.2706258075500807E-4</v>
      </c>
      <c r="AX168" s="87">
        <f t="shared" si="210"/>
        <v>-6.6143707965995283E-5</v>
      </c>
      <c r="AY168" s="87">
        <f t="shared" si="210"/>
        <v>-8.0983500599533255E-5</v>
      </c>
      <c r="AZ168" s="87">
        <f t="shared" si="210"/>
        <v>-8.3414477916387561E-5</v>
      </c>
      <c r="BA168" s="87">
        <f t="shared" si="210"/>
        <v>-5.387226594974568E-4</v>
      </c>
      <c r="BB168" s="87">
        <f t="shared" si="210"/>
        <v>-5.0197635096927726E-5</v>
      </c>
      <c r="BC168" s="87">
        <f t="shared" si="210"/>
        <v>-8.0625714850021863E-5</v>
      </c>
      <c r="BD168" s="87">
        <f t="shared" si="210"/>
        <v>-5.4164852499940952E-5</v>
      </c>
      <c r="BE168" s="87">
        <f t="shared" si="210"/>
        <v>-7.5335827639147113E-5</v>
      </c>
      <c r="BF168" s="87">
        <f t="shared" si="210"/>
        <v>-8.0853404333803086E-5</v>
      </c>
      <c r="BG168" s="87">
        <f t="shared" si="210"/>
        <v>-7.9172265603585492E-5</v>
      </c>
      <c r="BH168" s="87">
        <f t="shared" si="210"/>
        <v>-3.2904474136051495E-5</v>
      </c>
      <c r="BI168" s="87">
        <f t="shared" si="210"/>
        <v>-5.3209987013511732E-5</v>
      </c>
      <c r="BJ168" s="87">
        <f t="shared" si="210"/>
        <v>-1.2388140463716975E-4</v>
      </c>
      <c r="BK168" s="87">
        <f t="shared" si="210"/>
        <v>-5.5102834769841137E-5</v>
      </c>
      <c r="BL168" s="87">
        <f t="shared" si="210"/>
        <v>-5.1931776542531993E-5</v>
      </c>
      <c r="BM168" s="87">
        <f t="shared" si="210"/>
        <v>-3.4902149626247446E-5</v>
      </c>
      <c r="BN168" s="87">
        <f t="shared" si="210"/>
        <v>-5.8602305828761213E-5</v>
      </c>
      <c r="BO168" s="87">
        <f t="shared" si="198"/>
        <v>-8.1160606509741697E-5</v>
      </c>
      <c r="BP168" s="87">
        <f t="shared" si="198"/>
        <v>-1.5024790969430805E-4</v>
      </c>
      <c r="BQ168" s="87">
        <f t="shared" si="198"/>
        <v>-7.2012986006516738E-5</v>
      </c>
      <c r="BR168" s="87">
        <f t="shared" si="198"/>
        <v>-7.7730978042894411E-5</v>
      </c>
      <c r="BS168" s="87">
        <f t="shared" si="198"/>
        <v>-8.0511989826225794E-6</v>
      </c>
      <c r="BU168" s="96">
        <v>212479.80181036668</v>
      </c>
      <c r="BV168" s="98">
        <v>609453.60964046698</v>
      </c>
      <c r="BW168">
        <f t="shared" si="155"/>
        <v>-3648.1033693560544</v>
      </c>
      <c r="BX168">
        <f t="shared" si="190"/>
        <v>-1614.9952228660595</v>
      </c>
      <c r="BY168">
        <f t="shared" si="191"/>
        <v>-6525.2365510528562</v>
      </c>
      <c r="BZ168">
        <f t="shared" si="192"/>
        <v>-1599.8950519708153</v>
      </c>
      <c r="CA168">
        <f t="shared" si="193"/>
        <v>-170.53533886358781</v>
      </c>
      <c r="CB168">
        <f t="shared" si="194"/>
        <v>-877.82081179429792</v>
      </c>
      <c r="CC168">
        <f t="shared" si="195"/>
        <v>-4349.0743717961559</v>
      </c>
      <c r="CD168">
        <f t="shared" si="196"/>
        <v>-2478.7360611487547</v>
      </c>
      <c r="CE168">
        <f t="shared" si="165"/>
        <v>-6652.2461115572614</v>
      </c>
      <c r="CF168">
        <f t="shared" si="166"/>
        <v>-2650.8421677994716</v>
      </c>
      <c r="CG168">
        <f t="shared" si="167"/>
        <v>-3734.2200002935106</v>
      </c>
      <c r="CH168">
        <f t="shared" si="168"/>
        <v>-7397.8098815848971</v>
      </c>
      <c r="CI168">
        <f t="shared" si="169"/>
        <v>-2787.0612621310097</v>
      </c>
      <c r="CJ168">
        <f t="shared" si="170"/>
        <v>-3073.7723466731882</v>
      </c>
      <c r="CK168">
        <f t="shared" si="171"/>
        <v>-3184.3983918951835</v>
      </c>
      <c r="CL168">
        <f t="shared" si="172"/>
        <v>-922.4089450310471</v>
      </c>
      <c r="CM168">
        <f t="shared" si="173"/>
        <v>191872.25305567557</v>
      </c>
      <c r="CN168">
        <f t="shared" si="174"/>
        <v>-2455.2912457733937</v>
      </c>
      <c r="CO168">
        <f t="shared" si="175"/>
        <v>-1503.1843494917298</v>
      </c>
      <c r="CP168">
        <f t="shared" si="176"/>
        <v>-3528.0429908103974</v>
      </c>
      <c r="CQ168">
        <f t="shared" si="177"/>
        <v>-5920.6530020928503</v>
      </c>
      <c r="CR168">
        <f t="shared" si="178"/>
        <v>-3467.1629074096272</v>
      </c>
      <c r="CS168">
        <f t="shared" si="179"/>
        <v>-2492.542015728126</v>
      </c>
      <c r="CT168">
        <f t="shared" si="180"/>
        <v>-134.88278863640471</v>
      </c>
      <c r="CU168">
        <f t="shared" si="181"/>
        <v>-156.23662394557118</v>
      </c>
      <c r="CV168">
        <f t="shared" si="182"/>
        <v>-1663.8593551356148</v>
      </c>
      <c r="CW168">
        <f t="shared" si="183"/>
        <v>-2371.77037034966</v>
      </c>
      <c r="CX168">
        <f t="shared" si="184"/>
        <v>-2333.3532512902457</v>
      </c>
      <c r="CY168">
        <f t="shared" si="185"/>
        <v>-3843.3472456825848</v>
      </c>
      <c r="CZ168">
        <f t="shared" si="186"/>
        <v>-4886.7271893920824</v>
      </c>
      <c r="DA168">
        <f t="shared" si="187"/>
        <v>-5697.5578354581676</v>
      </c>
      <c r="DB168">
        <f t="shared" si="188"/>
        <v>-3110.0694213112129</v>
      </c>
      <c r="DC168">
        <f t="shared" si="156"/>
        <v>-4917.5085730209885</v>
      </c>
      <c r="DD168">
        <f t="shared" ref="DD168:DD221" si="219">AI168*DD96</f>
        <v>-4529.776613585349</v>
      </c>
      <c r="DE168">
        <f t="shared" ref="DE168:DE221" si="220">AJ168*DE96</f>
        <v>0</v>
      </c>
      <c r="DF168">
        <f t="shared" ref="DF168:DF221" si="221">AK168*DF96</f>
        <v>-48.566276391974426</v>
      </c>
      <c r="DG168">
        <f t="shared" ref="DG168:DG221" si="222">AL168*DG96</f>
        <v>-63.89909017610934</v>
      </c>
      <c r="DH168">
        <f t="shared" ref="DH168:DH221" si="223">AM168*DH96</f>
        <v>-133.24360354272082</v>
      </c>
      <c r="DI168">
        <f t="shared" ref="DI168:DI221" si="224">AN168*DI96</f>
        <v>-62.392445233945956</v>
      </c>
      <c r="DJ168">
        <f t="shared" ref="DJ168:DJ221" si="225">AO168*DJ96</f>
        <v>-7.5903536526718032</v>
      </c>
      <c r="DK168">
        <f t="shared" ref="DK168:DK221" si="226">AP168*DK96</f>
        <v>-20.117906572393995</v>
      </c>
      <c r="DL168">
        <f t="shared" ref="DL168:DL221" si="227">AQ168*DL96</f>
        <v>-85.97550458627957</v>
      </c>
      <c r="DM168">
        <f t="shared" si="157"/>
        <v>-129.99705468527534</v>
      </c>
      <c r="DN168">
        <f t="shared" si="211"/>
        <v>-138.17444176691745</v>
      </c>
      <c r="DO168">
        <f t="shared" si="212"/>
        <v>-43.633006896112263</v>
      </c>
      <c r="DP168">
        <f t="shared" si="213"/>
        <v>-69.171867415446542</v>
      </c>
      <c r="DQ168">
        <f t="shared" si="214"/>
        <v>-192.00067354061397</v>
      </c>
      <c r="DR168">
        <f t="shared" si="215"/>
        <v>-121.6429871131009</v>
      </c>
      <c r="DS168">
        <f t="shared" si="216"/>
        <v>-203.92927202228833</v>
      </c>
      <c r="DT168">
        <f t="shared" si="217"/>
        <v>-115.34849994719772</v>
      </c>
      <c r="DU168">
        <f t="shared" si="218"/>
        <v>-23.892576387397703</v>
      </c>
      <c r="DV168">
        <f t="shared" si="199"/>
        <v>-442.3454470227199</v>
      </c>
      <c r="DW168">
        <f t="shared" si="200"/>
        <v>-115.41122502077664</v>
      </c>
      <c r="DX168">
        <f t="shared" si="201"/>
        <v>-23.62450553277062</v>
      </c>
      <c r="DY168">
        <f t="shared" si="202"/>
        <v>-103.73068033561884</v>
      </c>
      <c r="DZ168">
        <f t="shared" si="203"/>
        <v>-107.32333071685262</v>
      </c>
      <c r="EA168">
        <f t="shared" si="204"/>
        <v>-72.267368031884416</v>
      </c>
      <c r="EB168">
        <f t="shared" si="205"/>
        <v>-69.120959151276395</v>
      </c>
      <c r="EC168">
        <f t="shared" si="206"/>
        <v>-5.6815490975130993</v>
      </c>
      <c r="ED168">
        <f t="shared" si="207"/>
        <v>-8.4218433660037615</v>
      </c>
      <c r="EE168">
        <f t="shared" si="208"/>
        <v>-42.105998157381308</v>
      </c>
      <c r="EF168">
        <f t="shared" si="209"/>
        <v>-58.748321174824717</v>
      </c>
      <c r="EG168">
        <f t="shared" si="158"/>
        <v>-124.67096745165301</v>
      </c>
      <c r="EH168">
        <f t="shared" ref="EH168:EH221" si="228">BM168*EH96</f>
        <v>-71.485434151924068</v>
      </c>
      <c r="EI168">
        <f t="shared" ref="EI168:EI221" si="229">BN168*EI96</f>
        <v>-152.79310526911269</v>
      </c>
      <c r="EJ168">
        <f t="shared" ref="EJ168:EJ221" si="230">BO168*EJ96</f>
        <v>-180.47369490349323</v>
      </c>
      <c r="EK168">
        <f t="shared" ref="EK168:EK221" si="231">BP168*EK96</f>
        <v>-85.972821827578557</v>
      </c>
      <c r="EL168">
        <f t="shared" ref="EL168:EL221" si="232">BQ168*EL96</f>
        <v>-95.89285300786706</v>
      </c>
      <c r="EM168">
        <f t="shared" si="159"/>
        <v>-82.061233443103973</v>
      </c>
      <c r="EN168">
        <f t="shared" si="152"/>
        <v>-0.11081479929412398</v>
      </c>
      <c r="EO168">
        <v>17</v>
      </c>
      <c r="EP168">
        <f t="shared" si="153"/>
        <v>83891.313678355305</v>
      </c>
      <c r="EQ168" s="98">
        <f t="shared" si="160"/>
        <v>212479.80181036668</v>
      </c>
      <c r="ES168" s="99">
        <f t="shared" si="161"/>
        <v>0.60517981961774248</v>
      </c>
      <c r="ET168">
        <v>17</v>
      </c>
      <c r="EU168">
        <v>212479.80181036668</v>
      </c>
      <c r="EV168">
        <v>17</v>
      </c>
      <c r="EW168" s="98">
        <v>212479.80181036668</v>
      </c>
    </row>
    <row r="169" spans="1:153" x14ac:dyDescent="0.35">
      <c r="A169" s="39">
        <v>18</v>
      </c>
      <c r="B169" s="87">
        <f t="shared" si="154"/>
        <v>-4.3414537296088771E-3</v>
      </c>
      <c r="C169" s="87">
        <f t="shared" si="210"/>
        <v>-1.4600630471653572E-2</v>
      </c>
      <c r="D169" s="87">
        <f t="shared" si="210"/>
        <v>-3.7228354417108886E-3</v>
      </c>
      <c r="E169" s="87">
        <f t="shared" si="210"/>
        <v>-5.5885662545891663E-3</v>
      </c>
      <c r="F169" s="87">
        <f t="shared" si="210"/>
        <v>-4.2130784801739972E-3</v>
      </c>
      <c r="G169" s="87">
        <f t="shared" si="210"/>
        <v>-5.5025029957454404E-3</v>
      </c>
      <c r="H169" s="87">
        <f t="shared" si="210"/>
        <v>-4.310703278824852E-3</v>
      </c>
      <c r="I169" s="87">
        <f t="shared" si="210"/>
        <v>-8.2467638491075697E-3</v>
      </c>
      <c r="J169" s="87">
        <f t="shared" si="210"/>
        <v>-3.8741468097380654E-3</v>
      </c>
      <c r="K169" s="87">
        <f t="shared" si="210"/>
        <v>-3.2071838468197317E-3</v>
      </c>
      <c r="L169" s="87">
        <f t="shared" si="210"/>
        <v>-9.7417112387857881E-3</v>
      </c>
      <c r="M169" s="87">
        <f t="shared" si="210"/>
        <v>-6.0132124609816491E-3</v>
      </c>
      <c r="N169" s="87">
        <f t="shared" si="210"/>
        <v>-5.082666700364378E-3</v>
      </c>
      <c r="O169" s="87">
        <f t="shared" si="210"/>
        <v>-3.2903664331368813E-3</v>
      </c>
      <c r="P169" s="87">
        <f t="shared" si="210"/>
        <v>-3.1914468055768458E-3</v>
      </c>
      <c r="Q169" s="87">
        <f t="shared" si="210"/>
        <v>-5.1908655532128464E-3</v>
      </c>
      <c r="R169" s="87">
        <f t="shared" si="210"/>
        <v>-1.8130256421589459E-2</v>
      </c>
      <c r="S169" s="87">
        <f t="shared" si="210"/>
        <v>0.85139287922361595</v>
      </c>
      <c r="T169" s="87">
        <f t="shared" si="210"/>
        <v>-7.3193881818339598E-3</v>
      </c>
      <c r="U169" s="87">
        <f t="shared" si="210"/>
        <v>-5.0974097409153237E-3</v>
      </c>
      <c r="V169" s="87">
        <f t="shared" si="210"/>
        <v>-8.7072262162308164E-3</v>
      </c>
      <c r="W169" s="87">
        <f t="shared" si="210"/>
        <v>-8.0369414296744598E-3</v>
      </c>
      <c r="X169" s="87">
        <f t="shared" si="210"/>
        <v>-5.7391456623796695E-3</v>
      </c>
      <c r="Y169" s="87">
        <f t="shared" si="210"/>
        <v>-1.9853054339462771E-3</v>
      </c>
      <c r="Z169" s="87">
        <f t="shared" si="210"/>
        <v>-2.8296918161563852E-3</v>
      </c>
      <c r="AA169" s="87">
        <f t="shared" si="210"/>
        <v>-1.8888415631473358E-2</v>
      </c>
      <c r="AB169" s="87">
        <f t="shared" si="210"/>
        <v>-1.4359228241585595E-2</v>
      </c>
      <c r="AC169" s="87">
        <f t="shared" si="210"/>
        <v>-6.0485532629832098E-3</v>
      </c>
      <c r="AD169" s="87">
        <f t="shared" si="210"/>
        <v>-5.2037043575031798E-2</v>
      </c>
      <c r="AE169" s="87">
        <f t="shared" si="210"/>
        <v>-7.2356056245721006E-3</v>
      </c>
      <c r="AF169" s="87">
        <f t="shared" si="210"/>
        <v>-2.1894338567571212E-2</v>
      </c>
      <c r="AG169" s="87">
        <f t="shared" si="210"/>
        <v>-7.9202668673817068E-3</v>
      </c>
      <c r="AH169" s="87">
        <f t="shared" si="210"/>
        <v>-6.8447524118584319E-3</v>
      </c>
      <c r="AI169" s="87">
        <f t="shared" si="210"/>
        <v>-1.2638142241168888E-2</v>
      </c>
      <c r="AJ169" s="87">
        <f t="shared" si="210"/>
        <v>0</v>
      </c>
      <c r="AK169" s="87">
        <f t="shared" si="210"/>
        <v>-2.4491632915771015E-5</v>
      </c>
      <c r="AL169" s="87">
        <f t="shared" si="210"/>
        <v>-4.4174056259448151E-5</v>
      </c>
      <c r="AM169" s="87">
        <f t="shared" si="210"/>
        <v>-2.8378112083985927E-5</v>
      </c>
      <c r="AN169" s="87">
        <f t="shared" si="210"/>
        <v>-2.6967920590823375E-5</v>
      </c>
      <c r="AO169" s="87">
        <f t="shared" si="210"/>
        <v>-1.83779214748316E-5</v>
      </c>
      <c r="AP169" s="87">
        <f t="shared" si="210"/>
        <v>-3.5558903632174859E-5</v>
      </c>
      <c r="AQ169" s="87">
        <f t="shared" si="210"/>
        <v>-2.6509609949867266E-5</v>
      </c>
      <c r="AR169" s="87">
        <f t="shared" si="210"/>
        <v>-5.5751175543842438E-5</v>
      </c>
      <c r="AS169" s="87">
        <f t="shared" si="210"/>
        <v>-4.3396611389935175E-5</v>
      </c>
      <c r="AT169" s="87">
        <f t="shared" si="210"/>
        <v>-3.2855847124026637E-5</v>
      </c>
      <c r="AU169" s="87">
        <f t="shared" si="210"/>
        <v>-8.134398761403871E-5</v>
      </c>
      <c r="AV169" s="87">
        <f t="shared" si="210"/>
        <v>-5.3310725179209565E-5</v>
      </c>
      <c r="AW169" s="87">
        <f t="shared" si="210"/>
        <v>-1.0383813787018126E-4</v>
      </c>
      <c r="AX169" s="87">
        <f t="shared" si="210"/>
        <v>-5.7948407134846867E-5</v>
      </c>
      <c r="AY169" s="87">
        <f t="shared" si="210"/>
        <v>-5.6430658109946916E-5</v>
      </c>
      <c r="AZ169" s="87">
        <f t="shared" si="210"/>
        <v>-1.0763534607665385E-4</v>
      </c>
      <c r="BA169" s="87">
        <f t="shared" si="210"/>
        <v>-1.0850009791676031E-4</v>
      </c>
      <c r="BB169" s="87">
        <f t="shared" si="210"/>
        <v>-1.3002119847482928E-4</v>
      </c>
      <c r="BC169" s="87">
        <f t="shared" si="210"/>
        <v>-2.4665435098483182E-4</v>
      </c>
      <c r="BD169" s="87">
        <f t="shared" si="210"/>
        <v>-6.4185688118034039E-5</v>
      </c>
      <c r="BE169" s="87">
        <f t="shared" si="210"/>
        <v>-4.1572498775012714E-5</v>
      </c>
      <c r="BF169" s="87">
        <f t="shared" si="210"/>
        <v>-6.8949142522607479E-5</v>
      </c>
      <c r="BG169" s="87">
        <f t="shared" si="210"/>
        <v>-6.6760810951088512E-5</v>
      </c>
      <c r="BH169" s="87">
        <f t="shared" si="210"/>
        <v>-3.6854585800349557E-5</v>
      </c>
      <c r="BI169" s="87">
        <f t="shared" si="210"/>
        <v>-8.9006649417142371E-5</v>
      </c>
      <c r="BJ169" s="87">
        <f t="shared" si="210"/>
        <v>-2.6592138110905124E-4</v>
      </c>
      <c r="BK169" s="87">
        <f t="shared" si="210"/>
        <v>-1.1639423568575192E-4</v>
      </c>
      <c r="BL169" s="87">
        <f t="shared" si="210"/>
        <v>-3.8467474611859534E-5</v>
      </c>
      <c r="BM169" s="87">
        <f t="shared" si="210"/>
        <v>-3.0352150332121989E-4</v>
      </c>
      <c r="BN169" s="87">
        <f t="shared" ref="BN169:BS172" si="233">BN96-BN19</f>
        <v>-3.1052054521236206E-5</v>
      </c>
      <c r="BO169" s="87">
        <f t="shared" si="233"/>
        <v>-6.8874500618879743E-5</v>
      </c>
      <c r="BP169" s="87">
        <f t="shared" si="233"/>
        <v>-9.8676141219082626E-5</v>
      </c>
      <c r="BQ169" s="87">
        <f t="shared" si="233"/>
        <v>-1.1476970095373166E-4</v>
      </c>
      <c r="BR169" s="87">
        <f t="shared" si="233"/>
        <v>-8.3666729451575594E-5</v>
      </c>
      <c r="BS169" s="87">
        <f t="shared" si="233"/>
        <v>-8.0160324078189067E-6</v>
      </c>
      <c r="BU169" s="96">
        <v>935642.41116434103</v>
      </c>
      <c r="BV169" s="98">
        <v>1372153.8700550387</v>
      </c>
      <c r="BW169">
        <f t="shared" si="155"/>
        <v>-1010.1368317197854</v>
      </c>
      <c r="BX169">
        <f t="shared" si="190"/>
        <v>-508.68182812134086</v>
      </c>
      <c r="BY169">
        <f t="shared" si="191"/>
        <v>-1381.5221319218581</v>
      </c>
      <c r="BZ169">
        <f t="shared" si="192"/>
        <v>-425.73572842791435</v>
      </c>
      <c r="CA169">
        <f t="shared" si="193"/>
        <v>-63.244189564537415</v>
      </c>
      <c r="CB169">
        <f t="shared" si="194"/>
        <v>-283.66050109438896</v>
      </c>
      <c r="CC169">
        <f t="shared" si="195"/>
        <v>-766.30782161498757</v>
      </c>
      <c r="CD169">
        <f t="shared" si="196"/>
        <v>-1057.7221565833293</v>
      </c>
      <c r="CE169">
        <f t="shared" si="165"/>
        <v>-1080.2965261179108</v>
      </c>
      <c r="CF169">
        <f t="shared" si="166"/>
        <v>-382.59289254225433</v>
      </c>
      <c r="CG169">
        <f t="shared" si="167"/>
        <v>-816.06356271029108</v>
      </c>
      <c r="CH169">
        <f t="shared" si="168"/>
        <v>-1804.5173900442596</v>
      </c>
      <c r="CI169">
        <f t="shared" si="169"/>
        <v>-1214.7792244199977</v>
      </c>
      <c r="CJ169">
        <f t="shared" si="170"/>
        <v>-1228.9799687676832</v>
      </c>
      <c r="CK169">
        <f t="shared" si="171"/>
        <v>-1071.7043095190033</v>
      </c>
      <c r="CL169">
        <f t="shared" si="172"/>
        <v>-408.13358521189309</v>
      </c>
      <c r="CM169">
        <f t="shared" si="173"/>
        <v>-4419.820087937981</v>
      </c>
      <c r="CN169">
        <f t="shared" si="174"/>
        <v>467296.81366559473</v>
      </c>
      <c r="CO169">
        <f t="shared" si="175"/>
        <v>-1052.5788071618815</v>
      </c>
      <c r="CP169">
        <f t="shared" si="176"/>
        <v>-2371.3407382908845</v>
      </c>
      <c r="CQ169">
        <f t="shared" si="177"/>
        <v>-2980.8353859056183</v>
      </c>
      <c r="CR169">
        <f t="shared" si="178"/>
        <v>-1743.0303767322321</v>
      </c>
      <c r="CS169">
        <f t="shared" si="179"/>
        <v>-1160.7848381540221</v>
      </c>
      <c r="CT169">
        <f t="shared" si="180"/>
        <v>-89.803995588938591</v>
      </c>
      <c r="CU169">
        <f t="shared" si="181"/>
        <v>-131.77126953886142</v>
      </c>
      <c r="CV169">
        <f t="shared" si="182"/>
        <v>-3302.4089978296356</v>
      </c>
      <c r="CW169">
        <f t="shared" si="183"/>
        <v>-4032.0643211139527</v>
      </c>
      <c r="CX169">
        <f t="shared" si="184"/>
        <v>-3236.1184170519073</v>
      </c>
      <c r="CY169">
        <f t="shared" si="185"/>
        <v>-29119.268445696602</v>
      </c>
      <c r="CZ169">
        <f t="shared" si="186"/>
        <v>-6476.1302658285786</v>
      </c>
      <c r="DA169">
        <f t="shared" si="187"/>
        <v>-8685.0126383651623</v>
      </c>
      <c r="DB169">
        <f t="shared" si="188"/>
        <v>-1855.2431367389493</v>
      </c>
      <c r="DC169">
        <f t="shared" si="156"/>
        <v>-3237.9773596560117</v>
      </c>
      <c r="DD169">
        <f t="shared" si="219"/>
        <v>-3637.0358111567498</v>
      </c>
      <c r="DE169">
        <f t="shared" si="220"/>
        <v>0</v>
      </c>
      <c r="DF169">
        <f t="shared" si="221"/>
        <v>-31.503833582108204</v>
      </c>
      <c r="DG169">
        <f t="shared" si="222"/>
        <v>-39.453792816868734</v>
      </c>
      <c r="DH169">
        <f t="shared" si="223"/>
        <v>-46.073239146057738</v>
      </c>
      <c r="DI169">
        <f t="shared" si="224"/>
        <v>-19.493267271595055</v>
      </c>
      <c r="DJ169">
        <f t="shared" si="225"/>
        <v>-1.9834601700483732</v>
      </c>
      <c r="DK169">
        <f t="shared" si="226"/>
        <v>-8.6159870032912504</v>
      </c>
      <c r="DL169">
        <f t="shared" si="227"/>
        <v>-17.478129905479445</v>
      </c>
      <c r="DM169">
        <f t="shared" si="157"/>
        <v>-29.243333833896763</v>
      </c>
      <c r="DN169">
        <f t="shared" si="211"/>
        <v>-46.66651802447852</v>
      </c>
      <c r="DO169">
        <f t="shared" si="212"/>
        <v>-16.790282130786881</v>
      </c>
      <c r="DP169">
        <f t="shared" si="213"/>
        <v>-33.152522507661637</v>
      </c>
      <c r="DQ169">
        <f t="shared" si="214"/>
        <v>-83.679185988424337</v>
      </c>
      <c r="DR169">
        <f t="shared" si="215"/>
        <v>-99.409135181547185</v>
      </c>
      <c r="DS169">
        <f t="shared" si="216"/>
        <v>-178.6621410450085</v>
      </c>
      <c r="DT169">
        <f t="shared" si="217"/>
        <v>-80.37676459806012</v>
      </c>
      <c r="DU169">
        <f t="shared" si="218"/>
        <v>-30.830208284684449</v>
      </c>
      <c r="DV169">
        <f t="shared" si="199"/>
        <v>-89.089485041838657</v>
      </c>
      <c r="DW169">
        <f t="shared" si="200"/>
        <v>-298.93650897446361</v>
      </c>
      <c r="DX169">
        <f t="shared" si="201"/>
        <v>-72.273307472219273</v>
      </c>
      <c r="DY169">
        <f t="shared" si="202"/>
        <v>-122.92150331805622</v>
      </c>
      <c r="DZ169">
        <f t="shared" si="203"/>
        <v>-59.224132455646988</v>
      </c>
      <c r="EA169">
        <f t="shared" si="204"/>
        <v>-61.627251186514791</v>
      </c>
      <c r="EB169">
        <f t="shared" si="205"/>
        <v>-58.285199387388673</v>
      </c>
      <c r="EC169">
        <f t="shared" si="206"/>
        <v>-6.363606901220086</v>
      </c>
      <c r="ED169">
        <f t="shared" si="207"/>
        <v>-14.087582087430981</v>
      </c>
      <c r="EE169">
        <f t="shared" si="208"/>
        <v>-90.383905605365214</v>
      </c>
      <c r="EF169">
        <f t="shared" si="209"/>
        <v>-124.09463087563965</v>
      </c>
      <c r="EG169">
        <f t="shared" si="158"/>
        <v>-92.347645210147959</v>
      </c>
      <c r="EH169">
        <f t="shared" si="228"/>
        <v>-621.66275348968782</v>
      </c>
      <c r="EI169">
        <f t="shared" si="229"/>
        <v>-80.961657876556018</v>
      </c>
      <c r="EJ169">
        <f t="shared" si="230"/>
        <v>-153.1535574445243</v>
      </c>
      <c r="EK169">
        <f t="shared" si="231"/>
        <v>-56.463123679534</v>
      </c>
      <c r="EL169">
        <f t="shared" si="232"/>
        <v>-152.82790887628394</v>
      </c>
      <c r="EM169">
        <f t="shared" si="159"/>
        <v>-88.327655071546957</v>
      </c>
      <c r="EN169">
        <f t="shared" si="152"/>
        <v>-0.11033077487277483</v>
      </c>
      <c r="EO169">
        <v>18</v>
      </c>
      <c r="EP169">
        <f t="shared" si="153"/>
        <v>373254.95657724643</v>
      </c>
      <c r="EQ169" s="98">
        <f t="shared" si="160"/>
        <v>935642.41116434103</v>
      </c>
      <c r="ES169" s="99">
        <f t="shared" si="161"/>
        <v>0.60107093038593995</v>
      </c>
      <c r="ET169">
        <v>1</v>
      </c>
      <c r="EU169">
        <v>216479.75712668651</v>
      </c>
      <c r="EV169">
        <v>1</v>
      </c>
      <c r="EW169" s="98">
        <v>216479.75712668651</v>
      </c>
    </row>
    <row r="170" spans="1:153" x14ac:dyDescent="0.35">
      <c r="A170" s="39">
        <v>19</v>
      </c>
      <c r="B170" s="87">
        <f t="shared" si="154"/>
        <v>-9.2189200639834941E-3</v>
      </c>
      <c r="C170" s="87">
        <f t="shared" ref="C170:BN173" si="234">C97-C20</f>
        <v>-6.9034366781583955E-3</v>
      </c>
      <c r="D170" s="87">
        <f t="shared" si="234"/>
        <v>-1.1511876860440065E-2</v>
      </c>
      <c r="E170" s="87">
        <f t="shared" si="234"/>
        <v>-1.2856070217755609E-2</v>
      </c>
      <c r="F170" s="87">
        <f t="shared" si="234"/>
        <v>-1.6857296439960305E-2</v>
      </c>
      <c r="G170" s="87">
        <f t="shared" si="234"/>
        <v>-9.7491197369654042E-3</v>
      </c>
      <c r="H170" s="87">
        <f t="shared" si="234"/>
        <v>-7.8846579442651242E-3</v>
      </c>
      <c r="I170" s="87">
        <f t="shared" si="234"/>
        <v>-6.8542904705796576E-3</v>
      </c>
      <c r="J170" s="87">
        <f t="shared" si="234"/>
        <v>-9.7724345592852986E-3</v>
      </c>
      <c r="K170" s="87">
        <f t="shared" si="234"/>
        <v>-9.6723647115970202E-3</v>
      </c>
      <c r="L170" s="87">
        <f t="shared" si="234"/>
        <v>-9.8190557294282315E-3</v>
      </c>
      <c r="M170" s="87">
        <f t="shared" si="234"/>
        <v>-8.8280421889443978E-3</v>
      </c>
      <c r="N170" s="87">
        <f t="shared" si="234"/>
        <v>-8.710453505170173E-3</v>
      </c>
      <c r="O170" s="87">
        <f t="shared" si="234"/>
        <v>-7.0625239145127028E-3</v>
      </c>
      <c r="P170" s="87">
        <f t="shared" si="234"/>
        <v>-1.0699000453068711E-2</v>
      </c>
      <c r="Q170" s="87">
        <f t="shared" si="234"/>
        <v>-1.2128596450356485E-2</v>
      </c>
      <c r="R170" s="87">
        <f t="shared" si="234"/>
        <v>-3.9001629310751349E-3</v>
      </c>
      <c r="S170" s="87">
        <f t="shared" si="234"/>
        <v>-8.8144896943643629E-3</v>
      </c>
      <c r="T170" s="87">
        <f t="shared" si="234"/>
        <v>0.98049915204630445</v>
      </c>
      <c r="U170" s="87">
        <f t="shared" si="234"/>
        <v>-6.2923785842169712E-3</v>
      </c>
      <c r="V170" s="87">
        <f t="shared" si="234"/>
        <v>-7.4832379817825288E-3</v>
      </c>
      <c r="W170" s="87">
        <f t="shared" si="234"/>
        <v>-9.7913421457367002E-3</v>
      </c>
      <c r="X170" s="87">
        <f t="shared" si="234"/>
        <v>-2.2878621815526027E-2</v>
      </c>
      <c r="Y170" s="87">
        <f t="shared" si="234"/>
        <v>-3.1645843045680529E-3</v>
      </c>
      <c r="Z170" s="87">
        <f t="shared" si="234"/>
        <v>-4.8619654807196206E-3</v>
      </c>
      <c r="AA170" s="87">
        <f t="shared" si="234"/>
        <v>-9.0134458404700964E-3</v>
      </c>
      <c r="AB170" s="87">
        <f t="shared" si="234"/>
        <v>-3.3937404966695776E-3</v>
      </c>
      <c r="AC170" s="87">
        <f t="shared" si="234"/>
        <v>-2.5907781923117904E-3</v>
      </c>
      <c r="AD170" s="87">
        <f t="shared" si="234"/>
        <v>-8.4467066394352597E-4</v>
      </c>
      <c r="AE170" s="87">
        <f t="shared" si="234"/>
        <v>-4.2607979922081049E-3</v>
      </c>
      <c r="AF170" s="87">
        <f t="shared" si="234"/>
        <v>-5.6635665858124134E-3</v>
      </c>
      <c r="AG170" s="87">
        <f t="shared" si="234"/>
        <v>-2.4428929219361801E-3</v>
      </c>
      <c r="AH170" s="87">
        <f t="shared" si="234"/>
        <v>-4.8862473685959019E-3</v>
      </c>
      <c r="AI170" s="87">
        <f t="shared" si="234"/>
        <v>-5.8653911448603982E-3</v>
      </c>
      <c r="AJ170" s="87">
        <f t="shared" si="234"/>
        <v>0</v>
      </c>
      <c r="AK170" s="87">
        <f t="shared" si="234"/>
        <v>-4.6823077258784821E-5</v>
      </c>
      <c r="AL170" s="87">
        <f t="shared" si="234"/>
        <v>-3.2779032904647884E-5</v>
      </c>
      <c r="AM170" s="87">
        <f t="shared" si="234"/>
        <v>-8.7672842308747311E-5</v>
      </c>
      <c r="AN170" s="87">
        <f t="shared" si="234"/>
        <v>-5.2667877264272268E-5</v>
      </c>
      <c r="AO170" s="87">
        <f t="shared" si="234"/>
        <v>-6.1156112823296396E-5</v>
      </c>
      <c r="AP170" s="87">
        <f t="shared" si="234"/>
        <v>-3.7797410835436327E-5</v>
      </c>
      <c r="AQ170" s="87">
        <f t="shared" si="234"/>
        <v>-4.5089516617777422E-5</v>
      </c>
      <c r="AR170" s="87">
        <f t="shared" si="234"/>
        <v>-4.8486064953045637E-5</v>
      </c>
      <c r="AS170" s="87">
        <f t="shared" si="234"/>
        <v>-4.5732083934240338E-5</v>
      </c>
      <c r="AT170" s="87">
        <f t="shared" si="234"/>
        <v>-5.6556096733046241E-5</v>
      </c>
      <c r="AU170" s="87">
        <f t="shared" si="234"/>
        <v>-7.2629890050594667E-5</v>
      </c>
      <c r="AV170" s="87">
        <f t="shared" si="234"/>
        <v>-4.7767631858670304E-5</v>
      </c>
      <c r="AW170" s="87">
        <f t="shared" si="234"/>
        <v>-4.4227588614146758E-5</v>
      </c>
      <c r="AX170" s="87">
        <f t="shared" si="234"/>
        <v>-3.0742729116361191E-5</v>
      </c>
      <c r="AY170" s="87">
        <f t="shared" si="234"/>
        <v>-8.1861903852331746E-5</v>
      </c>
      <c r="AZ170" s="87">
        <f t="shared" si="234"/>
        <v>-1.5065573007046941E-4</v>
      </c>
      <c r="BA170" s="87">
        <f t="shared" si="234"/>
        <v>-6.6515967455978552E-5</v>
      </c>
      <c r="BB170" s="87">
        <f t="shared" si="234"/>
        <v>-5.6868646442379618E-5</v>
      </c>
      <c r="BC170" s="87">
        <f t="shared" si="234"/>
        <v>-4.7424036665516352E-5</v>
      </c>
      <c r="BD170" s="87">
        <f t="shared" si="234"/>
        <v>-4.3852925772044067E-5</v>
      </c>
      <c r="BE170" s="87">
        <f t="shared" si="234"/>
        <v>-3.3908055641992581E-5</v>
      </c>
      <c r="BF170" s="87">
        <f t="shared" si="234"/>
        <v>-3.6491662124810411E-5</v>
      </c>
      <c r="BG170" s="87">
        <f t="shared" si="234"/>
        <v>-1.161851659670804E-4</v>
      </c>
      <c r="BH170" s="87">
        <f t="shared" si="234"/>
        <v>-6.4867161140267106E-5</v>
      </c>
      <c r="BI170" s="87">
        <f t="shared" si="234"/>
        <v>-8.7645100699074369E-5</v>
      </c>
      <c r="BJ170" s="87">
        <f t="shared" si="234"/>
        <v>-1.1943633125164714E-4</v>
      </c>
      <c r="BK170" s="87">
        <f t="shared" si="234"/>
        <v>-3.2497961196402735E-5</v>
      </c>
      <c r="BL170" s="87">
        <f t="shared" si="234"/>
        <v>-2.7168867424834843E-5</v>
      </c>
      <c r="BM170" s="87">
        <f t="shared" si="234"/>
        <v>-1.8403614832147562E-5</v>
      </c>
      <c r="BN170" s="87">
        <f t="shared" si="234"/>
        <v>-2.2141659685605245E-5</v>
      </c>
      <c r="BO170" s="87">
        <f t="shared" si="233"/>
        <v>-3.3915392949512775E-5</v>
      </c>
      <c r="BP170" s="87">
        <f t="shared" si="233"/>
        <v>-3.73484825082027E-5</v>
      </c>
      <c r="BQ170" s="87">
        <f t="shared" si="233"/>
        <v>-2.3413368664660463E-5</v>
      </c>
      <c r="BR170" s="87">
        <f t="shared" si="233"/>
        <v>-3.4123968903043773E-5</v>
      </c>
      <c r="BS170" s="87">
        <f t="shared" si="233"/>
        <v>-1.9165769055138999E-5</v>
      </c>
      <c r="BU170" s="96">
        <v>197885.05929202584</v>
      </c>
      <c r="BV170" s="98">
        <v>359517.34660496766</v>
      </c>
      <c r="BW170">
        <f t="shared" si="155"/>
        <v>-2144.9890486680833</v>
      </c>
      <c r="BX170">
        <f t="shared" si="190"/>
        <v>-240.51377757852552</v>
      </c>
      <c r="BY170">
        <f t="shared" si="191"/>
        <v>-4271.9891630096245</v>
      </c>
      <c r="BZ170">
        <f t="shared" si="192"/>
        <v>-979.37255631211247</v>
      </c>
      <c r="CA170">
        <f t="shared" si="193"/>
        <v>-253.05155282804535</v>
      </c>
      <c r="CB170">
        <f t="shared" si="194"/>
        <v>-502.57858868137913</v>
      </c>
      <c r="CC170">
        <f t="shared" si="195"/>
        <v>-1401.6448506509714</v>
      </c>
      <c r="CD170">
        <f t="shared" si="196"/>
        <v>-879.12483381886045</v>
      </c>
      <c r="CE170">
        <f t="shared" si="165"/>
        <v>-2725.0198881400424</v>
      </c>
      <c r="CF170">
        <f t="shared" si="166"/>
        <v>-1153.840306474184</v>
      </c>
      <c r="CG170">
        <f t="shared" si="167"/>
        <v>-822.54271396437321</v>
      </c>
      <c r="CH170">
        <f t="shared" si="168"/>
        <v>-2649.2254769581095</v>
      </c>
      <c r="CI170">
        <f t="shared" si="169"/>
        <v>-2081.8358899273285</v>
      </c>
      <c r="CJ170">
        <f t="shared" si="170"/>
        <v>-2637.9130094650332</v>
      </c>
      <c r="CK170">
        <f t="shared" si="171"/>
        <v>-3592.77957353484</v>
      </c>
      <c r="CL170">
        <f t="shared" si="172"/>
        <v>-953.61505747503213</v>
      </c>
      <c r="CM170">
        <f t="shared" si="173"/>
        <v>-950.78735061187399</v>
      </c>
      <c r="CN170">
        <f t="shared" si="174"/>
        <v>-4837.9344586729267</v>
      </c>
      <c r="CO170">
        <f t="shared" si="175"/>
        <v>141002.58139684325</v>
      </c>
      <c r="CP170">
        <f t="shared" si="176"/>
        <v>-2927.2462752471306</v>
      </c>
      <c r="CQ170">
        <f t="shared" si="177"/>
        <v>-2561.8147528623936</v>
      </c>
      <c r="CR170">
        <f t="shared" si="178"/>
        <v>-2123.520115000877</v>
      </c>
      <c r="CS170">
        <f t="shared" si="179"/>
        <v>-4627.3711948810942</v>
      </c>
      <c r="CT170">
        <f t="shared" si="180"/>
        <v>-143.14790564157801</v>
      </c>
      <c r="CU170">
        <f t="shared" si="181"/>
        <v>-226.40888318317772</v>
      </c>
      <c r="CV170">
        <f t="shared" si="182"/>
        <v>-1575.8910236716713</v>
      </c>
      <c r="CW170">
        <f t="shared" si="183"/>
        <v>-952.96068434315373</v>
      </c>
      <c r="CX170">
        <f t="shared" si="184"/>
        <v>-1386.1273362585096</v>
      </c>
      <c r="CY170">
        <f t="shared" si="185"/>
        <v>-472.6669718680551</v>
      </c>
      <c r="CZ170">
        <f t="shared" si="186"/>
        <v>-3813.5692111539552</v>
      </c>
      <c r="DA170">
        <f t="shared" si="187"/>
        <v>-2246.6149056842687</v>
      </c>
      <c r="DB170">
        <f t="shared" si="188"/>
        <v>-572.22318428122662</v>
      </c>
      <c r="DC170">
        <f t="shared" si="156"/>
        <v>-2311.4873119123604</v>
      </c>
      <c r="DD170">
        <f t="shared" si="219"/>
        <v>-1687.9567608289492</v>
      </c>
      <c r="DE170">
        <f t="shared" si="220"/>
        <v>0</v>
      </c>
      <c r="DF170">
        <f t="shared" si="221"/>
        <v>-60.22899489127488</v>
      </c>
      <c r="DG170">
        <f t="shared" si="222"/>
        <v>-29.27639620327356</v>
      </c>
      <c r="DH170">
        <f t="shared" si="223"/>
        <v>-142.34110494563112</v>
      </c>
      <c r="DI170">
        <f t="shared" si="224"/>
        <v>-38.070010058149542</v>
      </c>
      <c r="DJ170">
        <f t="shared" si="225"/>
        <v>-6.6003499963863277</v>
      </c>
      <c r="DK170">
        <f t="shared" si="226"/>
        <v>-9.158381368696352</v>
      </c>
      <c r="DL170">
        <f t="shared" si="227"/>
        <v>-29.728103518351986</v>
      </c>
      <c r="DM170">
        <f t="shared" si="157"/>
        <v>-25.432543258193558</v>
      </c>
      <c r="DN170">
        <f t="shared" si="211"/>
        <v>-49.177966916309941</v>
      </c>
      <c r="DO170">
        <f t="shared" si="212"/>
        <v>-28.901790806955265</v>
      </c>
      <c r="DP170">
        <f t="shared" si="213"/>
        <v>-29.601008448911717</v>
      </c>
      <c r="DQ170">
        <f t="shared" si="214"/>
        <v>-74.978468912050957</v>
      </c>
      <c r="DR170">
        <f t="shared" si="215"/>
        <v>-42.341151579530894</v>
      </c>
      <c r="DS170">
        <f t="shared" si="216"/>
        <v>-94.783654582852179</v>
      </c>
      <c r="DT170">
        <f t="shared" si="217"/>
        <v>-116.59964983339601</v>
      </c>
      <c r="DU170">
        <f t="shared" si="218"/>
        <v>-43.152623247440999</v>
      </c>
      <c r="DV170">
        <f t="shared" si="199"/>
        <v>-54.616294376610348</v>
      </c>
      <c r="DW170">
        <f t="shared" si="200"/>
        <v>-130.74879202008782</v>
      </c>
      <c r="DX170">
        <f t="shared" si="201"/>
        <v>-13.895931573132639</v>
      </c>
      <c r="DY170">
        <f t="shared" si="202"/>
        <v>-83.982391072633007</v>
      </c>
      <c r="DZ170">
        <f t="shared" si="203"/>
        <v>-48.305375857316449</v>
      </c>
      <c r="EA170">
        <f t="shared" si="204"/>
        <v>-32.616516256772044</v>
      </c>
      <c r="EB170">
        <f t="shared" si="205"/>
        <v>-101.43489073566613</v>
      </c>
      <c r="EC170">
        <f t="shared" si="206"/>
        <v>-11.200481712939069</v>
      </c>
      <c r="ED170">
        <f t="shared" si="207"/>
        <v>-13.872082128074853</v>
      </c>
      <c r="EE170">
        <f t="shared" si="208"/>
        <v>-40.595164046899463</v>
      </c>
      <c r="EF170">
        <f t="shared" si="209"/>
        <v>-34.647957221580221</v>
      </c>
      <c r="EG170">
        <f t="shared" si="158"/>
        <v>-65.223437593084796</v>
      </c>
      <c r="EH170">
        <f t="shared" si="228"/>
        <v>-37.693678192574559</v>
      </c>
      <c r="EI170">
        <f t="shared" si="229"/>
        <v>-57.729689836115199</v>
      </c>
      <c r="EJ170">
        <f t="shared" si="230"/>
        <v>-75.41634473822927</v>
      </c>
      <c r="EK170">
        <f t="shared" si="231"/>
        <v>-21.371042290978295</v>
      </c>
      <c r="EL170">
        <f t="shared" si="232"/>
        <v>-31.177359033218146</v>
      </c>
      <c r="EM170">
        <f t="shared" si="159"/>
        <v>-36.02495489780955</v>
      </c>
      <c r="EN170">
        <f t="shared" si="152"/>
        <v>-0.26379311401280781</v>
      </c>
      <c r="EO170">
        <v>19</v>
      </c>
      <c r="EP170">
        <f t="shared" si="153"/>
        <v>78583.628407988333</v>
      </c>
      <c r="EQ170" s="98">
        <f t="shared" si="160"/>
        <v>197885.05929202584</v>
      </c>
      <c r="ES170" s="99">
        <f t="shared" si="161"/>
        <v>0.6028824576795373</v>
      </c>
      <c r="ET170">
        <v>9</v>
      </c>
      <c r="EU170">
        <v>257354.45144336403</v>
      </c>
      <c r="EV170">
        <v>9</v>
      </c>
      <c r="EW170" s="98">
        <v>257354.45144336403</v>
      </c>
    </row>
    <row r="171" spans="1:153" x14ac:dyDescent="0.35">
      <c r="A171" s="39">
        <v>20</v>
      </c>
      <c r="B171" s="87">
        <f t="shared" si="154"/>
        <v>-3.5162144238797863E-2</v>
      </c>
      <c r="C171" s="87">
        <f t="shared" si="234"/>
        <v>-2.282180466813935E-2</v>
      </c>
      <c r="D171" s="87">
        <f t="shared" si="234"/>
        <v>-6.2717007027518007E-2</v>
      </c>
      <c r="E171" s="87">
        <f t="shared" si="234"/>
        <v>-6.8896656726655389E-2</v>
      </c>
      <c r="F171" s="87">
        <f t="shared" si="234"/>
        <v>-8.1781229139758049E-2</v>
      </c>
      <c r="G171" s="87">
        <f t="shared" si="234"/>
        <v>-4.8166293781795405E-2</v>
      </c>
      <c r="H171" s="87">
        <f t="shared" si="234"/>
        <v>-4.5456450520509423E-2</v>
      </c>
      <c r="I171" s="87">
        <f t="shared" si="234"/>
        <v>-4.281122290640367E-2</v>
      </c>
      <c r="J171" s="87">
        <f t="shared" si="234"/>
        <v>-5.6108545957752852E-2</v>
      </c>
      <c r="K171" s="87">
        <f t="shared" si="234"/>
        <v>-5.4318689039044098E-2</v>
      </c>
      <c r="L171" s="87">
        <f t="shared" si="234"/>
        <v>-4.8028146467029985E-2</v>
      </c>
      <c r="M171" s="87">
        <f t="shared" si="234"/>
        <v>-4.8480610189060955E-2</v>
      </c>
      <c r="N171" s="87">
        <f t="shared" si="234"/>
        <v>-4.9860479048536056E-2</v>
      </c>
      <c r="O171" s="87">
        <f t="shared" si="234"/>
        <v>-4.0948610208749778E-2</v>
      </c>
      <c r="P171" s="87">
        <f t="shared" si="234"/>
        <v>-5.0294995382245189E-2</v>
      </c>
      <c r="Q171" s="87">
        <f t="shared" si="234"/>
        <v>-6.0034299149062623E-2</v>
      </c>
      <c r="R171" s="87">
        <f t="shared" si="234"/>
        <v>-1.4324290418830115E-2</v>
      </c>
      <c r="S171" s="87">
        <f t="shared" si="234"/>
        <v>-3.1435449617840831E-2</v>
      </c>
      <c r="T171" s="87">
        <f t="shared" si="234"/>
        <v>-2.9250599804505333E-2</v>
      </c>
      <c r="U171" s="87">
        <f t="shared" si="234"/>
        <v>0.95541524172367953</v>
      </c>
      <c r="V171" s="87">
        <f t="shared" si="234"/>
        <v>-1.4665532214388958E-2</v>
      </c>
      <c r="W171" s="87">
        <f t="shared" si="234"/>
        <v>-4.004184456669993E-2</v>
      </c>
      <c r="X171" s="87">
        <f t="shared" si="234"/>
        <v>-2.0526095808874455E-2</v>
      </c>
      <c r="Y171" s="87">
        <f t="shared" si="234"/>
        <v>-1.5204015742149459E-2</v>
      </c>
      <c r="Z171" s="87">
        <f t="shared" si="234"/>
        <v>-2.1978195492042756E-2</v>
      </c>
      <c r="AA171" s="87">
        <f t="shared" si="234"/>
        <v>-1.3392818973885086E-2</v>
      </c>
      <c r="AB171" s="87">
        <f t="shared" si="234"/>
        <v>-1.1240522796949625E-2</v>
      </c>
      <c r="AC171" s="87">
        <f t="shared" si="234"/>
        <v>-3.8220602300270308E-3</v>
      </c>
      <c r="AD171" s="87">
        <f t="shared" si="234"/>
        <v>-3.2838164848038262E-3</v>
      </c>
      <c r="AE171" s="87">
        <f t="shared" si="234"/>
        <v>-1.1748277552969729E-2</v>
      </c>
      <c r="AF171" s="87">
        <f t="shared" si="234"/>
        <v>-1.1583110705820311E-2</v>
      </c>
      <c r="AG171" s="87">
        <f t="shared" si="234"/>
        <v>-6.3231587926729973E-3</v>
      </c>
      <c r="AH171" s="87">
        <f t="shared" si="234"/>
        <v>-1.9724328891970053E-2</v>
      </c>
      <c r="AI171" s="87">
        <f t="shared" si="234"/>
        <v>-1.4273512403590082E-2</v>
      </c>
      <c r="AJ171" s="87">
        <f t="shared" si="234"/>
        <v>0</v>
      </c>
      <c r="AK171" s="87">
        <f t="shared" si="234"/>
        <v>-5.6018259800866591E-4</v>
      </c>
      <c r="AL171" s="87">
        <f t="shared" si="234"/>
        <v>-5.055178153414193E-4</v>
      </c>
      <c r="AM171" s="87">
        <f t="shared" si="234"/>
        <v>-8.5929393311681788E-4</v>
      </c>
      <c r="AN171" s="87">
        <f t="shared" si="234"/>
        <v>-7.5668335566241897E-4</v>
      </c>
      <c r="AO171" s="87">
        <f t="shared" si="234"/>
        <v>-1.4559927522139902E-3</v>
      </c>
      <c r="AP171" s="87">
        <f t="shared" si="234"/>
        <v>-5.5269464671463351E-4</v>
      </c>
      <c r="AQ171" s="87">
        <f t="shared" si="234"/>
        <v>-5.9192531880649778E-4</v>
      </c>
      <c r="AR171" s="87">
        <f t="shared" si="234"/>
        <v>-7.1601178766994241E-4</v>
      </c>
      <c r="AS171" s="87">
        <f t="shared" si="234"/>
        <v>-7.7473029754677872E-4</v>
      </c>
      <c r="AT171" s="87">
        <f t="shared" si="234"/>
        <v>-9.0809257581268897E-4</v>
      </c>
      <c r="AU171" s="87">
        <f t="shared" si="234"/>
        <v>-8.6179058172766796E-4</v>
      </c>
      <c r="AV171" s="87">
        <f t="shared" si="234"/>
        <v>-7.6352236803649655E-4</v>
      </c>
      <c r="AW171" s="87">
        <f t="shared" si="234"/>
        <v>-7.8908565114912163E-4</v>
      </c>
      <c r="AX171" s="87">
        <f t="shared" si="234"/>
        <v>-6.4178223165202929E-4</v>
      </c>
      <c r="AY171" s="87">
        <f t="shared" si="234"/>
        <v>-5.7310057667761289E-4</v>
      </c>
      <c r="AZ171" s="87">
        <f t="shared" si="234"/>
        <v>-1.0565594734584813E-3</v>
      </c>
      <c r="BA171" s="87">
        <f t="shared" si="234"/>
        <v>-9.1645732787550189E-4</v>
      </c>
      <c r="BB171" s="87">
        <f t="shared" si="234"/>
        <v>-7.6647922730123602E-4</v>
      </c>
      <c r="BC171" s="87">
        <f t="shared" si="234"/>
        <v>-4.8496040548173677E-4</v>
      </c>
      <c r="BD171" s="87">
        <f t="shared" si="234"/>
        <v>-3.89975074551081E-4</v>
      </c>
      <c r="BE171" s="87">
        <f t="shared" si="234"/>
        <v>-2.5016464274996771E-4</v>
      </c>
      <c r="BF171" s="87">
        <f t="shared" si="234"/>
        <v>-3.2648391754670108E-4</v>
      </c>
      <c r="BG171" s="87">
        <f t="shared" si="234"/>
        <v>-6.8232599822796807E-4</v>
      </c>
      <c r="BH171" s="87">
        <f t="shared" si="234"/>
        <v>-5.62765668489477E-4</v>
      </c>
      <c r="BI171" s="87">
        <f t="shared" si="234"/>
        <v>-1.0279404966221149E-3</v>
      </c>
      <c r="BJ171" s="87">
        <f t="shared" si="234"/>
        <v>-1.1095129726466087E-3</v>
      </c>
      <c r="BK171" s="87">
        <f t="shared" si="234"/>
        <v>-2.8282574419300952E-4</v>
      </c>
      <c r="BL171" s="87">
        <f t="shared" si="234"/>
        <v>-2.3965865383570296E-4</v>
      </c>
      <c r="BM171" s="87">
        <f t="shared" si="234"/>
        <v>-2.2726488861774322E-4</v>
      </c>
      <c r="BN171" s="87">
        <f t="shared" si="234"/>
        <v>-2.1159363989473195E-4</v>
      </c>
      <c r="BO171" s="87">
        <f t="shared" si="233"/>
        <v>-2.6075338380195762E-4</v>
      </c>
      <c r="BP171" s="87">
        <f t="shared" si="233"/>
        <v>-3.3399397843226635E-4</v>
      </c>
      <c r="BQ171" s="87">
        <f t="shared" si="233"/>
        <v>-2.8585329978998659E-4</v>
      </c>
      <c r="BR171" s="87">
        <f t="shared" si="233"/>
        <v>-2.6418066723816043E-4</v>
      </c>
      <c r="BS171" s="87">
        <f t="shared" si="233"/>
        <v>-7.8874938956032708E-5</v>
      </c>
      <c r="BU171" s="96">
        <v>508118.26055266836</v>
      </c>
      <c r="BV171" s="98">
        <v>1163012.6175932402</v>
      </c>
      <c r="BW171">
        <f t="shared" si="155"/>
        <v>-8181.2635098735136</v>
      </c>
      <c r="BX171">
        <f t="shared" si="190"/>
        <v>-795.10520741934181</v>
      </c>
      <c r="BY171">
        <f t="shared" si="191"/>
        <v>-23273.908990346285</v>
      </c>
      <c r="BZ171">
        <f t="shared" si="192"/>
        <v>-5248.5319134731935</v>
      </c>
      <c r="CA171">
        <f t="shared" si="193"/>
        <v>-1227.6504183046031</v>
      </c>
      <c r="CB171">
        <f t="shared" si="194"/>
        <v>-2483.0290943172281</v>
      </c>
      <c r="CC171">
        <f t="shared" si="195"/>
        <v>-8080.7309906556811</v>
      </c>
      <c r="CD171">
        <f t="shared" si="196"/>
        <v>-5490.9270893492585</v>
      </c>
      <c r="CE171">
        <f t="shared" si="165"/>
        <v>-15645.733179581213</v>
      </c>
      <c r="CF171">
        <f t="shared" si="166"/>
        <v>-6479.8107471009698</v>
      </c>
      <c r="CG171">
        <f t="shared" si="167"/>
        <v>-4023.3198619364262</v>
      </c>
      <c r="CH171">
        <f t="shared" si="168"/>
        <v>-14548.646789678833</v>
      </c>
      <c r="CI171">
        <f t="shared" si="169"/>
        <v>-11916.869163080853</v>
      </c>
      <c r="CJ171">
        <f t="shared" si="170"/>
        <v>-15294.655692026319</v>
      </c>
      <c r="CK171">
        <f t="shared" si="171"/>
        <v>-16889.319039941827</v>
      </c>
      <c r="CL171">
        <f t="shared" si="172"/>
        <v>-4720.2173695723823</v>
      </c>
      <c r="CM171">
        <f t="shared" si="173"/>
        <v>-3491.9962005177481</v>
      </c>
      <c r="CN171">
        <f t="shared" si="174"/>
        <v>-17253.709540016192</v>
      </c>
      <c r="CO171">
        <f t="shared" si="175"/>
        <v>-4206.4392113278172</v>
      </c>
      <c r="CP171">
        <f t="shared" si="176"/>
        <v>444463.992466214</v>
      </c>
      <c r="CQ171">
        <f t="shared" si="177"/>
        <v>-5020.6042994841318</v>
      </c>
      <c r="CR171">
        <f t="shared" si="178"/>
        <v>-8684.1682287804742</v>
      </c>
      <c r="CS171">
        <f t="shared" si="179"/>
        <v>-4151.555336471275</v>
      </c>
      <c r="CT171">
        <f t="shared" si="180"/>
        <v>-687.74372914907894</v>
      </c>
      <c r="CU171">
        <f t="shared" si="181"/>
        <v>-1023.4664798562997</v>
      </c>
      <c r="CV171">
        <f t="shared" si="182"/>
        <v>-2341.5709791966074</v>
      </c>
      <c r="CW171">
        <f t="shared" si="183"/>
        <v>-3156.3333458960278</v>
      </c>
      <c r="CX171">
        <f t="shared" si="184"/>
        <v>-2044.8922186347386</v>
      </c>
      <c r="CY171">
        <f t="shared" si="185"/>
        <v>-1837.5819834870001</v>
      </c>
      <c r="CZ171">
        <f t="shared" si="186"/>
        <v>-10515.135813063498</v>
      </c>
      <c r="DA171">
        <f t="shared" si="187"/>
        <v>-4594.7705869788206</v>
      </c>
      <c r="DB171">
        <f t="shared" si="188"/>
        <v>-1481.1365764617435</v>
      </c>
      <c r="DC171">
        <f t="shared" si="156"/>
        <v>-9330.7875206646586</v>
      </c>
      <c r="DD171">
        <f t="shared" si="219"/>
        <v>-4107.6666785517818</v>
      </c>
      <c r="DE171">
        <f t="shared" si="220"/>
        <v>0</v>
      </c>
      <c r="DF171">
        <f t="shared" si="221"/>
        <v>-720.56850614864197</v>
      </c>
      <c r="DG171">
        <f t="shared" si="222"/>
        <v>-451.50019809309725</v>
      </c>
      <c r="DH171">
        <f t="shared" si="223"/>
        <v>-1395.1053107436633</v>
      </c>
      <c r="DI171">
        <f t="shared" si="224"/>
        <v>-546.95469909215581</v>
      </c>
      <c r="DJ171">
        <f t="shared" si="225"/>
        <v>-157.13983955424547</v>
      </c>
      <c r="DK171">
        <f t="shared" si="226"/>
        <v>-133.9189178086219</v>
      </c>
      <c r="DL171">
        <f t="shared" si="227"/>
        <v>-390.2640452276479</v>
      </c>
      <c r="DM171">
        <f t="shared" si="157"/>
        <v>-375.57184277435272</v>
      </c>
      <c r="DN171">
        <f t="shared" si="211"/>
        <v>-833.10572500048738</v>
      </c>
      <c r="DO171">
        <f t="shared" si="212"/>
        <v>-464.06140408469912</v>
      </c>
      <c r="DP171">
        <f t="shared" si="213"/>
        <v>-351.23101898051652</v>
      </c>
      <c r="DQ171">
        <f t="shared" si="214"/>
        <v>-1198.4629739414002</v>
      </c>
      <c r="DR171">
        <f t="shared" si="215"/>
        <v>-755.42882195143977</v>
      </c>
      <c r="DS171">
        <f t="shared" si="216"/>
        <v>-1978.6943811030808</v>
      </c>
      <c r="DT171">
        <f t="shared" si="217"/>
        <v>-816.29333567012554</v>
      </c>
      <c r="DU171">
        <f t="shared" si="218"/>
        <v>-302.63245132025281</v>
      </c>
      <c r="DV171">
        <f t="shared" si="199"/>
        <v>-752.50357346116061</v>
      </c>
      <c r="DW171">
        <f t="shared" si="200"/>
        <v>-1762.240519996689</v>
      </c>
      <c r="DX171">
        <f t="shared" si="201"/>
        <v>-142.10044281517298</v>
      </c>
      <c r="DY171">
        <f t="shared" si="202"/>
        <v>-746.83817882013818</v>
      </c>
      <c r="DZ171">
        <f t="shared" si="203"/>
        <v>-356.38425340092311</v>
      </c>
      <c r="EA171">
        <f t="shared" si="204"/>
        <v>-291.81372905994817</v>
      </c>
      <c r="EB171">
        <f t="shared" si="205"/>
        <v>-595.70137461410968</v>
      </c>
      <c r="EC171">
        <f t="shared" si="206"/>
        <v>-97.171611456162495</v>
      </c>
      <c r="ED171">
        <f t="shared" si="207"/>
        <v>-162.6979132681472</v>
      </c>
      <c r="EE171">
        <f t="shared" si="208"/>
        <v>-377.11189438541129</v>
      </c>
      <c r="EF171">
        <f t="shared" si="209"/>
        <v>-301.53689416816991</v>
      </c>
      <c r="EG171">
        <f t="shared" si="158"/>
        <v>-575.34092266971663</v>
      </c>
      <c r="EH171">
        <f t="shared" si="228"/>
        <v>-465.47646504014961</v>
      </c>
      <c r="EI171">
        <f t="shared" si="229"/>
        <v>-551.6856177840591</v>
      </c>
      <c r="EJ171">
        <f t="shared" si="230"/>
        <v>-579.82719273641055</v>
      </c>
      <c r="EK171">
        <f t="shared" si="231"/>
        <v>-191.11350605584605</v>
      </c>
      <c r="EL171">
        <f t="shared" si="232"/>
        <v>-380.64368634977012</v>
      </c>
      <c r="EM171">
        <f t="shared" si="159"/>
        <v>-278.89770528067328</v>
      </c>
      <c r="EN171">
        <f t="shared" si="152"/>
        <v>-1.0856160118032421</v>
      </c>
      <c r="EO171">
        <v>20</v>
      </c>
      <c r="EP171">
        <f t="shared" si="153"/>
        <v>196753.61011214915</v>
      </c>
      <c r="EQ171" s="98">
        <f t="shared" si="160"/>
        <v>508118.26055266836</v>
      </c>
      <c r="ES171" s="99">
        <f t="shared" si="161"/>
        <v>0.61277988730783883</v>
      </c>
      <c r="ET171">
        <v>27</v>
      </c>
      <c r="EU171">
        <v>265013.58388033789</v>
      </c>
      <c r="EV171">
        <v>27</v>
      </c>
      <c r="EW171" s="98">
        <v>265013.58388033789</v>
      </c>
    </row>
    <row r="172" spans="1:153" x14ac:dyDescent="0.35">
      <c r="A172" s="39">
        <v>21</v>
      </c>
      <c r="B172" s="87">
        <f t="shared" si="154"/>
        <v>-2.7666799582746298E-2</v>
      </c>
      <c r="C172" s="87">
        <f t="shared" si="234"/>
        <v>-1.6781184920379812E-2</v>
      </c>
      <c r="D172" s="87">
        <f t="shared" si="234"/>
        <v>-4.613817904113128E-2</v>
      </c>
      <c r="E172" s="87">
        <f t="shared" si="234"/>
        <v>-5.2518910207677419E-2</v>
      </c>
      <c r="F172" s="87">
        <f t="shared" si="234"/>
        <v>-6.5356893847349759E-2</v>
      </c>
      <c r="G172" s="87">
        <f t="shared" si="234"/>
        <v>-3.3520123136158798E-2</v>
      </c>
      <c r="H172" s="87">
        <f t="shared" si="234"/>
        <v>-3.029733299918198E-2</v>
      </c>
      <c r="I172" s="87">
        <f t="shared" si="234"/>
        <v>-2.8539762037106148E-2</v>
      </c>
      <c r="J172" s="87">
        <f t="shared" si="234"/>
        <v>-3.9566363975135389E-2</v>
      </c>
      <c r="K172" s="87">
        <f t="shared" si="234"/>
        <v>-3.8380199278649246E-2</v>
      </c>
      <c r="L172" s="87">
        <f t="shared" si="234"/>
        <v>-3.2614503575533839E-2</v>
      </c>
      <c r="M172" s="87">
        <f t="shared" si="234"/>
        <v>-3.2520670451462189E-2</v>
      </c>
      <c r="N172" s="87">
        <f t="shared" si="234"/>
        <v>-3.3568897534138498E-2</v>
      </c>
      <c r="O172" s="87">
        <f t="shared" si="234"/>
        <v>-2.8482255410580574E-2</v>
      </c>
      <c r="P172" s="87">
        <f t="shared" si="234"/>
        <v>-3.8459726209641068E-2</v>
      </c>
      <c r="Q172" s="87">
        <f t="shared" si="234"/>
        <v>-4.3557907593920919E-2</v>
      </c>
      <c r="R172" s="87">
        <f t="shared" si="234"/>
        <v>-9.9878873199224175E-3</v>
      </c>
      <c r="S172" s="87">
        <f t="shared" si="234"/>
        <v>-2.3194397462139416E-2</v>
      </c>
      <c r="T172" s="87">
        <f t="shared" si="234"/>
        <v>-1.7669041967177307E-2</v>
      </c>
      <c r="U172" s="87">
        <f t="shared" si="234"/>
        <v>-8.8990843903428967E-3</v>
      </c>
      <c r="V172" s="87">
        <f t="shared" si="234"/>
        <v>0.98952835081696222</v>
      </c>
      <c r="W172" s="87">
        <f t="shared" si="234"/>
        <v>-3.5134768278345933E-2</v>
      </c>
      <c r="X172" s="87">
        <f t="shared" si="234"/>
        <v>-1.2495968244004434E-2</v>
      </c>
      <c r="Y172" s="87">
        <f t="shared" si="234"/>
        <v>-7.5770262156965628E-3</v>
      </c>
      <c r="Z172" s="87">
        <f t="shared" si="234"/>
        <v>-1.2685044798145244E-2</v>
      </c>
      <c r="AA172" s="87">
        <f t="shared" si="234"/>
        <v>-6.3343288980471282E-3</v>
      </c>
      <c r="AB172" s="87">
        <f t="shared" si="234"/>
        <v>-8.5943700081941906E-3</v>
      </c>
      <c r="AC172" s="87">
        <f t="shared" si="234"/>
        <v>-2.5216797156741347E-3</v>
      </c>
      <c r="AD172" s="87">
        <f t="shared" si="234"/>
        <v>-1.4832711960119319E-3</v>
      </c>
      <c r="AE172" s="87">
        <f t="shared" si="234"/>
        <v>-5.8211968236057191E-3</v>
      </c>
      <c r="AF172" s="87">
        <f t="shared" si="234"/>
        <v>-9.6586098878510968E-3</v>
      </c>
      <c r="AG172" s="87">
        <f t="shared" si="234"/>
        <v>-5.2127968145645916E-3</v>
      </c>
      <c r="AH172" s="87">
        <f t="shared" si="234"/>
        <v>-1.7125640057378821E-2</v>
      </c>
      <c r="AI172" s="87">
        <f t="shared" si="234"/>
        <v>-1.0558683881208069E-2</v>
      </c>
      <c r="AJ172" s="87">
        <f t="shared" si="234"/>
        <v>0</v>
      </c>
      <c r="AK172" s="87">
        <f t="shared" si="234"/>
        <v>-4.5032377283669128E-5</v>
      </c>
      <c r="AL172" s="87">
        <f t="shared" si="234"/>
        <v>-3.4002053527088541E-5</v>
      </c>
      <c r="AM172" s="87">
        <f t="shared" si="234"/>
        <v>-9.124356198697404E-5</v>
      </c>
      <c r="AN172" s="87">
        <f t="shared" si="234"/>
        <v>-1.6832804993036703E-4</v>
      </c>
      <c r="AO172" s="87">
        <f t="shared" si="234"/>
        <v>-2.2572975338982335E-4</v>
      </c>
      <c r="AP172" s="87">
        <f t="shared" si="234"/>
        <v>-5.5729659046622195E-5</v>
      </c>
      <c r="AQ172" s="87">
        <f t="shared" si="234"/>
        <v>-7.6271731989572121E-5</v>
      </c>
      <c r="AR172" s="87">
        <f t="shared" si="234"/>
        <v>-4.3762726303872234E-5</v>
      </c>
      <c r="AS172" s="87">
        <f t="shared" si="234"/>
        <v>-8.3083006325837861E-5</v>
      </c>
      <c r="AT172" s="87">
        <f t="shared" si="234"/>
        <v>-7.2613046235044037E-5</v>
      </c>
      <c r="AU172" s="87">
        <f t="shared" si="234"/>
        <v>-9.3856304909242322E-5</v>
      </c>
      <c r="AV172" s="87">
        <f t="shared" si="234"/>
        <v>-4.6019652045099203E-5</v>
      </c>
      <c r="AW172" s="87">
        <f t="shared" si="234"/>
        <v>-8.7562119693613486E-5</v>
      </c>
      <c r="AX172" s="87">
        <f t="shared" si="234"/>
        <v>-8.0220469015027365E-5</v>
      </c>
      <c r="AY172" s="87">
        <f t="shared" si="234"/>
        <v>-7.5344074566921406E-5</v>
      </c>
      <c r="AZ172" s="87">
        <f t="shared" si="234"/>
        <v>-2.6063664188667328E-4</v>
      </c>
      <c r="BA172" s="87">
        <f t="shared" si="234"/>
        <v>-7.1969669363751914E-5</v>
      </c>
      <c r="BB172" s="87">
        <f t="shared" si="234"/>
        <v>-8.2747060408280631E-5</v>
      </c>
      <c r="BC172" s="87">
        <f t="shared" si="234"/>
        <v>-5.2807961944834773E-5</v>
      </c>
      <c r="BD172" s="87">
        <f t="shared" si="234"/>
        <v>-6.2769646626080136E-5</v>
      </c>
      <c r="BE172" s="87">
        <f t="shared" si="234"/>
        <v>-3.7370548421692394E-5</v>
      </c>
      <c r="BF172" s="87">
        <f t="shared" si="234"/>
        <v>-5.3273477344811E-5</v>
      </c>
      <c r="BG172" s="87">
        <f t="shared" si="234"/>
        <v>-6.7834217196480407E-5</v>
      </c>
      <c r="BH172" s="87">
        <f t="shared" si="234"/>
        <v>-5.4873994511244171E-5</v>
      </c>
      <c r="BI172" s="87">
        <f t="shared" si="234"/>
        <v>-6.2671345790332291E-5</v>
      </c>
      <c r="BJ172" s="87">
        <f t="shared" si="234"/>
        <v>-1.1585004898207729E-4</v>
      </c>
      <c r="BK172" s="87">
        <f t="shared" si="234"/>
        <v>-4.3251540955611817E-5</v>
      </c>
      <c r="BL172" s="87">
        <f t="shared" si="234"/>
        <v>-4.2507915334056378E-5</v>
      </c>
      <c r="BM172" s="87">
        <f t="shared" si="234"/>
        <v>-2.3380918539262859E-5</v>
      </c>
      <c r="BN172" s="87">
        <f t="shared" si="234"/>
        <v>-5.2094378430778087E-5</v>
      </c>
      <c r="BO172" s="87">
        <f t="shared" si="233"/>
        <v>-3.8121732041257124E-5</v>
      </c>
      <c r="BP172" s="87">
        <f t="shared" si="233"/>
        <v>-7.3023019700862248E-5</v>
      </c>
      <c r="BQ172" s="87">
        <f t="shared" si="233"/>
        <v>-4.2452021490656937E-5</v>
      </c>
      <c r="BR172" s="87">
        <f t="shared" si="233"/>
        <v>-4.9891271058943222E-5</v>
      </c>
      <c r="BS172" s="87">
        <f t="shared" si="233"/>
        <v>-2.5384295192462775E-5</v>
      </c>
      <c r="BU172" s="96">
        <v>435319.86558304401</v>
      </c>
      <c r="BV172" s="98">
        <v>855851.0230126885</v>
      </c>
      <c r="BW172">
        <f t="shared" si="155"/>
        <v>-6437.3030360177081</v>
      </c>
      <c r="BX172">
        <f t="shared" si="190"/>
        <v>-584.65172719177224</v>
      </c>
      <c r="BY172">
        <f t="shared" si="191"/>
        <v>-17121.604344295949</v>
      </c>
      <c r="BZ172">
        <f t="shared" si="192"/>
        <v>-4000.8788435039264</v>
      </c>
      <c r="CA172">
        <f t="shared" si="193"/>
        <v>-981.09821672736291</v>
      </c>
      <c r="CB172">
        <f t="shared" si="194"/>
        <v>-1728.0017717210353</v>
      </c>
      <c r="CC172">
        <f t="shared" si="195"/>
        <v>-5385.9154178842637</v>
      </c>
      <c r="CD172">
        <f t="shared" si="196"/>
        <v>-3660.4829727881288</v>
      </c>
      <c r="CE172">
        <f t="shared" si="165"/>
        <v>-11032.985493997203</v>
      </c>
      <c r="CF172">
        <f t="shared" si="166"/>
        <v>-4578.4688872536317</v>
      </c>
      <c r="CG172">
        <f t="shared" si="167"/>
        <v>-2732.1183446610808</v>
      </c>
      <c r="CH172">
        <f t="shared" si="168"/>
        <v>-9759.1953961962481</v>
      </c>
      <c r="CI172">
        <f t="shared" si="169"/>
        <v>-8023.1110389811101</v>
      </c>
      <c r="CJ172">
        <f t="shared" si="170"/>
        <v>-10638.365688516096</v>
      </c>
      <c r="CK172">
        <f t="shared" si="171"/>
        <v>-12914.974565694931</v>
      </c>
      <c r="CL172">
        <f t="shared" si="172"/>
        <v>-3424.7554301675327</v>
      </c>
      <c r="CM172">
        <f t="shared" si="173"/>
        <v>-2434.8615919235872</v>
      </c>
      <c r="CN172">
        <f t="shared" si="174"/>
        <v>-12730.512896507747</v>
      </c>
      <c r="CO172">
        <f t="shared" si="175"/>
        <v>-2540.9308340365615</v>
      </c>
      <c r="CP172">
        <f t="shared" si="176"/>
        <v>-4139.898972398335</v>
      </c>
      <c r="CQ172">
        <f t="shared" si="177"/>
        <v>338755.54053870228</v>
      </c>
      <c r="CR172">
        <f t="shared" si="178"/>
        <v>-7619.9346386285142</v>
      </c>
      <c r="CS172">
        <f t="shared" si="179"/>
        <v>-2527.402392097521</v>
      </c>
      <c r="CT172">
        <f t="shared" si="180"/>
        <v>-342.74183569786135</v>
      </c>
      <c r="CU172">
        <f t="shared" si="181"/>
        <v>-590.70901207870281</v>
      </c>
      <c r="CV172">
        <f t="shared" si="182"/>
        <v>-1107.4801167159303</v>
      </c>
      <c r="CW172">
        <f t="shared" si="183"/>
        <v>-2413.294927100143</v>
      </c>
      <c r="CX172">
        <f t="shared" si="184"/>
        <v>-1349.1580242404054</v>
      </c>
      <c r="CY172">
        <f t="shared" si="185"/>
        <v>-830.01971609249927</v>
      </c>
      <c r="CZ172">
        <f t="shared" si="186"/>
        <v>-5210.1829326729803</v>
      </c>
      <c r="DA172">
        <f t="shared" si="187"/>
        <v>-3831.3625545770969</v>
      </c>
      <c r="DB172">
        <f t="shared" si="188"/>
        <v>-1221.0454111418937</v>
      </c>
      <c r="DC172">
        <f t="shared" si="156"/>
        <v>-8101.4522423543303</v>
      </c>
      <c r="DD172">
        <f t="shared" si="219"/>
        <v>-3038.6041446456688</v>
      </c>
      <c r="DE172">
        <f t="shared" si="220"/>
        <v>0</v>
      </c>
      <c r="DF172">
        <f t="shared" si="221"/>
        <v>-57.925599515166532</v>
      </c>
      <c r="DG172">
        <f t="shared" si="222"/>
        <v>-30.368729720601639</v>
      </c>
      <c r="DH172">
        <f t="shared" si="223"/>
        <v>-148.1383412512595</v>
      </c>
      <c r="DI172">
        <f t="shared" si="224"/>
        <v>-121.67284665305593</v>
      </c>
      <c r="DJ172">
        <f t="shared" si="225"/>
        <v>-24.362166072845241</v>
      </c>
      <c r="DK172">
        <f t="shared" si="226"/>
        <v>-13.503397714688807</v>
      </c>
      <c r="DL172">
        <f t="shared" si="227"/>
        <v>-50.286942823778837</v>
      </c>
      <c r="DM172">
        <f t="shared" si="157"/>
        <v>-22.954996057064083</v>
      </c>
      <c r="DN172">
        <f t="shared" si="211"/>
        <v>-89.343257181868339</v>
      </c>
      <c r="DO172">
        <f t="shared" si="212"/>
        <v>-37.10735346618705</v>
      </c>
      <c r="DP172">
        <f t="shared" si="213"/>
        <v>-38.252037455471395</v>
      </c>
      <c r="DQ172">
        <f t="shared" si="214"/>
        <v>-72.234752194033575</v>
      </c>
      <c r="DR172">
        <f t="shared" si="215"/>
        <v>-83.82733716091478</v>
      </c>
      <c r="DS172">
        <f t="shared" si="216"/>
        <v>-247.32967580123335</v>
      </c>
      <c r="DT172">
        <f t="shared" si="217"/>
        <v>-107.31600779003969</v>
      </c>
      <c r="DU172">
        <f t="shared" si="218"/>
        <v>-74.65467663628155</v>
      </c>
      <c r="DV172">
        <f t="shared" si="199"/>
        <v>-59.094331759654672</v>
      </c>
      <c r="DW172">
        <f t="shared" si="200"/>
        <v>-190.24680326369329</v>
      </c>
      <c r="DX172">
        <f t="shared" si="201"/>
        <v>-15.473499881033938</v>
      </c>
      <c r="DY172">
        <f t="shared" si="202"/>
        <v>-120.20965346405721</v>
      </c>
      <c r="DZ172">
        <f t="shared" si="203"/>
        <v>-53.238038965239056</v>
      </c>
      <c r="EA172">
        <f t="shared" si="204"/>
        <v>-47.616226247212424</v>
      </c>
      <c r="EB172">
        <f t="shared" si="205"/>
        <v>-59.222331458510027</v>
      </c>
      <c r="EC172">
        <f t="shared" si="206"/>
        <v>-9.4749818126013086</v>
      </c>
      <c r="ED172">
        <f t="shared" si="207"/>
        <v>-9.9193457357696815</v>
      </c>
      <c r="EE172">
        <f t="shared" si="208"/>
        <v>-39.376224085114032</v>
      </c>
      <c r="EF172">
        <f t="shared" si="209"/>
        <v>-46.112970956570152</v>
      </c>
      <c r="EG172">
        <f t="shared" si="158"/>
        <v>-102.04740299437832</v>
      </c>
      <c r="EH172">
        <f t="shared" si="228"/>
        <v>-47.888027830613545</v>
      </c>
      <c r="EI172">
        <f t="shared" si="229"/>
        <v>-135.82506242606541</v>
      </c>
      <c r="EJ172">
        <f t="shared" si="230"/>
        <v>-84.76981793846943</v>
      </c>
      <c r="EK172">
        <f t="shared" si="231"/>
        <v>-41.784242288808514</v>
      </c>
      <c r="EL172">
        <f t="shared" si="232"/>
        <v>-56.529324534910863</v>
      </c>
      <c r="EM172">
        <f t="shared" si="159"/>
        <v>-52.670625588704695</v>
      </c>
      <c r="EN172">
        <f t="shared" si="152"/>
        <v>-0.3493834375534553</v>
      </c>
      <c r="EO172">
        <v>21</v>
      </c>
      <c r="EP172">
        <f t="shared" si="153"/>
        <v>173330.91070803098</v>
      </c>
      <c r="EQ172" s="98">
        <f t="shared" si="160"/>
        <v>435319.86558304401</v>
      </c>
      <c r="ES172" s="99">
        <f t="shared" si="161"/>
        <v>0.60183091925777177</v>
      </c>
      <c r="ET172">
        <v>13</v>
      </c>
      <c r="EU172">
        <v>322847.23289598513</v>
      </c>
      <c r="EV172">
        <v>13</v>
      </c>
      <c r="EW172" s="98">
        <v>322847.23289598513</v>
      </c>
    </row>
    <row r="173" spans="1:153" x14ac:dyDescent="0.35">
      <c r="A173" s="39">
        <v>22</v>
      </c>
      <c r="B173" s="87">
        <f t="shared" si="154"/>
        <v>-6.2896192739387777E-4</v>
      </c>
      <c r="C173" s="87">
        <f t="shared" si="234"/>
        <v>-1.7529610667984692E-3</v>
      </c>
      <c r="D173" s="87">
        <f t="shared" si="234"/>
        <v>-2.2653870287707425E-3</v>
      </c>
      <c r="E173" s="87">
        <f t="shared" si="234"/>
        <v>-3.5162195485584032E-3</v>
      </c>
      <c r="F173" s="87">
        <f t="shared" si="234"/>
        <v>-5.2567043457634769E-3</v>
      </c>
      <c r="G173" s="87">
        <f t="shared" si="234"/>
        <v>-2.1505452210445609E-3</v>
      </c>
      <c r="H173" s="87">
        <f t="shared" si="234"/>
        <v>-2.1321453981385991E-3</v>
      </c>
      <c r="I173" s="87">
        <f t="shared" si="234"/>
        <v>-1.4486501454589039E-3</v>
      </c>
      <c r="J173" s="87">
        <f t="shared" si="234"/>
        <v>-2.4555193208538337E-3</v>
      </c>
      <c r="K173" s="87">
        <f t="shared" si="234"/>
        <v>-2.351446407415136E-3</v>
      </c>
      <c r="L173" s="87">
        <f t="shared" si="234"/>
        <v>-2.4574520332337688E-3</v>
      </c>
      <c r="M173" s="87">
        <f t="shared" si="234"/>
        <v>-2.2783839697682888E-3</v>
      </c>
      <c r="N173" s="87">
        <f t="shared" si="234"/>
        <v>-3.2376003540606759E-3</v>
      </c>
      <c r="O173" s="87">
        <f t="shared" si="234"/>
        <v>-2.1934446560680607E-3</v>
      </c>
      <c r="P173" s="87">
        <f t="shared" si="234"/>
        <v>-1.4236257734527532E-3</v>
      </c>
      <c r="Q173" s="87">
        <f t="shared" si="234"/>
        <v>-2.756102320121944E-3</v>
      </c>
      <c r="R173" s="87">
        <f t="shared" si="234"/>
        <v>-1.3353103075550527E-3</v>
      </c>
      <c r="S173" s="87">
        <f t="shared" si="234"/>
        <v>-2.4033072688794338E-3</v>
      </c>
      <c r="T173" s="87">
        <f t="shared" si="234"/>
        <v>-4.0808928084073784E-3</v>
      </c>
      <c r="U173" s="87">
        <f t="shared" si="234"/>
        <v>-6.9061950094622872E-3</v>
      </c>
      <c r="V173" s="87">
        <f t="shared" si="234"/>
        <v>-6.2322779797746057E-3</v>
      </c>
      <c r="W173" s="87">
        <f t="shared" si="234"/>
        <v>0.99278804767443329</v>
      </c>
      <c r="X173" s="87">
        <f t="shared" si="234"/>
        <v>-5.0733920906523358E-3</v>
      </c>
      <c r="Y173" s="87">
        <f t="shared" si="234"/>
        <v>-2.743000660707966E-3</v>
      </c>
      <c r="Z173" s="87">
        <f t="shared" si="234"/>
        <v>-1.1018015644662722E-2</v>
      </c>
      <c r="AA173" s="87">
        <f t="shared" si="234"/>
        <v>-1.6656865193665146E-2</v>
      </c>
      <c r="AB173" s="87">
        <f t="shared" si="234"/>
        <v>-2.3622209437778063E-3</v>
      </c>
      <c r="AC173" s="87">
        <f t="shared" si="234"/>
        <v>-2.5143336401815017E-3</v>
      </c>
      <c r="AD173" s="87">
        <f t="shared" si="234"/>
        <v>-1.0262882194795313E-3</v>
      </c>
      <c r="AE173" s="87">
        <f t="shared" si="234"/>
        <v>-5.6075209234815694E-3</v>
      </c>
      <c r="AF173" s="87">
        <f t="shared" si="234"/>
        <v>-3.8246104452373361E-3</v>
      </c>
      <c r="AG173" s="87">
        <f t="shared" si="234"/>
        <v>-2.7519431922357379E-3</v>
      </c>
      <c r="AH173" s="87">
        <f t="shared" si="234"/>
        <v>-4.4829219529439555E-3</v>
      </c>
      <c r="AI173" s="87">
        <f t="shared" si="234"/>
        <v>-6.4108617028029481E-3</v>
      </c>
      <c r="AJ173" s="87">
        <f t="shared" si="234"/>
        <v>0</v>
      </c>
      <c r="AK173" s="87">
        <f t="shared" si="234"/>
        <v>-1.1842863124032658E-5</v>
      </c>
      <c r="AL173" s="87">
        <f t="shared" si="234"/>
        <v>-2.9957789475549704E-5</v>
      </c>
      <c r="AM173" s="87">
        <f t="shared" si="234"/>
        <v>-2.7743250289118778E-5</v>
      </c>
      <c r="AN173" s="87">
        <f t="shared" si="234"/>
        <v>-2.0502886049466472E-5</v>
      </c>
      <c r="AO173" s="87">
        <f t="shared" si="234"/>
        <v>-2.3667840949075169E-5</v>
      </c>
      <c r="AP173" s="87">
        <f t="shared" si="234"/>
        <v>-2.0198824580509026E-5</v>
      </c>
      <c r="AQ173" s="87">
        <f t="shared" si="234"/>
        <v>-2.8679414579394118E-5</v>
      </c>
      <c r="AR173" s="87">
        <f t="shared" si="234"/>
        <v>-2.2056397697920623E-5</v>
      </c>
      <c r="AS173" s="87">
        <f t="shared" si="234"/>
        <v>-2.7185057532947073E-5</v>
      </c>
      <c r="AT173" s="87">
        <f t="shared" si="234"/>
        <v>-2.7144027114708658E-5</v>
      </c>
      <c r="AU173" s="87">
        <f t="shared" si="234"/>
        <v>-5.4852717939827735E-5</v>
      </c>
      <c r="AV173" s="87">
        <f t="shared" si="234"/>
        <v>-2.7030459433840805E-5</v>
      </c>
      <c r="AW173" s="87">
        <f t="shared" si="234"/>
        <v>-2.9008267895933922E-5</v>
      </c>
      <c r="AX173" s="87">
        <f t="shared" si="234"/>
        <v>-1.599408468002526E-5</v>
      </c>
      <c r="AY173" s="87">
        <f t="shared" si="234"/>
        <v>-1.8150642202850371E-5</v>
      </c>
      <c r="AZ173" s="87">
        <f t="shared" si="234"/>
        <v>-1.920619855248754E-5</v>
      </c>
      <c r="BA173" s="87">
        <f t="shared" si="234"/>
        <v>-1.2407131059029211E-5</v>
      </c>
      <c r="BB173" s="87">
        <f t="shared" si="234"/>
        <v>-2.7175300205863623E-5</v>
      </c>
      <c r="BC173" s="87">
        <f t="shared" si="234"/>
        <v>-3.0506788364679439E-5</v>
      </c>
      <c r="BD173" s="87">
        <f t="shared" si="234"/>
        <v>-4.2319887640380095E-5</v>
      </c>
      <c r="BE173" s="87">
        <f t="shared" si="234"/>
        <v>-3.53074644012913E-5</v>
      </c>
      <c r="BF173" s="87">
        <f t="shared" si="234"/>
        <v>-3.0979342299328567E-5</v>
      </c>
      <c r="BG173" s="87">
        <f t="shared" si="234"/>
        <v>-1.3306928219855994E-4</v>
      </c>
      <c r="BH173" s="87">
        <f t="shared" si="234"/>
        <v>-3.5260298371675414E-5</v>
      </c>
      <c r="BI173" s="87">
        <f t="shared" si="234"/>
        <v>-1.6073020168017681E-4</v>
      </c>
      <c r="BJ173" s="87">
        <f t="shared" si="234"/>
        <v>-1.8841762467275612E-4</v>
      </c>
      <c r="BK173" s="87">
        <f t="shared" si="234"/>
        <v>-5.8832509009649183E-5</v>
      </c>
      <c r="BL173" s="87">
        <f t="shared" si="234"/>
        <v>-6.4892106626773398E-5</v>
      </c>
      <c r="BM173" s="87">
        <f t="shared" si="234"/>
        <v>-1.0970715138781916E-5</v>
      </c>
      <c r="BN173" s="87">
        <f t="shared" ref="BN173:BS176" si="235">BN100-BN23</f>
        <v>-7.3922265589971146E-5</v>
      </c>
      <c r="BO173" s="87">
        <f t="shared" si="235"/>
        <v>-1.1127275814603036E-4</v>
      </c>
      <c r="BP173" s="87">
        <f t="shared" si="235"/>
        <v>-1.4785638961903308E-4</v>
      </c>
      <c r="BQ173" s="87">
        <f t="shared" si="235"/>
        <v>-1.205157431132438E-4</v>
      </c>
      <c r="BR173" s="87">
        <f t="shared" si="235"/>
        <v>-1.5650267692952718E-4</v>
      </c>
      <c r="BS173" s="87">
        <f t="shared" si="235"/>
        <v>-3.1097412676836487E-6</v>
      </c>
      <c r="BU173" s="96">
        <v>454877.1210908154</v>
      </c>
      <c r="BV173" s="98">
        <v>542193.31818710116</v>
      </c>
      <c r="BW173">
        <f t="shared" si="155"/>
        <v>-146.34213518780473</v>
      </c>
      <c r="BX173">
        <f t="shared" si="190"/>
        <v>-61.072666815023723</v>
      </c>
      <c r="BY173">
        <f t="shared" si="191"/>
        <v>-840.67167797703792</v>
      </c>
      <c r="BZ173">
        <f t="shared" si="192"/>
        <v>-267.86481945860584</v>
      </c>
      <c r="CA173">
        <f t="shared" si="193"/>
        <v>-78.910470738362022</v>
      </c>
      <c r="CB173">
        <f t="shared" si="194"/>
        <v>-110.86313546749861</v>
      </c>
      <c r="CC173">
        <f t="shared" si="195"/>
        <v>-379.02856905971612</v>
      </c>
      <c r="CD173">
        <f t="shared" si="196"/>
        <v>-185.80250192993719</v>
      </c>
      <c r="CE173">
        <f t="shared" si="165"/>
        <v>-684.71566061100282</v>
      </c>
      <c r="CF173">
        <f t="shared" si="166"/>
        <v>-280.50985713311877</v>
      </c>
      <c r="CG173">
        <f t="shared" si="167"/>
        <v>-205.86086081528697</v>
      </c>
      <c r="CH173">
        <f t="shared" si="168"/>
        <v>-683.72496753154371</v>
      </c>
      <c r="CI173">
        <f t="shared" si="169"/>
        <v>-773.80042386131311</v>
      </c>
      <c r="CJ173">
        <f t="shared" si="170"/>
        <v>-819.27031523300991</v>
      </c>
      <c r="CK173">
        <f t="shared" si="171"/>
        <v>-478.06088257074134</v>
      </c>
      <c r="CL173">
        <f t="shared" si="172"/>
        <v>-216.69949059381119</v>
      </c>
      <c r="CM173">
        <f t="shared" si="173"/>
        <v>-325.52387477181964</v>
      </c>
      <c r="CN173">
        <f t="shared" si="174"/>
        <v>-1319.0829479697284</v>
      </c>
      <c r="CO173">
        <f t="shared" si="175"/>
        <v>-586.86070170316611</v>
      </c>
      <c r="CP173">
        <f t="shared" si="176"/>
        <v>-3212.7967742256428</v>
      </c>
      <c r="CQ173">
        <f t="shared" si="177"/>
        <v>-2133.560593875819</v>
      </c>
      <c r="CR173">
        <f t="shared" si="178"/>
        <v>215313.21833003798</v>
      </c>
      <c r="CS173">
        <f t="shared" si="179"/>
        <v>-1026.131233337248</v>
      </c>
      <c r="CT173">
        <f t="shared" si="180"/>
        <v>-124.07784465941258</v>
      </c>
      <c r="CU173">
        <f t="shared" si="181"/>
        <v>-513.07987004334791</v>
      </c>
      <c r="CV173">
        <f t="shared" si="182"/>
        <v>-2912.2496330256931</v>
      </c>
      <c r="CW173">
        <f t="shared" si="183"/>
        <v>-663.31049452995387</v>
      </c>
      <c r="CX173">
        <f t="shared" si="184"/>
        <v>-1345.2277008785775</v>
      </c>
      <c r="CY173">
        <f t="shared" si="185"/>
        <v>-574.2978484661578</v>
      </c>
      <c r="CZ173">
        <f t="shared" si="186"/>
        <v>-5018.9352285177383</v>
      </c>
      <c r="DA173">
        <f t="shared" si="187"/>
        <v>-1517.1406046907809</v>
      </c>
      <c r="DB173">
        <f t="shared" si="188"/>
        <v>-644.61511279589229</v>
      </c>
      <c r="DC173">
        <f t="shared" si="156"/>
        <v>-2120.6902624541071</v>
      </c>
      <c r="DD173">
        <f t="shared" si="219"/>
        <v>-1844.9336262028919</v>
      </c>
      <c r="DE173">
        <f t="shared" si="220"/>
        <v>0</v>
      </c>
      <c r="DF173">
        <f t="shared" si="221"/>
        <v>-15.233593867682121</v>
      </c>
      <c r="DG173">
        <f t="shared" si="222"/>
        <v>-26.756619593132971</v>
      </c>
      <c r="DH173">
        <f t="shared" si="223"/>
        <v>-45.042510279632694</v>
      </c>
      <c r="DI173">
        <f t="shared" si="224"/>
        <v>-14.820135510830095</v>
      </c>
      <c r="DJ173">
        <f t="shared" si="225"/>
        <v>-2.5543813481747746</v>
      </c>
      <c r="DK173">
        <f t="shared" si="226"/>
        <v>-4.8942119213696742</v>
      </c>
      <c r="DL173">
        <f t="shared" si="227"/>
        <v>-18.908710259400152</v>
      </c>
      <c r="DM173">
        <f t="shared" si="157"/>
        <v>-11.569309431803067</v>
      </c>
      <c r="DN173">
        <f t="shared" si="211"/>
        <v>-29.233434056834895</v>
      </c>
      <c r="DO173">
        <f t="shared" si="212"/>
        <v>-13.871377952949045</v>
      </c>
      <c r="DP173">
        <f t="shared" si="213"/>
        <v>-22.355751413798512</v>
      </c>
      <c r="DQ173">
        <f t="shared" si="214"/>
        <v>-42.428363799467284</v>
      </c>
      <c r="DR173">
        <f t="shared" si="215"/>
        <v>-27.770979755575205</v>
      </c>
      <c r="DS173">
        <f t="shared" si="216"/>
        <v>-49.311750818947402</v>
      </c>
      <c r="DT173">
        <f t="shared" si="217"/>
        <v>-25.852788971549565</v>
      </c>
      <c r="DU173">
        <f t="shared" si="218"/>
        <v>-5.5012700131841665</v>
      </c>
      <c r="DV173">
        <f t="shared" si="199"/>
        <v>-10.187501560998767</v>
      </c>
      <c r="DW173">
        <f t="shared" si="200"/>
        <v>-62.479729991464069</v>
      </c>
      <c r="DX173">
        <f t="shared" si="201"/>
        <v>-8.9389320993813968</v>
      </c>
      <c r="DY173">
        <f t="shared" si="202"/>
        <v>-81.046481879893605</v>
      </c>
      <c r="DZ173">
        <f t="shared" si="203"/>
        <v>-50.298971916308084</v>
      </c>
      <c r="EA173">
        <f t="shared" si="204"/>
        <v>-27.68956421535994</v>
      </c>
      <c r="EB173">
        <f t="shared" si="205"/>
        <v>-116.17548580951289</v>
      </c>
      <c r="EC173">
        <f t="shared" si="206"/>
        <v>-6.0883245106215469</v>
      </c>
      <c r="ED173">
        <f t="shared" si="207"/>
        <v>-25.43967136080882</v>
      </c>
      <c r="EE173">
        <f t="shared" si="208"/>
        <v>-64.041186653681493</v>
      </c>
      <c r="EF173">
        <f t="shared" si="209"/>
        <v>-62.724742733405542</v>
      </c>
      <c r="EG173">
        <f t="shared" si="158"/>
        <v>-155.78442047923861</v>
      </c>
      <c r="EH173">
        <f t="shared" si="228"/>
        <v>-22.469857674987868</v>
      </c>
      <c r="EI173">
        <f t="shared" si="229"/>
        <v>-192.73665683094038</v>
      </c>
      <c r="EJ173">
        <f t="shared" si="230"/>
        <v>-247.43291934747256</v>
      </c>
      <c r="EK173">
        <f t="shared" si="231"/>
        <v>-84.604378634278802</v>
      </c>
      <c r="EL173">
        <f t="shared" si="232"/>
        <v>-160.47936740807211</v>
      </c>
      <c r="EM173">
        <f t="shared" si="159"/>
        <v>-165.22116444871628</v>
      </c>
      <c r="EN173">
        <f t="shared" si="152"/>
        <v>-4.2801743588601164E-2</v>
      </c>
      <c r="EO173">
        <v>22</v>
      </c>
      <c r="EP173">
        <f t="shared" si="153"/>
        <v>181317.51819461311</v>
      </c>
      <c r="EQ173" s="98">
        <f t="shared" si="160"/>
        <v>454877.1210908154</v>
      </c>
      <c r="ES173" s="99">
        <f t="shared" si="161"/>
        <v>0.60139231060949894</v>
      </c>
      <c r="ET173">
        <v>14</v>
      </c>
      <c r="EU173">
        <v>347777.86318354134</v>
      </c>
      <c r="EV173">
        <v>14</v>
      </c>
      <c r="EW173" s="98">
        <v>347777.86318354134</v>
      </c>
    </row>
    <row r="174" spans="1:153" x14ac:dyDescent="0.35">
      <c r="A174" s="39">
        <v>23</v>
      </c>
      <c r="B174" s="87">
        <f t="shared" si="154"/>
        <v>-8.2244388519471957E-3</v>
      </c>
      <c r="C174" s="87">
        <f t="shared" ref="C174:BN177" si="236">C101-C24</f>
        <v>-3.2844825701879521E-2</v>
      </c>
      <c r="D174" s="87">
        <f t="shared" si="236"/>
        <v>-2.033856680691051E-2</v>
      </c>
      <c r="E174" s="87">
        <f t="shared" si="236"/>
        <v>-1.9471241753695797E-2</v>
      </c>
      <c r="F174" s="87">
        <f t="shared" si="236"/>
        <v>-2.8980376877362362E-2</v>
      </c>
      <c r="G174" s="87">
        <f t="shared" si="236"/>
        <v>-2.2359939704292699E-2</v>
      </c>
      <c r="H174" s="87">
        <f t="shared" si="236"/>
        <v>-1.9734016821532665E-2</v>
      </c>
      <c r="I174" s="87">
        <f t="shared" si="236"/>
        <v>-1.5306115318990657E-2</v>
      </c>
      <c r="J174" s="87">
        <f t="shared" si="236"/>
        <v>-1.5349630476722019E-2</v>
      </c>
      <c r="K174" s="87">
        <f t="shared" si="236"/>
        <v>-1.6275905852481516E-2</v>
      </c>
      <c r="L174" s="87">
        <f t="shared" si="236"/>
        <v>-3.4438431729088122E-2</v>
      </c>
      <c r="M174" s="87">
        <f t="shared" si="236"/>
        <v>-1.5273398534124103E-2</v>
      </c>
      <c r="N174" s="87">
        <f t="shared" si="236"/>
        <v>-1.2438177514996575E-2</v>
      </c>
      <c r="O174" s="87">
        <f t="shared" si="236"/>
        <v>-8.4810617674002907E-3</v>
      </c>
      <c r="P174" s="87">
        <f t="shared" si="236"/>
        <v>-1.1449794024264198E-2</v>
      </c>
      <c r="Q174" s="87">
        <f t="shared" si="236"/>
        <v>-2.036580876857701E-2</v>
      </c>
      <c r="R174" s="87">
        <f t="shared" si="236"/>
        <v>-7.7049333977160413E-3</v>
      </c>
      <c r="S174" s="87">
        <f t="shared" si="236"/>
        <v>-8.395169828046032E-3</v>
      </c>
      <c r="T174" s="87">
        <f t="shared" si="236"/>
        <v>-2.0513874000216578E-2</v>
      </c>
      <c r="U174" s="87">
        <f t="shared" si="236"/>
        <v>-3.8945499318191648E-2</v>
      </c>
      <c r="V174" s="87">
        <f t="shared" si="236"/>
        <v>-1.6757386442714118E-2</v>
      </c>
      <c r="W174" s="87">
        <f t="shared" si="236"/>
        <v>-7.9997266420390213E-3</v>
      </c>
      <c r="X174" s="87">
        <f t="shared" si="236"/>
        <v>0.94269823570387457</v>
      </c>
      <c r="Y174" s="87">
        <f t="shared" si="236"/>
        <v>-1.1077616850149857E-2</v>
      </c>
      <c r="Z174" s="87">
        <f t="shared" si="236"/>
        <v>-1.1021334928055333E-2</v>
      </c>
      <c r="AA174" s="87">
        <f t="shared" si="236"/>
        <v>-8.105009312489489E-2</v>
      </c>
      <c r="AB174" s="87">
        <f t="shared" si="236"/>
        <v>-5.9865806945258128E-3</v>
      </c>
      <c r="AC174" s="87">
        <f t="shared" si="236"/>
        <v>-2.3479289214883379E-3</v>
      </c>
      <c r="AD174" s="87">
        <f t="shared" si="236"/>
        <v>-7.1283549725998166E-4</v>
      </c>
      <c r="AE174" s="87">
        <f t="shared" si="236"/>
        <v>-4.7530083039734857E-3</v>
      </c>
      <c r="AF174" s="87">
        <f t="shared" si="236"/>
        <v>-6.8895428811154976E-3</v>
      </c>
      <c r="AG174" s="87">
        <f t="shared" si="236"/>
        <v>-9.7283738483298285E-3</v>
      </c>
      <c r="AH174" s="87">
        <f t="shared" si="236"/>
        <v>-6.073879774690664E-3</v>
      </c>
      <c r="AI174" s="87">
        <f t="shared" si="236"/>
        <v>-6.8231328723486941E-3</v>
      </c>
      <c r="AJ174" s="87">
        <f t="shared" si="236"/>
        <v>0</v>
      </c>
      <c r="AK174" s="87">
        <f t="shared" si="236"/>
        <v>-3.7676717256958549E-4</v>
      </c>
      <c r="AL174" s="87">
        <f t="shared" si="236"/>
        <v>-5.9611413569156792E-4</v>
      </c>
      <c r="AM174" s="87">
        <f t="shared" si="236"/>
        <v>-6.3650703630559549E-4</v>
      </c>
      <c r="AN174" s="87">
        <f t="shared" si="236"/>
        <v>-4.7490442767796515E-4</v>
      </c>
      <c r="AO174" s="87">
        <f t="shared" si="236"/>
        <v>-5.0270469007542083E-4</v>
      </c>
      <c r="AP174" s="87">
        <f t="shared" si="236"/>
        <v>-6.278082093969401E-4</v>
      </c>
      <c r="AQ174" s="87">
        <f t="shared" si="236"/>
        <v>-4.0415593383463701E-4</v>
      </c>
      <c r="AR174" s="87">
        <f t="shared" si="236"/>
        <v>-5.2332680392896762E-4</v>
      </c>
      <c r="AS174" s="87">
        <f t="shared" si="236"/>
        <v>-4.1514913698144178E-4</v>
      </c>
      <c r="AT174" s="87">
        <f t="shared" si="236"/>
        <v>-4.0466400981118393E-4</v>
      </c>
      <c r="AU174" s="87">
        <f t="shared" si="236"/>
        <v>-8.6090330983621191E-4</v>
      </c>
      <c r="AV174" s="87">
        <f t="shared" si="236"/>
        <v>-4.2751307827927393E-4</v>
      </c>
      <c r="AW174" s="87">
        <f t="shared" si="236"/>
        <v>-3.8276502262146592E-4</v>
      </c>
      <c r="AX174" s="87">
        <f t="shared" si="236"/>
        <v>-1.8611547734395081E-4</v>
      </c>
      <c r="AY174" s="87">
        <f t="shared" si="236"/>
        <v>-3.0088831714368146E-4</v>
      </c>
      <c r="AZ174" s="87">
        <f t="shared" si="236"/>
        <v>-4.0402654581269347E-4</v>
      </c>
      <c r="BA174" s="87">
        <f t="shared" si="236"/>
        <v>-3.8958663709350304E-4</v>
      </c>
      <c r="BB174" s="87">
        <f t="shared" si="236"/>
        <v>-6.2521815245856951E-4</v>
      </c>
      <c r="BC174" s="87">
        <f t="shared" si="236"/>
        <v>-1.2514457436468348E-3</v>
      </c>
      <c r="BD174" s="87">
        <f t="shared" si="236"/>
        <v>-7.8005155268027766E-4</v>
      </c>
      <c r="BE174" s="87">
        <f t="shared" si="236"/>
        <v>-5.5744893015141031E-4</v>
      </c>
      <c r="BF174" s="87">
        <f t="shared" si="236"/>
        <v>-1.4880486514946091E-4</v>
      </c>
      <c r="BG174" s="87">
        <f t="shared" si="236"/>
        <v>-7.0842164574300018E-4</v>
      </c>
      <c r="BH174" s="87">
        <f t="shared" si="236"/>
        <v>-3.0442992776511511E-4</v>
      </c>
      <c r="BI174" s="87">
        <f t="shared" si="236"/>
        <v>-3.2104146349880996E-4</v>
      </c>
      <c r="BJ174" s="87">
        <f t="shared" si="236"/>
        <v>-1.1279361901838406E-3</v>
      </c>
      <c r="BK174" s="87">
        <f t="shared" si="236"/>
        <v>-2.0540507081527617E-4</v>
      </c>
      <c r="BL174" s="87">
        <f t="shared" si="236"/>
        <v>-1.4855921242287165E-4</v>
      </c>
      <c r="BM174" s="87">
        <f t="shared" si="236"/>
        <v>-8.2386390259431616E-5</v>
      </c>
      <c r="BN174" s="87">
        <f t="shared" si="236"/>
        <v>-1.1817257855981221E-4</v>
      </c>
      <c r="BO174" s="87">
        <f t="shared" si="235"/>
        <v>-2.3323439212105511E-4</v>
      </c>
      <c r="BP174" s="87">
        <f t="shared" si="235"/>
        <v>-1.884751211476838E-4</v>
      </c>
      <c r="BQ174" s="87">
        <f t="shared" si="235"/>
        <v>-1.085645482241063E-4</v>
      </c>
      <c r="BR174" s="87">
        <f t="shared" si="235"/>
        <v>-2.1051784863637256E-4</v>
      </c>
      <c r="BS174" s="87">
        <f t="shared" si="235"/>
        <v>-1.3061238781738938E-5</v>
      </c>
      <c r="BU174" s="96">
        <v>173156.50891122359</v>
      </c>
      <c r="BV174" s="98">
        <v>505643.56893875916</v>
      </c>
      <c r="BW174">
        <f t="shared" si="155"/>
        <v>-1913.6006328754545</v>
      </c>
      <c r="BX174">
        <f t="shared" si="190"/>
        <v>-1144.3044199218534</v>
      </c>
      <c r="BY174">
        <f t="shared" si="191"/>
        <v>-7547.5214027738966</v>
      </c>
      <c r="BZ174">
        <f t="shared" si="192"/>
        <v>-1483.3148456634153</v>
      </c>
      <c r="CA174">
        <f t="shared" si="193"/>
        <v>-435.03591435779447</v>
      </c>
      <c r="CB174">
        <f t="shared" si="194"/>
        <v>-1152.6811899719348</v>
      </c>
      <c r="CC174">
        <f t="shared" si="195"/>
        <v>-3508.0891594897112</v>
      </c>
      <c r="CD174">
        <f t="shared" si="196"/>
        <v>-1963.147920849935</v>
      </c>
      <c r="CE174">
        <f t="shared" si="165"/>
        <v>-4280.2075645443965</v>
      </c>
      <c r="CF174">
        <f t="shared" si="166"/>
        <v>-1941.5930599117653</v>
      </c>
      <c r="CG174">
        <f t="shared" si="167"/>
        <v>-2884.9088832669686</v>
      </c>
      <c r="CH174">
        <f t="shared" si="168"/>
        <v>-4583.4258208472038</v>
      </c>
      <c r="CI174">
        <f t="shared" si="169"/>
        <v>-2972.7779777065803</v>
      </c>
      <c r="CJ174">
        <f t="shared" si="170"/>
        <v>-3167.7490145313541</v>
      </c>
      <c r="CK174">
        <f t="shared" si="171"/>
        <v>-3844.8999298582885</v>
      </c>
      <c r="CL174">
        <f t="shared" si="172"/>
        <v>-1601.2687023485928</v>
      </c>
      <c r="CM174">
        <f t="shared" si="173"/>
        <v>-1878.3197885109719</v>
      </c>
      <c r="CN174">
        <f t="shared" si="174"/>
        <v>-4607.7859077290623</v>
      </c>
      <c r="CO174">
        <f t="shared" si="175"/>
        <v>-2950.0374196585994</v>
      </c>
      <c r="CP174">
        <f t="shared" si="176"/>
        <v>-18117.642842210331</v>
      </c>
      <c r="CQ174">
        <f t="shared" si="177"/>
        <v>-5736.7305320063342</v>
      </c>
      <c r="CR174">
        <f t="shared" si="178"/>
        <v>-1734.9593330547575</v>
      </c>
      <c r="CS174">
        <f t="shared" si="179"/>
        <v>190667.72013343152</v>
      </c>
      <c r="CT174">
        <f t="shared" si="180"/>
        <v>-501.08876837624649</v>
      </c>
      <c r="CU174">
        <f t="shared" si="181"/>
        <v>-513.2344402987045</v>
      </c>
      <c r="CV174">
        <f t="shared" si="182"/>
        <v>-14170.619814431962</v>
      </c>
      <c r="CW174">
        <f t="shared" si="183"/>
        <v>-1681.0289534893336</v>
      </c>
      <c r="CX174">
        <f t="shared" si="184"/>
        <v>-1256.1972581538832</v>
      </c>
      <c r="CY174">
        <f t="shared" si="185"/>
        <v>-398.89368757864423</v>
      </c>
      <c r="CZ174">
        <f t="shared" si="186"/>
        <v>-4254.1153468293933</v>
      </c>
      <c r="DA174">
        <f t="shared" si="187"/>
        <v>-2732.9333019300498</v>
      </c>
      <c r="DB174">
        <f t="shared" si="188"/>
        <v>-2278.7740761708819</v>
      </c>
      <c r="DC174">
        <f t="shared" si="156"/>
        <v>-2873.3084868998321</v>
      </c>
      <c r="DD174">
        <f t="shared" si="219"/>
        <v>-1963.5780423624835</v>
      </c>
      <c r="DE174">
        <f t="shared" si="220"/>
        <v>0</v>
      </c>
      <c r="DF174">
        <f t="shared" si="221"/>
        <v>-484.63940091925878</v>
      </c>
      <c r="DG174">
        <f t="shared" si="222"/>
        <v>-532.41575703728927</v>
      </c>
      <c r="DH174">
        <f t="shared" si="223"/>
        <v>-1033.3999955693</v>
      </c>
      <c r="DI174">
        <f t="shared" si="224"/>
        <v>-343.2759639740475</v>
      </c>
      <c r="DJ174">
        <f t="shared" si="225"/>
        <v>-54.255032672036464</v>
      </c>
      <c r="DK174">
        <f t="shared" si="226"/>
        <v>-152.11907061805974</v>
      </c>
      <c r="DL174">
        <f t="shared" si="227"/>
        <v>-266.46525267594552</v>
      </c>
      <c r="DM174">
        <f t="shared" si="157"/>
        <v>-274.50220165288158</v>
      </c>
      <c r="DN174">
        <f t="shared" si="211"/>
        <v>-446.43035627165114</v>
      </c>
      <c r="DO174">
        <f t="shared" si="212"/>
        <v>-206.79493872908552</v>
      </c>
      <c r="DP174">
        <f t="shared" si="213"/>
        <v>-350.86940280930691</v>
      </c>
      <c r="DQ174">
        <f t="shared" si="214"/>
        <v>-671.04595312776792</v>
      </c>
      <c r="DR174">
        <f t="shared" si="215"/>
        <v>-366.43896603881626</v>
      </c>
      <c r="DS174">
        <f t="shared" si="216"/>
        <v>-573.81714714792042</v>
      </c>
      <c r="DT174">
        <f t="shared" si="217"/>
        <v>-428.56897734994163</v>
      </c>
      <c r="DU174">
        <f t="shared" si="218"/>
        <v>-115.72613471299744</v>
      </c>
      <c r="DV174">
        <f t="shared" si="199"/>
        <v>-319.88978391954441</v>
      </c>
      <c r="DW174">
        <f t="shared" si="200"/>
        <v>-1437.4619987802271</v>
      </c>
      <c r="DX174">
        <f t="shared" si="201"/>
        <v>-366.6917800324951</v>
      </c>
      <c r="DY174">
        <f t="shared" si="202"/>
        <v>-1493.8705548301684</v>
      </c>
      <c r="DZ174">
        <f t="shared" si="203"/>
        <v>-794.14108483633561</v>
      </c>
      <c r="EA174">
        <f t="shared" si="204"/>
        <v>-133.00288396384957</v>
      </c>
      <c r="EB174">
        <f t="shared" si="205"/>
        <v>-618.4840520095504</v>
      </c>
      <c r="EC174">
        <f t="shared" si="206"/>
        <v>-52.565300821957521</v>
      </c>
      <c r="ED174">
        <f t="shared" si="207"/>
        <v>-50.813034757798739</v>
      </c>
      <c r="EE174">
        <f t="shared" si="208"/>
        <v>-383.37375399176398</v>
      </c>
      <c r="EF174">
        <f t="shared" si="209"/>
        <v>-218.99423362875837</v>
      </c>
      <c r="EG174">
        <f t="shared" si="158"/>
        <v>-356.64138548093706</v>
      </c>
      <c r="EH174">
        <f t="shared" si="228"/>
        <v>-168.74109299778758</v>
      </c>
      <c r="EI174">
        <f t="shared" si="229"/>
        <v>-308.10997929965851</v>
      </c>
      <c r="EJ174">
        <f t="shared" si="230"/>
        <v>-518.63427757411625</v>
      </c>
      <c r="EK174">
        <f t="shared" si="231"/>
        <v>-107.84667848177699</v>
      </c>
      <c r="EL174">
        <f t="shared" si="232"/>
        <v>-144.56509640882865</v>
      </c>
      <c r="EM174">
        <f t="shared" si="159"/>
        <v>-222.24542590157955</v>
      </c>
      <c r="EN174">
        <f t="shared" si="152"/>
        <v>-0.17977180259176292</v>
      </c>
      <c r="EO174">
        <v>23</v>
      </c>
      <c r="EP174">
        <f t="shared" si="153"/>
        <v>64596.928973994873</v>
      </c>
      <c r="EQ174" s="98">
        <f t="shared" si="160"/>
        <v>173156.50891122359</v>
      </c>
      <c r="ES174" s="99">
        <f t="shared" si="161"/>
        <v>0.62694484094090064</v>
      </c>
      <c r="ET174">
        <v>30</v>
      </c>
      <c r="EU174">
        <v>376760.52621211996</v>
      </c>
      <c r="EV174">
        <v>30</v>
      </c>
      <c r="EW174" s="98">
        <v>376760.52621211996</v>
      </c>
    </row>
    <row r="175" spans="1:153" x14ac:dyDescent="0.35">
      <c r="A175" s="39">
        <v>24</v>
      </c>
      <c r="B175" s="87">
        <f t="shared" si="154"/>
        <v>-4.0013271745758053E-4</v>
      </c>
      <c r="C175" s="87">
        <f t="shared" si="236"/>
        <v>-2.6118651300349092E-3</v>
      </c>
      <c r="D175" s="87">
        <f t="shared" si="236"/>
        <v>-5.9136563739117202E-4</v>
      </c>
      <c r="E175" s="87">
        <f t="shared" si="236"/>
        <v>-7.9509991763541618E-4</v>
      </c>
      <c r="F175" s="87">
        <f t="shared" si="236"/>
        <v>-8.8032384431880239E-4</v>
      </c>
      <c r="G175" s="87">
        <f t="shared" si="236"/>
        <v>-1.3840066725708433E-3</v>
      </c>
      <c r="H175" s="87">
        <f t="shared" si="236"/>
        <v>-9.6272195031455539E-4</v>
      </c>
      <c r="I175" s="87">
        <f t="shared" si="236"/>
        <v>-2.0124904643201665E-3</v>
      </c>
      <c r="J175" s="87">
        <f t="shared" si="236"/>
        <v>-1.2593467849402395E-3</v>
      </c>
      <c r="K175" s="87">
        <f t="shared" si="236"/>
        <v>-5.3058752509316091E-4</v>
      </c>
      <c r="L175" s="87">
        <f t="shared" si="236"/>
        <v>-8.5961230850753532E-4</v>
      </c>
      <c r="M175" s="87">
        <f t="shared" si="236"/>
        <v>-1.5085344110207786E-3</v>
      </c>
      <c r="N175" s="87">
        <f t="shared" si="236"/>
        <v>-8.6270549308158464E-4</v>
      </c>
      <c r="O175" s="87">
        <f t="shared" si="236"/>
        <v>-5.0558705112296507E-4</v>
      </c>
      <c r="P175" s="87">
        <f t="shared" si="236"/>
        <v>-1.2304252220361415E-3</v>
      </c>
      <c r="Q175" s="87">
        <f t="shared" si="236"/>
        <v>-7.5074989049854891E-4</v>
      </c>
      <c r="R175" s="87">
        <f t="shared" si="236"/>
        <v>-6.3175466796050537E-4</v>
      </c>
      <c r="S175" s="87">
        <f t="shared" si="236"/>
        <v>-3.3166759421480844E-4</v>
      </c>
      <c r="T175" s="87">
        <f t="shared" si="236"/>
        <v>-7.6282646083841959E-4</v>
      </c>
      <c r="U175" s="87">
        <f t="shared" si="236"/>
        <v>-2.102365492698851E-3</v>
      </c>
      <c r="V175" s="87">
        <f t="shared" si="236"/>
        <v>-3.5833932551624021E-4</v>
      </c>
      <c r="W175" s="87">
        <f t="shared" si="236"/>
        <v>-2.8817729484727184E-4</v>
      </c>
      <c r="X175" s="87">
        <f t="shared" si="236"/>
        <v>-7.704429249164249E-4</v>
      </c>
      <c r="Y175" s="87">
        <f t="shared" si="236"/>
        <v>0.97081358073289492</v>
      </c>
      <c r="Z175" s="87">
        <f t="shared" si="236"/>
        <v>-1.6024177401173243E-3</v>
      </c>
      <c r="AA175" s="87">
        <f t="shared" si="236"/>
        <v>-7.1074614381996803E-3</v>
      </c>
      <c r="AB175" s="87">
        <f t="shared" si="236"/>
        <v>-2.7580894630382734E-4</v>
      </c>
      <c r="AC175" s="87">
        <f t="shared" si="236"/>
        <v>-9.3753528081394716E-5</v>
      </c>
      <c r="AD175" s="87">
        <f t="shared" si="236"/>
        <v>-4.0206308897719931E-5</v>
      </c>
      <c r="AE175" s="87">
        <f t="shared" si="236"/>
        <v>-1.8860638837230227E-4</v>
      </c>
      <c r="AF175" s="87">
        <f t="shared" si="236"/>
        <v>-3.2028112341410864E-4</v>
      </c>
      <c r="AG175" s="87">
        <f t="shared" si="236"/>
        <v>-1.2854385775858709E-4</v>
      </c>
      <c r="AH175" s="87">
        <f t="shared" si="236"/>
        <v>-1.4553917625088935E-4</v>
      </c>
      <c r="AI175" s="87">
        <f t="shared" si="236"/>
        <v>-2.2254965580053288E-4</v>
      </c>
      <c r="AJ175" s="87">
        <f t="shared" si="236"/>
        <v>0</v>
      </c>
      <c r="AK175" s="87">
        <f t="shared" si="236"/>
        <v>-6.5825984512223967E-4</v>
      </c>
      <c r="AL175" s="87">
        <f t="shared" si="236"/>
        <v>-1.1091770984458006E-3</v>
      </c>
      <c r="AM175" s="87">
        <f t="shared" si="236"/>
        <v>-1.6164787614666829E-3</v>
      </c>
      <c r="AN175" s="87">
        <f t="shared" si="236"/>
        <v>-1.3199669927600442E-3</v>
      </c>
      <c r="AO175" s="87">
        <f t="shared" si="236"/>
        <v>-1.2523277782533922E-3</v>
      </c>
      <c r="AP175" s="87">
        <f t="shared" si="236"/>
        <v>-2.1327168086721473E-3</v>
      </c>
      <c r="AQ175" s="87">
        <f t="shared" si="236"/>
        <v>-9.6285278045116966E-4</v>
      </c>
      <c r="AR175" s="87">
        <f t="shared" si="236"/>
        <v>-7.9199685757941406E-4</v>
      </c>
      <c r="AS175" s="87">
        <f t="shared" si="236"/>
        <v>-1.1067174838572836E-3</v>
      </c>
      <c r="AT175" s="87">
        <f t="shared" si="236"/>
        <v>-1.0729850870891536E-3</v>
      </c>
      <c r="AU175" s="87">
        <f t="shared" si="236"/>
        <v>-2.9383848409751945E-3</v>
      </c>
      <c r="AV175" s="87">
        <f t="shared" si="236"/>
        <v>-1.5331695827102444E-3</v>
      </c>
      <c r="AW175" s="87">
        <f t="shared" si="236"/>
        <v>-1.1461830690467857E-3</v>
      </c>
      <c r="AX175" s="87">
        <f t="shared" si="236"/>
        <v>-6.1146899919179527E-4</v>
      </c>
      <c r="AY175" s="87">
        <f t="shared" si="236"/>
        <v>-8.9785708062948492E-4</v>
      </c>
      <c r="AZ175" s="87">
        <f t="shared" si="236"/>
        <v>-8.4516026110446321E-4</v>
      </c>
      <c r="BA175" s="87">
        <f t="shared" si="236"/>
        <v>-9.0577333811316064E-4</v>
      </c>
      <c r="BB175" s="87">
        <f t="shared" si="236"/>
        <v>-1.0985014733828984E-3</v>
      </c>
      <c r="BC175" s="87">
        <f t="shared" si="236"/>
        <v>-9.4968122682873913E-4</v>
      </c>
      <c r="BD175" s="87">
        <f t="shared" si="236"/>
        <v>-1.884162196103956E-3</v>
      </c>
      <c r="BE175" s="87">
        <f t="shared" si="236"/>
        <v>-1.296371539586353E-3</v>
      </c>
      <c r="BF175" s="87">
        <f t="shared" si="236"/>
        <v>-4.9310555884022559E-4</v>
      </c>
      <c r="BG175" s="87">
        <f t="shared" si="236"/>
        <v>-1.0974523321265674E-3</v>
      </c>
      <c r="BH175" s="87">
        <f t="shared" si="236"/>
        <v>-2.1872798700890796E-2</v>
      </c>
      <c r="BI175" s="87">
        <f t="shared" si="236"/>
        <v>-1.0435864390381929E-3</v>
      </c>
      <c r="BJ175" s="87">
        <f t="shared" si="236"/>
        <v>-1.1150978380591848E-3</v>
      </c>
      <c r="BK175" s="87">
        <f t="shared" si="236"/>
        <v>-4.497004624076092E-4</v>
      </c>
      <c r="BL175" s="87">
        <f t="shared" si="236"/>
        <v>-2.9322005684747742E-4</v>
      </c>
      <c r="BM175" s="87">
        <f t="shared" si="236"/>
        <v>-1.0647012369139367E-3</v>
      </c>
      <c r="BN175" s="87">
        <f t="shared" si="236"/>
        <v>-5.1405135213402231E-4</v>
      </c>
      <c r="BO175" s="87">
        <f t="shared" si="235"/>
        <v>-3.935887426235191E-4</v>
      </c>
      <c r="BP175" s="87">
        <f t="shared" si="235"/>
        <v>-3.9160177354162512E-4</v>
      </c>
      <c r="BQ175" s="87">
        <f t="shared" si="235"/>
        <v>-1.8039862496559839E-4</v>
      </c>
      <c r="BR175" s="87">
        <f t="shared" si="235"/>
        <v>-4.9861571297701932E-4</v>
      </c>
      <c r="BS175" s="87">
        <f t="shared" si="235"/>
        <v>-2.3619415297281291E-5</v>
      </c>
      <c r="BU175" s="96">
        <v>29834.823531908893</v>
      </c>
      <c r="BV175" s="98">
        <v>113085.86836740698</v>
      </c>
      <c r="BW175">
        <f t="shared" si="155"/>
        <v>-93.099874063714125</v>
      </c>
      <c r="BX175">
        <f t="shared" si="190"/>
        <v>-90.996640982865159</v>
      </c>
      <c r="BY175">
        <f t="shared" si="191"/>
        <v>-219.45227741211198</v>
      </c>
      <c r="BZ175">
        <f t="shared" si="192"/>
        <v>-60.570534048785831</v>
      </c>
      <c r="CA175">
        <f t="shared" si="193"/>
        <v>-13.21488986029553</v>
      </c>
      <c r="CB175">
        <f t="shared" si="194"/>
        <v>-71.34717174401797</v>
      </c>
      <c r="CC175">
        <f t="shared" si="195"/>
        <v>-171.14176338474311</v>
      </c>
      <c r="CD175">
        <f t="shared" si="196"/>
        <v>-258.12012966206942</v>
      </c>
      <c r="CE175">
        <f t="shared" si="165"/>
        <v>-351.16582405422139</v>
      </c>
      <c r="CF175">
        <f t="shared" si="166"/>
        <v>-63.295098026115276</v>
      </c>
      <c r="CG175">
        <f t="shared" si="167"/>
        <v>-72.009759459644201</v>
      </c>
      <c r="CH175">
        <f t="shared" si="168"/>
        <v>-452.69921790236862</v>
      </c>
      <c r="CI175">
        <f t="shared" si="169"/>
        <v>-206.19032715904584</v>
      </c>
      <c r="CJ175">
        <f t="shared" si="170"/>
        <v>-188.84108226999953</v>
      </c>
      <c r="CK175">
        <f t="shared" si="171"/>
        <v>-413.18314022741998</v>
      </c>
      <c r="CL175">
        <f t="shared" si="172"/>
        <v>-59.027967737858503</v>
      </c>
      <c r="CM175">
        <f t="shared" si="173"/>
        <v>-154.01006511829789</v>
      </c>
      <c r="CN175">
        <f t="shared" si="174"/>
        <v>-182.03958918947743</v>
      </c>
      <c r="CO175">
        <f t="shared" si="175"/>
        <v>-109.69973804827477</v>
      </c>
      <c r="CP175">
        <f t="shared" si="176"/>
        <v>-978.0310379205572</v>
      </c>
      <c r="CQ175">
        <f t="shared" si="177"/>
        <v>-122.67403133150039</v>
      </c>
      <c r="CR175">
        <f t="shared" si="178"/>
        <v>-62.499121487769976</v>
      </c>
      <c r="CS175">
        <f t="shared" si="179"/>
        <v>-155.82780408734303</v>
      </c>
      <c r="CT175">
        <f t="shared" si="180"/>
        <v>43914.118720020473</v>
      </c>
      <c r="CU175">
        <f t="shared" si="181"/>
        <v>-74.6203592706661</v>
      </c>
      <c r="CV175">
        <f t="shared" si="182"/>
        <v>-1242.652907643949</v>
      </c>
      <c r="CW175">
        <f t="shared" si="183"/>
        <v>-77.447018260703999</v>
      </c>
      <c r="CX175">
        <f t="shared" si="184"/>
        <v>-50.160345076990488</v>
      </c>
      <c r="CY175">
        <f t="shared" si="185"/>
        <v>-22.498939631633196</v>
      </c>
      <c r="CZ175">
        <f t="shared" si="186"/>
        <v>-168.80957910675508</v>
      </c>
      <c r="DA175">
        <f t="shared" si="187"/>
        <v>-127.04862474362933</v>
      </c>
      <c r="DB175">
        <f t="shared" si="188"/>
        <v>-30.110110412908792</v>
      </c>
      <c r="DC175">
        <f t="shared" si="156"/>
        <v>-68.848736855248049</v>
      </c>
      <c r="DD175">
        <f t="shared" si="219"/>
        <v>-64.045890009882029</v>
      </c>
      <c r="DE175">
        <f t="shared" si="220"/>
        <v>0</v>
      </c>
      <c r="DF175">
        <f t="shared" si="221"/>
        <v>-846.72625487382788</v>
      </c>
      <c r="DG175">
        <f t="shared" si="222"/>
        <v>-990.65485818808804</v>
      </c>
      <c r="DH175">
        <f t="shared" si="223"/>
        <v>-2624.4315453812569</v>
      </c>
      <c r="DI175">
        <f t="shared" si="224"/>
        <v>-954.11395524172019</v>
      </c>
      <c r="DJ175">
        <f t="shared" si="225"/>
        <v>-135.15904240925786</v>
      </c>
      <c r="DK175">
        <f t="shared" si="226"/>
        <v>-516.76116044796436</v>
      </c>
      <c r="DL175">
        <f t="shared" si="227"/>
        <v>-634.82133491978766</v>
      </c>
      <c r="DM175">
        <f t="shared" si="157"/>
        <v>-415.42852281883449</v>
      </c>
      <c r="DN175">
        <f t="shared" si="211"/>
        <v>-1190.1079313397649</v>
      </c>
      <c r="DO175">
        <f t="shared" si="212"/>
        <v>-548.32621622406407</v>
      </c>
      <c r="DP175">
        <f t="shared" si="213"/>
        <v>-1197.5669306847408</v>
      </c>
      <c r="DQ175">
        <f t="shared" si="214"/>
        <v>-2406.5398141205269</v>
      </c>
      <c r="DR175">
        <f t="shared" si="215"/>
        <v>-1097.2949822744511</v>
      </c>
      <c r="DS175">
        <f t="shared" si="216"/>
        <v>-1885.2349180890631</v>
      </c>
      <c r="DT175">
        <f t="shared" si="217"/>
        <v>-1278.8588620010598</v>
      </c>
      <c r="DU175">
        <f t="shared" si="218"/>
        <v>-242.08095048286887</v>
      </c>
      <c r="DV175">
        <f t="shared" si="199"/>
        <v>-743.73094408667384</v>
      </c>
      <c r="DW175">
        <f t="shared" si="200"/>
        <v>-2525.6050506253378</v>
      </c>
      <c r="DX175">
        <f t="shared" si="201"/>
        <v>-278.27039350061472</v>
      </c>
      <c r="DY175">
        <f t="shared" si="202"/>
        <v>-3608.3441095815797</v>
      </c>
      <c r="DZ175">
        <f t="shared" si="203"/>
        <v>-1846.8093579772967</v>
      </c>
      <c r="EA175">
        <f t="shared" si="204"/>
        <v>-440.74137870749126</v>
      </c>
      <c r="EB175">
        <f t="shared" si="205"/>
        <v>-958.12538950455553</v>
      </c>
      <c r="EC175">
        <f t="shared" si="206"/>
        <v>-3776.7319789187864</v>
      </c>
      <c r="ED175">
        <f t="shared" si="207"/>
        <v>-165.17428441081</v>
      </c>
      <c r="EE175">
        <f t="shared" si="208"/>
        <v>-379.0101319252575</v>
      </c>
      <c r="EF175">
        <f t="shared" si="209"/>
        <v>-479.45168898005829</v>
      </c>
      <c r="EG175">
        <f t="shared" si="158"/>
        <v>-703.92408265610572</v>
      </c>
      <c r="EH175">
        <f t="shared" si="228"/>
        <v>-2180.6860316032194</v>
      </c>
      <c r="EI175">
        <f t="shared" si="229"/>
        <v>-1340.2800666214623</v>
      </c>
      <c r="EJ175">
        <f t="shared" si="230"/>
        <v>-875.20803143777016</v>
      </c>
      <c r="EK175">
        <f t="shared" si="231"/>
        <v>-224.07705752816432</v>
      </c>
      <c r="EL175">
        <f t="shared" si="232"/>
        <v>-240.21971294291302</v>
      </c>
      <c r="EM175">
        <f t="shared" si="159"/>
        <v>-526.39271306257854</v>
      </c>
      <c r="EN175">
        <f t="shared" si="152"/>
        <v>-0.32509204793746238</v>
      </c>
      <c r="EO175">
        <v>24</v>
      </c>
      <c r="EP175">
        <f t="shared" si="153"/>
        <v>-818.47565178626792</v>
      </c>
      <c r="EQ175" s="98">
        <f t="shared" si="160"/>
        <v>29834.823531908893</v>
      </c>
      <c r="ES175" s="99">
        <f t="shared" si="161"/>
        <v>1.027433567720315</v>
      </c>
      <c r="ET175">
        <v>21</v>
      </c>
      <c r="EU175">
        <v>435319.86558304401</v>
      </c>
      <c r="EV175">
        <v>21</v>
      </c>
      <c r="EW175" s="98">
        <v>435319.86558304401</v>
      </c>
    </row>
    <row r="176" spans="1:153" x14ac:dyDescent="0.35">
      <c r="A176" s="39">
        <v>25</v>
      </c>
      <c r="B176" s="87">
        <f t="shared" si="154"/>
        <v>-2.6163714916329408E-4</v>
      </c>
      <c r="C176" s="87">
        <f t="shared" si="236"/>
        <v>-2.6275340594218138E-3</v>
      </c>
      <c r="D176" s="87">
        <f t="shared" si="236"/>
        <v>-7.0720972527756195E-4</v>
      </c>
      <c r="E176" s="87">
        <f t="shared" si="236"/>
        <v>-1.1415403551845627E-3</v>
      </c>
      <c r="F176" s="87">
        <f t="shared" si="236"/>
        <v>-2.8492338725482429E-3</v>
      </c>
      <c r="G176" s="87">
        <f t="shared" si="236"/>
        <v>-8.745664963948237E-4</v>
      </c>
      <c r="H176" s="87">
        <f t="shared" si="236"/>
        <v>-1.4696778626447939E-3</v>
      </c>
      <c r="I176" s="87">
        <f t="shared" si="236"/>
        <v>-9.9567519808455257E-4</v>
      </c>
      <c r="J176" s="87">
        <f t="shared" si="236"/>
        <v>-1.387806739755997E-3</v>
      </c>
      <c r="K176" s="87">
        <f t="shared" si="236"/>
        <v>-1.1635952201248018E-3</v>
      </c>
      <c r="L176" s="87">
        <f t="shared" si="236"/>
        <v>-1.1936663108520179E-3</v>
      </c>
      <c r="M176" s="87">
        <f t="shared" si="236"/>
        <v>-9.8342204112056904E-4</v>
      </c>
      <c r="N176" s="87">
        <f t="shared" si="236"/>
        <v>-1.7722199114629435E-3</v>
      </c>
      <c r="O176" s="87">
        <f t="shared" si="236"/>
        <v>-1.6273325223262348E-3</v>
      </c>
      <c r="P176" s="87">
        <f t="shared" si="236"/>
        <v>-1.3399541855821104E-3</v>
      </c>
      <c r="Q176" s="87">
        <f t="shared" si="236"/>
        <v>-1.0109124580454502E-3</v>
      </c>
      <c r="R176" s="87">
        <f t="shared" si="236"/>
        <v>-3.7916337255334106E-4</v>
      </c>
      <c r="S176" s="87">
        <f t="shared" si="236"/>
        <v>-7.190679945006885E-4</v>
      </c>
      <c r="T176" s="87">
        <f t="shared" si="236"/>
        <v>-1.5600102736216183E-3</v>
      </c>
      <c r="U176" s="87">
        <f t="shared" si="236"/>
        <v>-2.3194650172717437E-3</v>
      </c>
      <c r="V176" s="87">
        <f t="shared" si="236"/>
        <v>-1.2538024849734644E-3</v>
      </c>
      <c r="W176" s="87">
        <f t="shared" si="236"/>
        <v>-6.5958328991580495E-4</v>
      </c>
      <c r="X176" s="87">
        <f t="shared" si="236"/>
        <v>-1.3529617130091109E-3</v>
      </c>
      <c r="Y176" s="87">
        <f t="shared" si="236"/>
        <v>-3.1027327094946427E-3</v>
      </c>
      <c r="Z176" s="87">
        <f t="shared" si="236"/>
        <v>0.9772990268484123</v>
      </c>
      <c r="AA176" s="87">
        <f t="shared" si="236"/>
        <v>-1.912115754806519E-2</v>
      </c>
      <c r="AB176" s="87">
        <f t="shared" si="236"/>
        <v>-2.5706356728479314E-3</v>
      </c>
      <c r="AC176" s="87">
        <f t="shared" si="236"/>
        <v>-2.6019215947201092E-3</v>
      </c>
      <c r="AD176" s="87">
        <f t="shared" si="236"/>
        <v>-3.8857280642406311E-4</v>
      </c>
      <c r="AE176" s="87">
        <f t="shared" si="236"/>
        <v>-2.3936779796132567E-3</v>
      </c>
      <c r="AF176" s="87">
        <f t="shared" si="236"/>
        <v>-2.8600600473137868E-3</v>
      </c>
      <c r="AG176" s="87">
        <f t="shared" si="236"/>
        <v>-5.1297388861704573E-4</v>
      </c>
      <c r="AH176" s="87">
        <f t="shared" si="236"/>
        <v>-6.0123247195891958E-4</v>
      </c>
      <c r="AI176" s="87">
        <f t="shared" si="236"/>
        <v>-2.3619687434180765E-3</v>
      </c>
      <c r="AJ176" s="87">
        <f t="shared" si="236"/>
        <v>0</v>
      </c>
      <c r="AK176" s="87">
        <f t="shared" si="236"/>
        <v>-1.0885173886405569E-4</v>
      </c>
      <c r="AL176" s="87">
        <f t="shared" si="236"/>
        <v>-1.3605214987976003E-4</v>
      </c>
      <c r="AM176" s="87">
        <f t="shared" si="236"/>
        <v>-2.3478079384128302E-4</v>
      </c>
      <c r="AN176" s="87">
        <f t="shared" si="236"/>
        <v>-3.0394876830653234E-4</v>
      </c>
      <c r="AO176" s="87">
        <f t="shared" si="236"/>
        <v>-3.4616591933451336E-4</v>
      </c>
      <c r="AP176" s="87">
        <f t="shared" si="236"/>
        <v>-3.3776622523358729E-4</v>
      </c>
      <c r="AQ176" s="87">
        <f t="shared" si="236"/>
        <v>-2.9257394248036477E-4</v>
      </c>
      <c r="AR176" s="87">
        <f t="shared" si="236"/>
        <v>-5.4598373353526793E-5</v>
      </c>
      <c r="AS176" s="87">
        <f t="shared" si="236"/>
        <v>-2.6867452290593697E-4</v>
      </c>
      <c r="AT176" s="87">
        <f t="shared" si="236"/>
        <v>-2.4635592069004332E-4</v>
      </c>
      <c r="AU176" s="87">
        <f t="shared" si="236"/>
        <v>-3.3099747576423029E-4</v>
      </c>
      <c r="AV176" s="87">
        <f t="shared" si="236"/>
        <v>-1.6155561248100135E-4</v>
      </c>
      <c r="AW176" s="87">
        <f t="shared" si="236"/>
        <v>-3.8246090320321377E-4</v>
      </c>
      <c r="AX176" s="87">
        <f t="shared" si="236"/>
        <v>-2.6249375120789535E-4</v>
      </c>
      <c r="AY176" s="87">
        <f t="shared" si="236"/>
        <v>-2.3995895992355129E-4</v>
      </c>
      <c r="AZ176" s="87">
        <f t="shared" si="236"/>
        <v>-1.7637962632554232E-4</v>
      </c>
      <c r="BA176" s="87">
        <f t="shared" si="236"/>
        <v>-1.3955225228066617E-4</v>
      </c>
      <c r="BB176" s="87">
        <f t="shared" si="236"/>
        <v>-1.7926769752041693E-4</v>
      </c>
      <c r="BC176" s="87">
        <f t="shared" si="236"/>
        <v>-1.5274180108741807E-4</v>
      </c>
      <c r="BD176" s="87">
        <f t="shared" si="236"/>
        <v>-4.3394835377772269E-4</v>
      </c>
      <c r="BE176" s="87">
        <f t="shared" si="236"/>
        <v>-2.6214535488679116E-4</v>
      </c>
      <c r="BF176" s="87">
        <f t="shared" si="236"/>
        <v>-2.4963678587906627E-4</v>
      </c>
      <c r="BG176" s="87">
        <f t="shared" si="236"/>
        <v>-3.8641052590342065E-4</v>
      </c>
      <c r="BH176" s="87">
        <f t="shared" si="236"/>
        <v>-7.638878172983594E-4</v>
      </c>
      <c r="BI176" s="87">
        <f t="shared" si="236"/>
        <v>-4.4549358175706997E-3</v>
      </c>
      <c r="BJ176" s="87">
        <f t="shared" si="236"/>
        <v>-6.423958127647067E-4</v>
      </c>
      <c r="BK176" s="87">
        <f t="shared" si="236"/>
        <v>-5.9851663095013123E-4</v>
      </c>
      <c r="BL176" s="87">
        <f t="shared" si="236"/>
        <v>-4.4522728664046432E-4</v>
      </c>
      <c r="BM176" s="87">
        <f t="shared" si="236"/>
        <v>-6.1152565441031264E-5</v>
      </c>
      <c r="BN176" s="87">
        <f t="shared" si="236"/>
        <v>-6.1542781624963254E-4</v>
      </c>
      <c r="BO176" s="87">
        <f t="shared" si="235"/>
        <v>-6.1651504715425358E-4</v>
      </c>
      <c r="BP176" s="87">
        <f t="shared" si="235"/>
        <v>-1.0364120133851775E-3</v>
      </c>
      <c r="BQ176" s="87">
        <f t="shared" si="235"/>
        <v>-1.5200872805840648E-4</v>
      </c>
      <c r="BR176" s="87">
        <f t="shared" si="235"/>
        <v>-6.0471141456494245E-4</v>
      </c>
      <c r="BS176" s="87">
        <f t="shared" si="235"/>
        <v>-2.4158566277087001E-6</v>
      </c>
      <c r="BU176" s="96">
        <v>51080.676237488267</v>
      </c>
      <c r="BV176" s="98">
        <v>116418.39297348677</v>
      </c>
      <c r="BW176">
        <f t="shared" si="155"/>
        <v>-60.875765901532873</v>
      </c>
      <c r="BX176">
        <f t="shared" si="190"/>
        <v>-91.54254204246044</v>
      </c>
      <c r="BY176">
        <f t="shared" si="191"/>
        <v>-262.44133072191903</v>
      </c>
      <c r="BZ176">
        <f t="shared" si="192"/>
        <v>-86.962289164108142</v>
      </c>
      <c r="CA176">
        <f t="shared" si="193"/>
        <v>-42.770978038296612</v>
      </c>
      <c r="CB176">
        <f t="shared" si="194"/>
        <v>-45.084931493819511</v>
      </c>
      <c r="CC176">
        <f t="shared" si="195"/>
        <v>-261.26262202536128</v>
      </c>
      <c r="CD176">
        <f t="shared" si="196"/>
        <v>-127.7043622254921</v>
      </c>
      <c r="CE176">
        <f t="shared" si="165"/>
        <v>-386.98657369228408</v>
      </c>
      <c r="CF176">
        <f t="shared" si="166"/>
        <v>-138.80815141212943</v>
      </c>
      <c r="CG176">
        <f t="shared" si="167"/>
        <v>-99.993477372109083</v>
      </c>
      <c r="CH176">
        <f t="shared" si="168"/>
        <v>-295.11715850219377</v>
      </c>
      <c r="CI176">
        <f t="shared" si="169"/>
        <v>-423.56818899698703</v>
      </c>
      <c r="CJ176">
        <f t="shared" si="170"/>
        <v>-607.82259760547822</v>
      </c>
      <c r="CK176">
        <f t="shared" si="171"/>
        <v>-449.96353150458185</v>
      </c>
      <c r="CL176">
        <f t="shared" si="172"/>
        <v>-79.483338878251104</v>
      </c>
      <c r="CM176">
        <f t="shared" si="173"/>
        <v>-92.43299441843476</v>
      </c>
      <c r="CN176">
        <f t="shared" si="174"/>
        <v>-394.66877259473398</v>
      </c>
      <c r="CO176">
        <f t="shared" si="175"/>
        <v>-224.34030169957353</v>
      </c>
      <c r="CP176">
        <f t="shared" si="176"/>
        <v>-1079.0268324612643</v>
      </c>
      <c r="CQ176">
        <f t="shared" si="177"/>
        <v>-429.22725576815623</v>
      </c>
      <c r="CR176">
        <f t="shared" si="178"/>
        <v>-143.04866103208602</v>
      </c>
      <c r="CS176">
        <f t="shared" si="179"/>
        <v>-273.64655568136965</v>
      </c>
      <c r="CT176">
        <f t="shared" si="180"/>
        <v>-140.35008910606368</v>
      </c>
      <c r="CU176">
        <f t="shared" si="181"/>
        <v>45510.232864097867</v>
      </c>
      <c r="CV176">
        <f t="shared" si="182"/>
        <v>-3343.1010820425786</v>
      </c>
      <c r="CW176">
        <f t="shared" si="183"/>
        <v>-721.83324930061622</v>
      </c>
      <c r="CX176">
        <f t="shared" si="184"/>
        <v>-1392.0893189334204</v>
      </c>
      <c r="CY176">
        <f t="shared" si="185"/>
        <v>-217.44040559577621</v>
      </c>
      <c r="CZ176">
        <f t="shared" si="186"/>
        <v>-2142.4288739254716</v>
      </c>
      <c r="DA176">
        <f t="shared" si="187"/>
        <v>-1134.5242324056662</v>
      </c>
      <c r="DB176">
        <f t="shared" si="188"/>
        <v>-120.15899238224479</v>
      </c>
      <c r="DC176">
        <f t="shared" si="156"/>
        <v>-284.41892634717317</v>
      </c>
      <c r="DD176">
        <f t="shared" si="219"/>
        <v>-679.73320292761002</v>
      </c>
      <c r="DE176">
        <f t="shared" si="220"/>
        <v>0</v>
      </c>
      <c r="DF176">
        <f t="shared" si="221"/>
        <v>-140.01708575699331</v>
      </c>
      <c r="DG176">
        <f t="shared" si="222"/>
        <v>-121.51415985253878</v>
      </c>
      <c r="DH176">
        <f t="shared" si="223"/>
        <v>-381.17798779344889</v>
      </c>
      <c r="DI176">
        <f t="shared" si="224"/>
        <v>-219.70379798164694</v>
      </c>
      <c r="DJ176">
        <f t="shared" si="225"/>
        <v>-37.360389974921077</v>
      </c>
      <c r="DK176">
        <f t="shared" si="226"/>
        <v>-81.841370500807542</v>
      </c>
      <c r="DL176">
        <f t="shared" si="227"/>
        <v>-192.89779756475406</v>
      </c>
      <c r="DM176">
        <f t="shared" si="157"/>
        <v>-28.638650991481413</v>
      </c>
      <c r="DN176">
        <f t="shared" si="211"/>
        <v>-288.91897464639356</v>
      </c>
      <c r="DO176">
        <f t="shared" si="212"/>
        <v>-125.89495554204574</v>
      </c>
      <c r="DP176">
        <f t="shared" si="213"/>
        <v>-134.90119659881285</v>
      </c>
      <c r="DQ176">
        <f t="shared" si="214"/>
        <v>-253.58578595257376</v>
      </c>
      <c r="DR176">
        <f t="shared" si="215"/>
        <v>-366.14781821027799</v>
      </c>
      <c r="DS176">
        <f t="shared" si="216"/>
        <v>-809.30085778901025</v>
      </c>
      <c r="DT176">
        <f t="shared" si="217"/>
        <v>-341.78451006884364</v>
      </c>
      <c r="DU176">
        <f t="shared" si="218"/>
        <v>-50.52077049967091</v>
      </c>
      <c r="DV176">
        <f t="shared" si="199"/>
        <v>-114.58642462840396</v>
      </c>
      <c r="DW176">
        <f t="shared" si="200"/>
        <v>-412.1609421944986</v>
      </c>
      <c r="DX176">
        <f t="shared" si="201"/>
        <v>-44.7555662804034</v>
      </c>
      <c r="DY176">
        <f t="shared" si="202"/>
        <v>-831.05105784113528</v>
      </c>
      <c r="DZ176">
        <f t="shared" si="203"/>
        <v>-373.45196170357355</v>
      </c>
      <c r="EA176">
        <f t="shared" si="204"/>
        <v>-223.12719703104477</v>
      </c>
      <c r="EB176">
        <f t="shared" si="205"/>
        <v>-337.3538192064064</v>
      </c>
      <c r="EC176">
        <f t="shared" si="206"/>
        <v>-131.89896671886302</v>
      </c>
      <c r="ED176">
        <f t="shared" si="207"/>
        <v>-705.10770189914001</v>
      </c>
      <c r="EE176">
        <f t="shared" si="208"/>
        <v>-218.3436407409319</v>
      </c>
      <c r="EF176">
        <f t="shared" si="209"/>
        <v>-638.11321886432449</v>
      </c>
      <c r="EG176">
        <f t="shared" si="158"/>
        <v>-1068.8430139854947</v>
      </c>
      <c r="EH176">
        <f t="shared" si="228"/>
        <v>-125.2506718602959</v>
      </c>
      <c r="EI176">
        <f t="shared" si="229"/>
        <v>-1604.5977335523214</v>
      </c>
      <c r="EJ176">
        <f t="shared" si="230"/>
        <v>-1370.9206141796687</v>
      </c>
      <c r="EK176">
        <f t="shared" si="231"/>
        <v>-593.04163064906447</v>
      </c>
      <c r="EL176">
        <f t="shared" si="232"/>
        <v>-202.41558396562698</v>
      </c>
      <c r="EM176">
        <f t="shared" si="159"/>
        <v>-638.39881866583005</v>
      </c>
      <c r="EN176">
        <f t="shared" si="152"/>
        <v>-3.3251279455487344E-2</v>
      </c>
      <c r="EO176">
        <v>25</v>
      </c>
      <c r="EP176">
        <f t="shared" si="153"/>
        <v>16029.717352927912</v>
      </c>
      <c r="EQ176" s="98">
        <f t="shared" si="160"/>
        <v>51080.676237488267</v>
      </c>
      <c r="ES176" s="99">
        <f t="shared" si="161"/>
        <v>0.68618823136950469</v>
      </c>
      <c r="ET176">
        <v>22</v>
      </c>
      <c r="EU176">
        <v>454877.1210908154</v>
      </c>
      <c r="EV176">
        <v>22</v>
      </c>
      <c r="EW176" s="98">
        <v>454877.1210908154</v>
      </c>
    </row>
    <row r="177" spans="1:153" x14ac:dyDescent="0.35">
      <c r="A177" s="39">
        <v>26</v>
      </c>
      <c r="B177" s="87">
        <f t="shared" si="154"/>
        <v>-2.299699972507918E-3</v>
      </c>
      <c r="C177" s="87">
        <f t="shared" si="236"/>
        <v>-9.2945836324746321E-3</v>
      </c>
      <c r="D177" s="87">
        <f t="shared" si="236"/>
        <v>-9.9559933140090841E-3</v>
      </c>
      <c r="E177" s="87">
        <f t="shared" si="236"/>
        <v>-6.853722373744397E-3</v>
      </c>
      <c r="F177" s="87">
        <f t="shared" si="236"/>
        <v>-8.2530751684671173E-3</v>
      </c>
      <c r="G177" s="87">
        <f t="shared" si="236"/>
        <v>-1.0288134936641255E-2</v>
      </c>
      <c r="H177" s="87">
        <f t="shared" si="236"/>
        <v>-1.089800541816126E-2</v>
      </c>
      <c r="I177" s="87">
        <f t="shared" si="236"/>
        <v>-2.0357831209134952E-2</v>
      </c>
      <c r="J177" s="87">
        <f t="shared" si="236"/>
        <v>-7.4271558794680058E-3</v>
      </c>
      <c r="K177" s="87">
        <f t="shared" si="236"/>
        <v>-7.3998223757438348E-3</v>
      </c>
      <c r="L177" s="87">
        <f t="shared" si="236"/>
        <v>-1.323450250482369E-2</v>
      </c>
      <c r="M177" s="87">
        <f t="shared" si="236"/>
        <v>-7.182283732159441E-3</v>
      </c>
      <c r="N177" s="87">
        <f t="shared" si="236"/>
        <v>-7.6448937078373858E-3</v>
      </c>
      <c r="O177" s="87">
        <f t="shared" si="236"/>
        <v>-5.4139244932317893E-3</v>
      </c>
      <c r="P177" s="87">
        <f t="shared" si="236"/>
        <v>-7.1843366970085884E-3</v>
      </c>
      <c r="Q177" s="87">
        <f t="shared" si="236"/>
        <v>-6.7318946671610421E-3</v>
      </c>
      <c r="R177" s="87">
        <f t="shared" si="236"/>
        <v>-4.2930093651154921E-3</v>
      </c>
      <c r="S177" s="87">
        <f t="shared" si="236"/>
        <v>-3.638982394609512E-3</v>
      </c>
      <c r="T177" s="87">
        <f t="shared" si="236"/>
        <v>-1.6880422170842443E-2</v>
      </c>
      <c r="U177" s="87">
        <f t="shared" si="236"/>
        <v>-4.5919328123835368E-2</v>
      </c>
      <c r="V177" s="87">
        <f t="shared" si="236"/>
        <v>-1.27301102084933E-2</v>
      </c>
      <c r="W177" s="87">
        <f t="shared" si="236"/>
        <v>-6.1185042792780038E-3</v>
      </c>
      <c r="X177" s="87">
        <f t="shared" si="236"/>
        <v>-8.4277119729558758E-2</v>
      </c>
      <c r="Y177" s="87">
        <f t="shared" si="236"/>
        <v>-0.22877124945336269</v>
      </c>
      <c r="Z177" s="87">
        <f t="shared" si="236"/>
        <v>-0.15912138935707548</v>
      </c>
      <c r="AA177" s="87">
        <f t="shared" si="236"/>
        <v>0.83195764202766009</v>
      </c>
      <c r="AB177" s="87">
        <f t="shared" si="236"/>
        <v>-6.3586099877516395E-3</v>
      </c>
      <c r="AC177" s="87">
        <f t="shared" si="236"/>
        <v>-2.9556365003550493E-3</v>
      </c>
      <c r="AD177" s="87">
        <f t="shared" si="236"/>
        <v>-1.352280154482648E-3</v>
      </c>
      <c r="AE177" s="87">
        <f t="shared" si="236"/>
        <v>-5.1163739031424025E-3</v>
      </c>
      <c r="AF177" s="87">
        <f t="shared" si="236"/>
        <v>-2.1249570229926141E-3</v>
      </c>
      <c r="AG177" s="87">
        <f t="shared" si="236"/>
        <v>-1.9772791727578325E-3</v>
      </c>
      <c r="AH177" s="87">
        <f t="shared" si="236"/>
        <v>-9.8935880620882981E-4</v>
      </c>
      <c r="AI177" s="87">
        <f t="shared" si="236"/>
        <v>-4.8961969947854036E-3</v>
      </c>
      <c r="AJ177" s="87">
        <f t="shared" si="236"/>
        <v>0</v>
      </c>
      <c r="AK177" s="87">
        <f t="shared" si="236"/>
        <v>-1.9926524619706082E-4</v>
      </c>
      <c r="AL177" s="87">
        <f t="shared" si="236"/>
        <v>-2.6801612958648178E-4</v>
      </c>
      <c r="AM177" s="87">
        <f t="shared" si="236"/>
        <v>-3.567597637126521E-4</v>
      </c>
      <c r="AN177" s="87">
        <f t="shared" si="236"/>
        <v>-2.3554387440133189E-4</v>
      </c>
      <c r="AO177" s="87">
        <f t="shared" si="236"/>
        <v>-2.5846198386814844E-4</v>
      </c>
      <c r="AP177" s="87">
        <f t="shared" si="236"/>
        <v>-2.3202066180307189E-4</v>
      </c>
      <c r="AQ177" s="87">
        <f t="shared" si="236"/>
        <v>-2.2147263060976781E-4</v>
      </c>
      <c r="AR177" s="87">
        <f t="shared" si="236"/>
        <v>-2.761701263531138E-4</v>
      </c>
      <c r="AS177" s="87">
        <f t="shared" si="236"/>
        <v>-2.3107509108800136E-4</v>
      </c>
      <c r="AT177" s="87">
        <f t="shared" si="236"/>
        <v>-2.1339384791703054E-4</v>
      </c>
      <c r="AU177" s="87">
        <f t="shared" si="236"/>
        <v>-4.2477753487136279E-4</v>
      </c>
      <c r="AV177" s="87">
        <f t="shared" si="236"/>
        <v>-2.7015033797922559E-4</v>
      </c>
      <c r="AW177" s="87">
        <f t="shared" si="236"/>
        <v>-1.9423691156595914E-4</v>
      </c>
      <c r="AX177" s="87">
        <f t="shared" si="236"/>
        <v>-1.1980877438963434E-4</v>
      </c>
      <c r="AY177" s="87">
        <f t="shared" si="236"/>
        <v>-1.7577788476961311E-4</v>
      </c>
      <c r="AZ177" s="87">
        <f t="shared" si="236"/>
        <v>-2.0026018609612485E-4</v>
      </c>
      <c r="BA177" s="87">
        <f t="shared" si="236"/>
        <v>-2.4056888824873176E-4</v>
      </c>
      <c r="BB177" s="87">
        <f t="shared" si="236"/>
        <v>-5.9366498249480105E-4</v>
      </c>
      <c r="BC177" s="87">
        <f t="shared" si="236"/>
        <v>-5.3664434710486793E-4</v>
      </c>
      <c r="BD177" s="87">
        <f t="shared" si="236"/>
        <v>-4.2094092812091494E-4</v>
      </c>
      <c r="BE177" s="87">
        <f t="shared" si="236"/>
        <v>-3.0930847579730769E-4</v>
      </c>
      <c r="BF177" s="87">
        <f t="shared" si="236"/>
        <v>-1.3667862535639064E-4</v>
      </c>
      <c r="BG177" s="87">
        <f t="shared" si="236"/>
        <v>-6.136550178961383E-4</v>
      </c>
      <c r="BH177" s="87">
        <f t="shared" si="236"/>
        <v>-3.5884664226698434E-3</v>
      </c>
      <c r="BI177" s="87">
        <f t="shared" si="236"/>
        <v>-1.3396776399420772E-3</v>
      </c>
      <c r="BJ177" s="87">
        <f t="shared" si="236"/>
        <v>-1.2733406120255108E-3</v>
      </c>
      <c r="BK177" s="87">
        <f t="shared" si="236"/>
        <v>-1.697695193498841E-4</v>
      </c>
      <c r="BL177" s="87">
        <f t="shared" si="236"/>
        <v>-7.6353022069568021E-5</v>
      </c>
      <c r="BM177" s="87">
        <f t="shared" si="236"/>
        <v>-7.4461639259080272E-5</v>
      </c>
      <c r="BN177" s="87">
        <f t="shared" ref="BN177:BS180" si="237">BN104-BN27</f>
        <v>-8.0711752264204278E-5</v>
      </c>
      <c r="BO177" s="87">
        <f t="shared" si="237"/>
        <v>-1.2509793971641627E-4</v>
      </c>
      <c r="BP177" s="87">
        <f t="shared" si="237"/>
        <v>-1.2178152478498059E-4</v>
      </c>
      <c r="BQ177" s="87">
        <f t="shared" si="237"/>
        <v>-7.8136859199483057E-5</v>
      </c>
      <c r="BR177" s="87">
        <f t="shared" si="237"/>
        <v>-1.7003209290899417E-4</v>
      </c>
      <c r="BS177" s="87">
        <f t="shared" si="237"/>
        <v>-6.2902053458391578E-6</v>
      </c>
      <c r="BU177" s="96">
        <v>91263.152466013315</v>
      </c>
      <c r="BV177" s="98">
        <v>437094.49514745199</v>
      </c>
      <c r="BW177">
        <f t="shared" si="155"/>
        <v>-535.07690944445619</v>
      </c>
      <c r="BX177">
        <f t="shared" si="190"/>
        <v>-323.82065986623303</v>
      </c>
      <c r="BY177">
        <f t="shared" si="191"/>
        <v>-3694.6100153834705</v>
      </c>
      <c r="BZ177">
        <f t="shared" si="192"/>
        <v>-522.11503886756145</v>
      </c>
      <c r="CA177">
        <f t="shared" si="193"/>
        <v>-123.89017980584933</v>
      </c>
      <c r="CB177">
        <f t="shared" si="194"/>
        <v>-530.36545617709237</v>
      </c>
      <c r="CC177">
        <f t="shared" si="195"/>
        <v>-1937.3235065755043</v>
      </c>
      <c r="CD177">
        <f t="shared" si="196"/>
        <v>-2611.0762383738966</v>
      </c>
      <c r="CE177">
        <f t="shared" si="165"/>
        <v>-2071.0445653111383</v>
      </c>
      <c r="CF177">
        <f t="shared" si="166"/>
        <v>-882.74311116966066</v>
      </c>
      <c r="CG177">
        <f t="shared" si="167"/>
        <v>-1108.6548348697343</v>
      </c>
      <c r="CH177">
        <f t="shared" si="168"/>
        <v>-2155.3464107599325</v>
      </c>
      <c r="CI177">
        <f t="shared" si="169"/>
        <v>-1827.1625106785464</v>
      </c>
      <c r="CJ177">
        <f t="shared" si="170"/>
        <v>-2022.1470434401936</v>
      </c>
      <c r="CK177">
        <f t="shared" si="171"/>
        <v>-2412.5373438044708</v>
      </c>
      <c r="CL177">
        <f t="shared" si="172"/>
        <v>-529.2975280542006</v>
      </c>
      <c r="CM177">
        <f t="shared" si="173"/>
        <v>-1046.5560215159865</v>
      </c>
      <c r="CN177">
        <f t="shared" si="174"/>
        <v>-1997.2975103302376</v>
      </c>
      <c r="CO177">
        <f t="shared" si="175"/>
        <v>-2427.5218353731775</v>
      </c>
      <c r="CP177">
        <f t="shared" si="176"/>
        <v>-21361.903199769866</v>
      </c>
      <c r="CQ177">
        <f t="shared" si="177"/>
        <v>-4358.0311380013045</v>
      </c>
      <c r="CR177">
        <f t="shared" si="178"/>
        <v>-1326.9648550094876</v>
      </c>
      <c r="CS177">
        <f t="shared" si="179"/>
        <v>-17045.673439973281</v>
      </c>
      <c r="CT177">
        <f t="shared" si="180"/>
        <v>-10348.31816077208</v>
      </c>
      <c r="CU177">
        <f t="shared" si="181"/>
        <v>-7409.8625746636835</v>
      </c>
      <c r="CV177">
        <f t="shared" si="182"/>
        <v>145457.64221045788</v>
      </c>
      <c r="CW177">
        <f t="shared" si="183"/>
        <v>-1785.4945984660483</v>
      </c>
      <c r="CX177">
        <f t="shared" si="184"/>
        <v>-1581.3351221433018</v>
      </c>
      <c r="CY177">
        <f t="shared" si="185"/>
        <v>-756.7187935146685</v>
      </c>
      <c r="CZ177">
        <f t="shared" si="186"/>
        <v>-4579.3407773513782</v>
      </c>
      <c r="DA177">
        <f t="shared" si="187"/>
        <v>-842.92469232245685</v>
      </c>
      <c r="DB177">
        <f t="shared" si="188"/>
        <v>-463.15782991899601</v>
      </c>
      <c r="DC177">
        <f t="shared" si="156"/>
        <v>-468.02590105822338</v>
      </c>
      <c r="DD177">
        <f t="shared" si="219"/>
        <v>-1409.039672817099</v>
      </c>
      <c r="DE177">
        <f t="shared" si="220"/>
        <v>0</v>
      </c>
      <c r="DF177">
        <f t="shared" si="221"/>
        <v>-256.31688897507712</v>
      </c>
      <c r="DG177">
        <f t="shared" si="222"/>
        <v>-239.37699508911237</v>
      </c>
      <c r="DH177">
        <f t="shared" si="223"/>
        <v>-579.21675207209046</v>
      </c>
      <c r="DI177">
        <f t="shared" si="224"/>
        <v>-170.2585737906162</v>
      </c>
      <c r="DJ177">
        <f t="shared" si="225"/>
        <v>-27.894833002536547</v>
      </c>
      <c r="DK177">
        <f t="shared" si="226"/>
        <v>-56.219028214960566</v>
      </c>
      <c r="DL177">
        <f t="shared" si="227"/>
        <v>-146.01977983177255</v>
      </c>
      <c r="DM177">
        <f t="shared" si="157"/>
        <v>-144.86035713350162</v>
      </c>
      <c r="DN177">
        <f t="shared" si="211"/>
        <v>-248.48644992975659</v>
      </c>
      <c r="DO177">
        <f t="shared" si="212"/>
        <v>-109.0503890517879</v>
      </c>
      <c r="DP177">
        <f t="shared" si="213"/>
        <v>-173.12215934618715</v>
      </c>
      <c r="DQ177">
        <f t="shared" si="214"/>
        <v>-424.04150948251066</v>
      </c>
      <c r="DR177">
        <f t="shared" si="215"/>
        <v>-185.95213468915179</v>
      </c>
      <c r="DS177">
        <f t="shared" si="216"/>
        <v>-369.38534131956374</v>
      </c>
      <c r="DT177">
        <f t="shared" si="217"/>
        <v>-250.36847236735903</v>
      </c>
      <c r="DU177">
        <f t="shared" si="218"/>
        <v>-57.360927181636619</v>
      </c>
      <c r="DV177">
        <f t="shared" si="199"/>
        <v>-197.53123529537811</v>
      </c>
      <c r="DW177">
        <f t="shared" si="200"/>
        <v>-1364.9169477678504</v>
      </c>
      <c r="DX177">
        <f t="shared" si="201"/>
        <v>-157.24458841564729</v>
      </c>
      <c r="DY177">
        <f t="shared" si="202"/>
        <v>-806.14063991288333</v>
      </c>
      <c r="DZ177">
        <f t="shared" si="203"/>
        <v>-440.64048782375437</v>
      </c>
      <c r="EA177">
        <f t="shared" si="204"/>
        <v>-122.16436156409063</v>
      </c>
      <c r="EB177">
        <f t="shared" si="205"/>
        <v>-535.7485111939734</v>
      </c>
      <c r="EC177">
        <f t="shared" si="206"/>
        <v>-619.61325018830564</v>
      </c>
      <c r="ED177">
        <f t="shared" si="207"/>
        <v>-212.03830103669739</v>
      </c>
      <c r="EE177">
        <f t="shared" si="208"/>
        <v>-432.79520135161636</v>
      </c>
      <c r="EF177">
        <f t="shared" si="209"/>
        <v>-181.00110983621116</v>
      </c>
      <c r="EG177">
        <f t="shared" si="158"/>
        <v>-183.29827637370383</v>
      </c>
      <c r="EH177">
        <f t="shared" si="228"/>
        <v>-152.50987882122629</v>
      </c>
      <c r="EI177">
        <f t="shared" si="229"/>
        <v>-210.4388058755639</v>
      </c>
      <c r="EJ177">
        <f t="shared" si="230"/>
        <v>-278.1754397402907</v>
      </c>
      <c r="EK177">
        <f t="shared" si="231"/>
        <v>-69.684173001354026</v>
      </c>
      <c r="EL177">
        <f t="shared" si="232"/>
        <v>-104.04743323703289</v>
      </c>
      <c r="EM177">
        <f t="shared" si="159"/>
        <v>-179.50428027966899</v>
      </c>
      <c r="EN177">
        <f t="shared" si="152"/>
        <v>-8.6576899219914349E-2</v>
      </c>
      <c r="EO177">
        <v>26</v>
      </c>
      <c r="EP177">
        <f t="shared" si="153"/>
        <v>33276.754644782588</v>
      </c>
      <c r="EQ177" s="98">
        <f t="shared" si="160"/>
        <v>91263.152466013315</v>
      </c>
      <c r="ES177" s="99">
        <f t="shared" si="161"/>
        <v>0.63537579246810527</v>
      </c>
      <c r="ET177">
        <v>34</v>
      </c>
      <c r="EU177">
        <v>455048.79857544799</v>
      </c>
      <c r="EV177">
        <v>34</v>
      </c>
      <c r="EW177" s="98">
        <v>455048.79857544799</v>
      </c>
    </row>
    <row r="178" spans="1:153" x14ac:dyDescent="0.35">
      <c r="A178" s="39">
        <v>27</v>
      </c>
      <c r="B178" s="87">
        <f t="shared" si="154"/>
        <v>-2.5810446282299887E-3</v>
      </c>
      <c r="C178" s="87">
        <f t="shared" ref="C178:BN181" si="238">C105-C28</f>
        <v>-7.6118513552980993E-3</v>
      </c>
      <c r="D178" s="87">
        <f t="shared" si="238"/>
        <v>-5.3494495795815755E-3</v>
      </c>
      <c r="E178" s="87">
        <f t="shared" si="238"/>
        <v>-7.2941651903357775E-3</v>
      </c>
      <c r="F178" s="87">
        <f t="shared" si="238"/>
        <v>-5.625164849999381E-3</v>
      </c>
      <c r="G178" s="87">
        <f t="shared" si="238"/>
        <v>-4.8098184088144419E-3</v>
      </c>
      <c r="H178" s="87">
        <f t="shared" si="238"/>
        <v>-1.411510898634547E-2</v>
      </c>
      <c r="I178" s="87">
        <f t="shared" si="238"/>
        <v>-3.2315697887318434E-3</v>
      </c>
      <c r="J178" s="87">
        <f t="shared" si="238"/>
        <v>-7.5473718713952231E-3</v>
      </c>
      <c r="K178" s="87">
        <f t="shared" si="238"/>
        <v>-5.2132441956829739E-3</v>
      </c>
      <c r="L178" s="87">
        <f t="shared" si="238"/>
        <v>-7.1228860197601242E-3</v>
      </c>
      <c r="M178" s="87">
        <f t="shared" si="238"/>
        <v>-5.1358233359673194E-3</v>
      </c>
      <c r="N178" s="87">
        <f t="shared" si="238"/>
        <v>-7.581478558681647E-3</v>
      </c>
      <c r="O178" s="87">
        <f t="shared" si="238"/>
        <v>-7.4888637605350795E-3</v>
      </c>
      <c r="P178" s="87">
        <f t="shared" si="238"/>
        <v>-4.170614390303768E-3</v>
      </c>
      <c r="Q178" s="87">
        <f t="shared" si="238"/>
        <v>-6.4106220671661185E-3</v>
      </c>
      <c r="R178" s="87">
        <f t="shared" si="238"/>
        <v>-9.4310541249677006E-3</v>
      </c>
      <c r="S178" s="87">
        <f t="shared" si="238"/>
        <v>-6.9642221034992074E-3</v>
      </c>
      <c r="T178" s="87">
        <f t="shared" si="238"/>
        <v>-1.8530221844107669E-2</v>
      </c>
      <c r="U178" s="87">
        <f t="shared" si="238"/>
        <v>-2.2366478656666036E-2</v>
      </c>
      <c r="V178" s="87">
        <f t="shared" si="238"/>
        <v>-2.7004419924432373E-2</v>
      </c>
      <c r="W178" s="87">
        <f t="shared" si="238"/>
        <v>-1.5785468265513167E-2</v>
      </c>
      <c r="X178" s="87">
        <f t="shared" si="238"/>
        <v>-1.2505549338445197E-2</v>
      </c>
      <c r="Y178" s="87">
        <f t="shared" si="238"/>
        <v>-5.2240502692199311E-3</v>
      </c>
      <c r="Z178" s="87">
        <f t="shared" si="238"/>
        <v>-1.1274100865934422E-2</v>
      </c>
      <c r="AA178" s="87">
        <f t="shared" si="238"/>
        <v>-1.8083472192401334E-2</v>
      </c>
      <c r="AB178" s="87">
        <f t="shared" si="238"/>
        <v>0.8540250615596241</v>
      </c>
      <c r="AC178" s="87">
        <f t="shared" si="238"/>
        <v>-3.8719879713215478E-2</v>
      </c>
      <c r="AD178" s="87">
        <f t="shared" si="238"/>
        <v>-5.8278852150201463E-3</v>
      </c>
      <c r="AE178" s="87">
        <f t="shared" si="238"/>
        <v>-2.5056651156353346E-2</v>
      </c>
      <c r="AF178" s="87">
        <f t="shared" si="238"/>
        <v>-2.7632856814619095E-2</v>
      </c>
      <c r="AG178" s="87">
        <f t="shared" si="238"/>
        <v>-7.4933491544180554E-3</v>
      </c>
      <c r="AH178" s="87">
        <f t="shared" si="238"/>
        <v>-1.1604139077346623E-2</v>
      </c>
      <c r="AI178" s="87">
        <f t="shared" si="238"/>
        <v>-2.3410131497818325E-2</v>
      </c>
      <c r="AJ178" s="87">
        <f t="shared" si="238"/>
        <v>0</v>
      </c>
      <c r="AK178" s="87">
        <f t="shared" si="238"/>
        <v>-9.8623895640028878E-5</v>
      </c>
      <c r="AL178" s="87">
        <f t="shared" si="238"/>
        <v>-9.6195208501534936E-5</v>
      </c>
      <c r="AM178" s="87">
        <f t="shared" si="238"/>
        <v>-6.9141231401867321E-5</v>
      </c>
      <c r="AN178" s="87">
        <f t="shared" si="238"/>
        <v>-1.2223444222402921E-4</v>
      </c>
      <c r="AO178" s="87">
        <f t="shared" si="238"/>
        <v>-1.6226485640991414E-4</v>
      </c>
      <c r="AP178" s="87">
        <f t="shared" si="238"/>
        <v>-7.7182736947223237E-5</v>
      </c>
      <c r="AQ178" s="87">
        <f t="shared" si="238"/>
        <v>-1.1998805362391441E-4</v>
      </c>
      <c r="AR178" s="87">
        <f t="shared" si="238"/>
        <v>-8.8413558381374702E-5</v>
      </c>
      <c r="AS178" s="87">
        <f t="shared" si="238"/>
        <v>-1.2040030017332473E-4</v>
      </c>
      <c r="AT178" s="87">
        <f t="shared" si="238"/>
        <v>-8.7468369536284883E-5</v>
      </c>
      <c r="AU178" s="87">
        <f t="shared" si="238"/>
        <v>-1.2108275942418114E-4</v>
      </c>
      <c r="AV178" s="87">
        <f t="shared" si="238"/>
        <v>-2.1284752602396368E-4</v>
      </c>
      <c r="AW178" s="87">
        <f t="shared" si="238"/>
        <v>-1.4679724409384336E-4</v>
      </c>
      <c r="AX178" s="87">
        <f t="shared" si="238"/>
        <v>-1.6974107722773484E-4</v>
      </c>
      <c r="AY178" s="87">
        <f t="shared" si="238"/>
        <v>-7.0668878713231188E-5</v>
      </c>
      <c r="AZ178" s="87">
        <f t="shared" si="238"/>
        <v>-1.3937130332605837E-4</v>
      </c>
      <c r="BA178" s="87">
        <f t="shared" si="238"/>
        <v>-1.2525959649795082E-4</v>
      </c>
      <c r="BB178" s="87">
        <f t="shared" si="238"/>
        <v>-2.2440927226975667E-4</v>
      </c>
      <c r="BC178" s="87">
        <f t="shared" si="238"/>
        <v>-4.3329354367380992E-4</v>
      </c>
      <c r="BD178" s="87">
        <f t="shared" si="238"/>
        <v>-2.3244954259062512E-4</v>
      </c>
      <c r="BE178" s="87">
        <f t="shared" si="238"/>
        <v>-2.3554336101609883E-4</v>
      </c>
      <c r="BF178" s="87">
        <f t="shared" si="238"/>
        <v>-1.0357375473550668E-4</v>
      </c>
      <c r="BG178" s="87">
        <f t="shared" si="238"/>
        <v>-4.095661094861557E-4</v>
      </c>
      <c r="BH178" s="87">
        <f t="shared" si="238"/>
        <v>-4.5234870634841865E-4</v>
      </c>
      <c r="BI178" s="87">
        <f t="shared" si="238"/>
        <v>-3.5910088832414623E-4</v>
      </c>
      <c r="BJ178" s="87">
        <f t="shared" si="238"/>
        <v>-7.0441542806144036E-4</v>
      </c>
      <c r="BK178" s="87">
        <f t="shared" si="238"/>
        <v>-1.284673285556428E-3</v>
      </c>
      <c r="BL178" s="87">
        <f t="shared" si="238"/>
        <v>-3.929327504847551E-4</v>
      </c>
      <c r="BM178" s="87">
        <f t="shared" si="238"/>
        <v>-8.2554175637475466E-5</v>
      </c>
      <c r="BN178" s="87">
        <f t="shared" si="238"/>
        <v>-2.6456868294643461E-4</v>
      </c>
      <c r="BO178" s="87">
        <f t="shared" si="237"/>
        <v>-3.8156478946685271E-4</v>
      </c>
      <c r="BP178" s="87">
        <f t="shared" si="237"/>
        <v>-3.9461309062922947E-4</v>
      </c>
      <c r="BQ178" s="87">
        <f t="shared" si="237"/>
        <v>-1.8084355086681256E-4</v>
      </c>
      <c r="BR178" s="87">
        <f t="shared" si="237"/>
        <v>-3.6198179227484403E-4</v>
      </c>
      <c r="BS178" s="87">
        <f t="shared" si="237"/>
        <v>-8.0845791052476635E-6</v>
      </c>
      <c r="BU178" s="96">
        <v>265013.58388033789</v>
      </c>
      <c r="BV178" s="98">
        <v>701998.78664731048</v>
      </c>
      <c r="BW178">
        <f t="shared" si="155"/>
        <v>-600.53806988805479</v>
      </c>
      <c r="BX178">
        <f t="shared" si="190"/>
        <v>-265.19474418027818</v>
      </c>
      <c r="BY178">
        <f t="shared" si="191"/>
        <v>-1985.1489821413263</v>
      </c>
      <c r="BZ178">
        <f t="shared" si="192"/>
        <v>-555.66787421211768</v>
      </c>
      <c r="CA178">
        <f t="shared" si="193"/>
        <v>-84.441577288263787</v>
      </c>
      <c r="CB178">
        <f t="shared" si="194"/>
        <v>-247.95179595036058</v>
      </c>
      <c r="CC178">
        <f t="shared" si="195"/>
        <v>-2509.2236044911078</v>
      </c>
      <c r="CD178">
        <f t="shared" si="196"/>
        <v>-414.47809451423444</v>
      </c>
      <c r="CE178">
        <f t="shared" si="165"/>
        <v>-2104.5665057126616</v>
      </c>
      <c r="CF178">
        <f t="shared" si="166"/>
        <v>-621.90079260135917</v>
      </c>
      <c r="CG178">
        <f t="shared" si="167"/>
        <v>-596.6844632924342</v>
      </c>
      <c r="CH178">
        <f t="shared" si="168"/>
        <v>-1541.219869093934</v>
      </c>
      <c r="CI178">
        <f t="shared" si="169"/>
        <v>-1812.006017001248</v>
      </c>
      <c r="CJ178">
        <f t="shared" si="170"/>
        <v>-2797.1545837080203</v>
      </c>
      <c r="CK178">
        <f t="shared" si="171"/>
        <v>-1400.5138383068361</v>
      </c>
      <c r="CL178">
        <f t="shared" si="172"/>
        <v>-504.03735964449913</v>
      </c>
      <c r="CM178">
        <f t="shared" si="173"/>
        <v>-2299.1159916704728</v>
      </c>
      <c r="CN178">
        <f t="shared" si="174"/>
        <v>-3822.3937244957119</v>
      </c>
      <c r="CO178">
        <f t="shared" si="175"/>
        <v>-2664.7744757579999</v>
      </c>
      <c r="CP178">
        <f t="shared" si="176"/>
        <v>-10404.998755533003</v>
      </c>
      <c r="CQ178">
        <f t="shared" si="177"/>
        <v>-9244.7041672758696</v>
      </c>
      <c r="CR178">
        <f t="shared" si="178"/>
        <v>-3423.5101672063074</v>
      </c>
      <c r="CS178">
        <f t="shared" si="179"/>
        <v>-2529.3402396124675</v>
      </c>
      <c r="CT178">
        <f t="shared" si="180"/>
        <v>-236.30650443588885</v>
      </c>
      <c r="CU178">
        <f t="shared" si="181"/>
        <v>-525.00508201323237</v>
      </c>
      <c r="CV178">
        <f t="shared" si="182"/>
        <v>-3161.6744593802596</v>
      </c>
      <c r="CW178">
        <f t="shared" si="183"/>
        <v>239809.82279250032</v>
      </c>
      <c r="CX178">
        <f t="shared" si="184"/>
        <v>-20716.047358434076</v>
      </c>
      <c r="CY178">
        <f t="shared" si="185"/>
        <v>-3261.2105221193706</v>
      </c>
      <c r="CZ178">
        <f t="shared" si="186"/>
        <v>-22426.614347650393</v>
      </c>
      <c r="DA178">
        <f t="shared" si="187"/>
        <v>-10961.359254056906</v>
      </c>
      <c r="DB178">
        <f t="shared" si="188"/>
        <v>-1755.2419410481864</v>
      </c>
      <c r="DC178">
        <f t="shared" si="156"/>
        <v>-5489.4519698991116</v>
      </c>
      <c r="DD178">
        <f t="shared" si="219"/>
        <v>-6737.0255039619669</v>
      </c>
      <c r="DE178">
        <f t="shared" si="220"/>
        <v>0</v>
      </c>
      <c r="DF178">
        <f t="shared" si="221"/>
        <v>-126.86090821906576</v>
      </c>
      <c r="DG178">
        <f t="shared" si="222"/>
        <v>-85.916172241558641</v>
      </c>
      <c r="DH178">
        <f t="shared" si="223"/>
        <v>-112.25413726619242</v>
      </c>
      <c r="DI178">
        <f t="shared" si="224"/>
        <v>-88.354926885914423</v>
      </c>
      <c r="DJ178">
        <f t="shared" si="225"/>
        <v>-17.512637657552744</v>
      </c>
      <c r="DK178">
        <f t="shared" si="226"/>
        <v>-18.701517496000754</v>
      </c>
      <c r="DL178">
        <f t="shared" si="227"/>
        <v>-79.109681066993971</v>
      </c>
      <c r="DM178">
        <f t="shared" si="157"/>
        <v>-46.375832939271959</v>
      </c>
      <c r="DN178">
        <f t="shared" si="211"/>
        <v>-129.47238501424098</v>
      </c>
      <c r="DO178">
        <f t="shared" si="212"/>
        <v>-44.698850603069211</v>
      </c>
      <c r="DP178">
        <f t="shared" si="213"/>
        <v>-49.348440184006371</v>
      </c>
      <c r="DQ178">
        <f t="shared" si="214"/>
        <v>-334.09614402096429</v>
      </c>
      <c r="DR178">
        <f t="shared" si="215"/>
        <v>-140.53590888395598</v>
      </c>
      <c r="DS178">
        <f t="shared" si="216"/>
        <v>-523.3328365734618</v>
      </c>
      <c r="DT178">
        <f t="shared" si="217"/>
        <v>-100.65691273129099</v>
      </c>
      <c r="DU178">
        <f t="shared" si="218"/>
        <v>-39.920402238408393</v>
      </c>
      <c r="DV178">
        <f t="shared" si="199"/>
        <v>-102.85071776720605</v>
      </c>
      <c r="DW178">
        <f t="shared" si="200"/>
        <v>-515.94759332115927</v>
      </c>
      <c r="DX178">
        <f t="shared" si="201"/>
        <v>-126.9613018486364</v>
      </c>
      <c r="DY178">
        <f t="shared" si="202"/>
        <v>-445.1622792964356</v>
      </c>
      <c r="DZ178">
        <f t="shared" si="203"/>
        <v>-335.55479278167223</v>
      </c>
      <c r="EA178">
        <f t="shared" si="204"/>
        <v>-92.574984486901485</v>
      </c>
      <c r="EB178">
        <f t="shared" si="205"/>
        <v>-357.56968816940991</v>
      </c>
      <c r="EC178">
        <f t="shared" si="206"/>
        <v>-78.106137593587405</v>
      </c>
      <c r="ED178">
        <f t="shared" si="207"/>
        <v>-56.836913590879156</v>
      </c>
      <c r="EE178">
        <f t="shared" si="208"/>
        <v>-239.42346151834528</v>
      </c>
      <c r="EF178">
        <f t="shared" si="209"/>
        <v>-1369.6645390355463</v>
      </c>
      <c r="EG178">
        <f t="shared" si="158"/>
        <v>-943.30118104573069</v>
      </c>
      <c r="EH178">
        <f t="shared" si="228"/>
        <v>-169.0847454868821</v>
      </c>
      <c r="EI178">
        <f t="shared" si="229"/>
        <v>-689.80682675638673</v>
      </c>
      <c r="EJ178">
        <f t="shared" si="230"/>
        <v>-848.47083285276904</v>
      </c>
      <c r="EK178">
        <f t="shared" si="231"/>
        <v>-225.80015256466561</v>
      </c>
      <c r="EL178">
        <f t="shared" si="232"/>
        <v>-240.81217850239787</v>
      </c>
      <c r="EM178">
        <f t="shared" si="159"/>
        <v>-382.14715813336568</v>
      </c>
      <c r="EN178">
        <f t="shared" si="152"/>
        <v>-0.11127423541004855</v>
      </c>
      <c r="EO178">
        <v>27</v>
      </c>
      <c r="EP178">
        <f t="shared" si="153"/>
        <v>102952.98570291305</v>
      </c>
      <c r="EQ178" s="98">
        <f t="shared" si="160"/>
        <v>265013.58388033789</v>
      </c>
      <c r="ES178" s="99">
        <f t="shared" si="161"/>
        <v>0.61151808071317726</v>
      </c>
      <c r="ET178">
        <v>15</v>
      </c>
      <c r="EU178">
        <v>471562.47427652648</v>
      </c>
      <c r="EV178">
        <v>15</v>
      </c>
      <c r="EW178" s="98">
        <v>471562.47427652648</v>
      </c>
    </row>
    <row r="179" spans="1:153" x14ac:dyDescent="0.35">
      <c r="A179" s="39">
        <v>28</v>
      </c>
      <c r="B179" s="87">
        <f t="shared" si="154"/>
        <v>-1.905089672202916E-2</v>
      </c>
      <c r="C179" s="87">
        <f t="shared" si="238"/>
        <v>-2.7320870329088174E-2</v>
      </c>
      <c r="D179" s="87">
        <f t="shared" si="238"/>
        <v>-1.5471967654034861E-2</v>
      </c>
      <c r="E179" s="87">
        <f t="shared" si="238"/>
        <v>-1.9036690620213938E-2</v>
      </c>
      <c r="F179" s="87">
        <f t="shared" si="238"/>
        <v>-1.6355811196816533E-2</v>
      </c>
      <c r="G179" s="87">
        <f t="shared" si="238"/>
        <v>-1.5433949958503555E-2</v>
      </c>
      <c r="H179" s="87">
        <f t="shared" si="238"/>
        <v>-1.6819216035492822E-2</v>
      </c>
      <c r="I179" s="87">
        <f t="shared" si="238"/>
        <v>-1.7679638963198539E-2</v>
      </c>
      <c r="J179" s="87">
        <f t="shared" si="238"/>
        <v>-1.4715418502597243E-2</v>
      </c>
      <c r="K179" s="87">
        <f t="shared" si="238"/>
        <v>-1.1522286664166798E-2</v>
      </c>
      <c r="L179" s="87">
        <f t="shared" si="238"/>
        <v>-1.6109442470492716E-2</v>
      </c>
      <c r="M179" s="87">
        <f t="shared" si="238"/>
        <v>-1.4570718818204683E-2</v>
      </c>
      <c r="N179" s="87">
        <f t="shared" si="238"/>
        <v>-1.6340478220123127E-2</v>
      </c>
      <c r="O179" s="87">
        <f t="shared" si="238"/>
        <v>-1.1942831870150444E-2</v>
      </c>
      <c r="P179" s="87">
        <f t="shared" si="238"/>
        <v>-1.1294708388011599E-2</v>
      </c>
      <c r="Q179" s="87">
        <f t="shared" si="238"/>
        <v>-1.7265631306734246E-2</v>
      </c>
      <c r="R179" s="87">
        <f t="shared" si="238"/>
        <v>-1.8272574567220708E-2</v>
      </c>
      <c r="S179" s="87">
        <f t="shared" si="238"/>
        <v>-1.9593652863566579E-2</v>
      </c>
      <c r="T179" s="87">
        <f t="shared" si="238"/>
        <v>-2.5107711133533418E-2</v>
      </c>
      <c r="U179" s="87">
        <f t="shared" si="238"/>
        <v>-3.0711880283905344E-2</v>
      </c>
      <c r="V179" s="87">
        <f t="shared" si="238"/>
        <v>-3.1598004380375945E-2</v>
      </c>
      <c r="W179" s="87">
        <f t="shared" si="238"/>
        <v>-2.1039021166507098E-2</v>
      </c>
      <c r="X179" s="87">
        <f t="shared" si="238"/>
        <v>-3.0877076958856858E-2</v>
      </c>
      <c r="Y179" s="87">
        <f t="shared" si="238"/>
        <v>-1.4151741845546665E-2</v>
      </c>
      <c r="Z179" s="87">
        <f t="shared" si="238"/>
        <v>-2.0775377430739553E-2</v>
      </c>
      <c r="AA179" s="87">
        <f t="shared" si="238"/>
        <v>-2.3236401479216025E-2</v>
      </c>
      <c r="AB179" s="87">
        <f t="shared" si="238"/>
        <v>-1.8960079178726375E-2</v>
      </c>
      <c r="AC179" s="87">
        <f t="shared" si="238"/>
        <v>0.77728643417927057</v>
      </c>
      <c r="AD179" s="87">
        <f t="shared" si="238"/>
        <v>-5.6983663224893101E-2</v>
      </c>
      <c r="AE179" s="87">
        <f t="shared" si="238"/>
        <v>-2.3755212294044228E-2</v>
      </c>
      <c r="AF179" s="87">
        <f t="shared" si="238"/>
        <v>-2.3684067529482582E-2</v>
      </c>
      <c r="AG179" s="87">
        <f t="shared" si="238"/>
        <v>-8.9138482663172567E-3</v>
      </c>
      <c r="AH179" s="87">
        <f t="shared" si="238"/>
        <v>-1.1592030198356628E-2</v>
      </c>
      <c r="AI179" s="87">
        <f t="shared" si="238"/>
        <v>-2.413786635859248E-2</v>
      </c>
      <c r="AJ179" s="87">
        <f t="shared" si="238"/>
        <v>0</v>
      </c>
      <c r="AK179" s="87">
        <f t="shared" si="238"/>
        <v>-5.6132604717445522E-4</v>
      </c>
      <c r="AL179" s="87">
        <f t="shared" si="238"/>
        <v>-6.0307273557556581E-4</v>
      </c>
      <c r="AM179" s="87">
        <f t="shared" si="238"/>
        <v>-9.7006317508688494E-4</v>
      </c>
      <c r="AN179" s="87">
        <f t="shared" si="238"/>
        <v>-1.7390298540911169E-3</v>
      </c>
      <c r="AO179" s="87">
        <f t="shared" si="238"/>
        <v>-1.2988831110769029E-3</v>
      </c>
      <c r="AP179" s="87">
        <f t="shared" si="238"/>
        <v>-7.0049061645992934E-4</v>
      </c>
      <c r="AQ179" s="87">
        <f t="shared" si="238"/>
        <v>-8.7212484869717368E-4</v>
      </c>
      <c r="AR179" s="87">
        <f t="shared" si="238"/>
        <v>-7.2308972019721729E-4</v>
      </c>
      <c r="AS179" s="87">
        <f t="shared" si="238"/>
        <v>-1.1832310738066191E-3</v>
      </c>
      <c r="AT179" s="87">
        <f t="shared" si="238"/>
        <v>-7.8636335299368842E-4</v>
      </c>
      <c r="AU179" s="87">
        <f t="shared" si="238"/>
        <v>-1.505581902477214E-3</v>
      </c>
      <c r="AV179" s="87">
        <f t="shared" si="238"/>
        <v>-8.8185566161798346E-4</v>
      </c>
      <c r="AW179" s="87">
        <f t="shared" si="238"/>
        <v>-1.1403285086396657E-3</v>
      </c>
      <c r="AX179" s="87">
        <f t="shared" si="238"/>
        <v>-6.4071032258068521E-4</v>
      </c>
      <c r="AY179" s="87">
        <f t="shared" si="238"/>
        <v>-1.1710680687389205E-3</v>
      </c>
      <c r="AZ179" s="87">
        <f t="shared" si="238"/>
        <v>-1.7561520785613271E-3</v>
      </c>
      <c r="BA179" s="87">
        <f t="shared" si="238"/>
        <v>-1.2220925621105184E-3</v>
      </c>
      <c r="BB179" s="87">
        <f t="shared" si="238"/>
        <v>-9.9427372841041895E-4</v>
      </c>
      <c r="BC179" s="87">
        <f t="shared" si="238"/>
        <v>-8.9054703423700429E-4</v>
      </c>
      <c r="BD179" s="87">
        <f t="shared" si="238"/>
        <v>-1.4488865595805086E-3</v>
      </c>
      <c r="BE179" s="87">
        <f t="shared" si="238"/>
        <v>-1.6344629934769816E-3</v>
      </c>
      <c r="BF179" s="87">
        <f t="shared" si="238"/>
        <v>-8.2847908814471052E-4</v>
      </c>
      <c r="BG179" s="87">
        <f t="shared" si="238"/>
        <v>-2.854164984763229E-3</v>
      </c>
      <c r="BH179" s="87">
        <f t="shared" si="238"/>
        <v>-1.2721986688301937E-3</v>
      </c>
      <c r="BI179" s="87">
        <f t="shared" si="238"/>
        <v>-1.4245550523143413E-3</v>
      </c>
      <c r="BJ179" s="87">
        <f t="shared" si="238"/>
        <v>-2.9332586669715945E-3</v>
      </c>
      <c r="BK179" s="87">
        <f t="shared" si="238"/>
        <v>-7.0929457447354931E-4</v>
      </c>
      <c r="BL179" s="87">
        <f t="shared" si="238"/>
        <v>-4.6865544630926579E-3</v>
      </c>
      <c r="BM179" s="87">
        <f t="shared" si="238"/>
        <v>-1.1423886719171656E-3</v>
      </c>
      <c r="BN179" s="87">
        <f t="shared" si="238"/>
        <v>-7.5746636736295336E-4</v>
      </c>
      <c r="BO179" s="87">
        <f t="shared" si="237"/>
        <v>-1.0406315063624786E-3</v>
      </c>
      <c r="BP179" s="87">
        <f t="shared" si="237"/>
        <v>-8.4270234463470724E-4</v>
      </c>
      <c r="BQ179" s="87">
        <f t="shared" si="237"/>
        <v>-7.291014607726941E-4</v>
      </c>
      <c r="BR179" s="87">
        <f t="shared" si="237"/>
        <v>-1.3038635918946237E-3</v>
      </c>
      <c r="BS179" s="87">
        <f t="shared" si="237"/>
        <v>-3.6918751831238643E-4</v>
      </c>
      <c r="BU179" s="96">
        <v>491941.14455091523</v>
      </c>
      <c r="BV179" s="98">
        <v>1337558.8658765566</v>
      </c>
      <c r="BW179">
        <f t="shared" si="155"/>
        <v>-4432.6194990784988</v>
      </c>
      <c r="BX179">
        <f t="shared" si="190"/>
        <v>-951.85138010637684</v>
      </c>
      <c r="BY179">
        <f t="shared" si="191"/>
        <v>-5741.5553475565675</v>
      </c>
      <c r="BZ179">
        <f t="shared" si="192"/>
        <v>-1450.21083742156</v>
      </c>
      <c r="CA179">
        <f t="shared" si="193"/>
        <v>-245.5235592408257</v>
      </c>
      <c r="CB179">
        <f t="shared" si="194"/>
        <v>-795.6382727060635</v>
      </c>
      <c r="CC179">
        <f t="shared" si="195"/>
        <v>-2989.9290133799186</v>
      </c>
      <c r="CD179">
        <f t="shared" si="196"/>
        <v>-2267.5738257974572</v>
      </c>
      <c r="CE179">
        <f t="shared" si="165"/>
        <v>-4103.3590799316771</v>
      </c>
      <c r="CF179">
        <f t="shared" si="166"/>
        <v>-1374.5220711048314</v>
      </c>
      <c r="CG179">
        <f t="shared" si="167"/>
        <v>-1349.48867745184</v>
      </c>
      <c r="CH179">
        <f t="shared" si="168"/>
        <v>-4372.5572085645508</v>
      </c>
      <c r="CI179">
        <f t="shared" si="169"/>
        <v>-3905.4446472891832</v>
      </c>
      <c r="CJ179">
        <f t="shared" si="170"/>
        <v>-4460.7497180131222</v>
      </c>
      <c r="CK179">
        <f t="shared" si="171"/>
        <v>-3792.8213727518464</v>
      </c>
      <c r="CL179">
        <f t="shared" si="172"/>
        <v>-1357.5161856778702</v>
      </c>
      <c r="CM179">
        <f t="shared" si="173"/>
        <v>-4454.5146109669022</v>
      </c>
      <c r="CN179">
        <f t="shared" si="174"/>
        <v>-10754.20264210315</v>
      </c>
      <c r="CO179">
        <f t="shared" si="175"/>
        <v>-3610.663074420776</v>
      </c>
      <c r="CP179">
        <f t="shared" si="176"/>
        <v>-14287.321712077992</v>
      </c>
      <c r="CQ179">
        <f t="shared" si="177"/>
        <v>-10817.273749641667</v>
      </c>
      <c r="CR179">
        <f t="shared" si="178"/>
        <v>-4562.8866790708562</v>
      </c>
      <c r="CS179">
        <f t="shared" si="179"/>
        <v>-6245.118156749244</v>
      </c>
      <c r="CT179">
        <f t="shared" si="180"/>
        <v>-640.14480620600614</v>
      </c>
      <c r="CU179">
        <f t="shared" si="181"/>
        <v>-967.45442156173806</v>
      </c>
      <c r="CV179">
        <f t="shared" si="182"/>
        <v>-4062.6012694405745</v>
      </c>
      <c r="CW179">
        <f t="shared" si="183"/>
        <v>-5323.9810312811405</v>
      </c>
      <c r="CX179">
        <f t="shared" si="184"/>
        <v>415866.54454482318</v>
      </c>
      <c r="CY179">
        <f t="shared" si="185"/>
        <v>-31887.333954171849</v>
      </c>
      <c r="CZ179">
        <f t="shared" si="186"/>
        <v>-21261.779219447282</v>
      </c>
      <c r="DA179">
        <f t="shared" si="187"/>
        <v>-9394.9595776379083</v>
      </c>
      <c r="DB179">
        <f t="shared" si="188"/>
        <v>-2087.9796217629741</v>
      </c>
      <c r="DC179">
        <f t="shared" si="156"/>
        <v>-5483.7237457558258</v>
      </c>
      <c r="DD179">
        <f t="shared" si="219"/>
        <v>-6946.4548408973269</v>
      </c>
      <c r="DE179">
        <f t="shared" si="220"/>
        <v>0</v>
      </c>
      <c r="DF179">
        <f t="shared" si="221"/>
        <v>-722.03933630327128</v>
      </c>
      <c r="DG179">
        <f t="shared" si="222"/>
        <v>-538.63078869537969</v>
      </c>
      <c r="DH179">
        <f t="shared" si="223"/>
        <v>-1574.9445389562545</v>
      </c>
      <c r="DI179">
        <f t="shared" si="224"/>
        <v>-1257.0258661550772</v>
      </c>
      <c r="DJ179">
        <f t="shared" si="225"/>
        <v>-140.18358495533624</v>
      </c>
      <c r="DK179">
        <f t="shared" si="226"/>
        <v>-169.73015000060869</v>
      </c>
      <c r="DL179">
        <f t="shared" si="227"/>
        <v>-575.00323196577733</v>
      </c>
      <c r="DM179">
        <f t="shared" si="157"/>
        <v>-379.28445227056193</v>
      </c>
      <c r="DN179">
        <f t="shared" si="211"/>
        <v>-1272.3867708649254</v>
      </c>
      <c r="DO179">
        <f t="shared" si="212"/>
        <v>-401.85427282501502</v>
      </c>
      <c r="DP179">
        <f t="shared" si="213"/>
        <v>-613.61434782168851</v>
      </c>
      <c r="DQ179">
        <f t="shared" si="214"/>
        <v>-1384.2048419978062</v>
      </c>
      <c r="DR179">
        <f t="shared" si="215"/>
        <v>-1091.6901361275802</v>
      </c>
      <c r="DS179">
        <f t="shared" si="216"/>
        <v>-1975.3895522188932</v>
      </c>
      <c r="DT179">
        <f t="shared" si="217"/>
        <v>-1668.0057550620977</v>
      </c>
      <c r="DU179">
        <f t="shared" si="218"/>
        <v>-503.0181658269484</v>
      </c>
      <c r="DV179">
        <f t="shared" si="199"/>
        <v>-1003.4608182143309</v>
      </c>
      <c r="DW179">
        <f t="shared" si="200"/>
        <v>-2285.971217174822</v>
      </c>
      <c r="DX179">
        <f t="shared" si="201"/>
        <v>-260.94321615207201</v>
      </c>
      <c r="DY179">
        <f t="shared" si="202"/>
        <v>-2774.7511830588692</v>
      </c>
      <c r="DZ179">
        <f t="shared" si="203"/>
        <v>-2328.4540422601635</v>
      </c>
      <c r="EA179">
        <f t="shared" si="204"/>
        <v>-740.50070820138126</v>
      </c>
      <c r="EB179">
        <f t="shared" si="205"/>
        <v>-2491.8147765356885</v>
      </c>
      <c r="EC179">
        <f t="shared" si="206"/>
        <v>-219.6679749040631</v>
      </c>
      <c r="ED179">
        <f t="shared" si="207"/>
        <v>-225.47232559545927</v>
      </c>
      <c r="EE179">
        <f t="shared" si="208"/>
        <v>-996.98404605892767</v>
      </c>
      <c r="EF179">
        <f t="shared" si="209"/>
        <v>-756.21999562787357</v>
      </c>
      <c r="EG179">
        <f t="shared" si="158"/>
        <v>-11250.86253211658</v>
      </c>
      <c r="EH179">
        <f t="shared" si="228"/>
        <v>-2339.8028790990193</v>
      </c>
      <c r="EI179">
        <f t="shared" si="229"/>
        <v>-1974.9331834225991</v>
      </c>
      <c r="EJ179">
        <f t="shared" si="230"/>
        <v>-2314.0119457298797</v>
      </c>
      <c r="EK179">
        <f t="shared" si="231"/>
        <v>-482.19971030789685</v>
      </c>
      <c r="EL179">
        <f t="shared" si="232"/>
        <v>-970.87515853557545</v>
      </c>
      <c r="EM179">
        <f t="shared" si="159"/>
        <v>-1376.4995280695507</v>
      </c>
      <c r="EN179">
        <f t="shared" si="152"/>
        <v>-5.0814097169855845</v>
      </c>
      <c r="EO179">
        <v>28</v>
      </c>
      <c r="EP179">
        <f t="shared" si="153"/>
        <v>180421.27829272882</v>
      </c>
      <c r="EQ179" s="98">
        <f t="shared" si="160"/>
        <v>491941.14455091523</v>
      </c>
      <c r="ES179" s="99">
        <f t="shared" si="161"/>
        <v>0.63324621188692731</v>
      </c>
      <c r="ET179">
        <v>28</v>
      </c>
      <c r="EU179">
        <v>491941.14455091523</v>
      </c>
      <c r="EV179">
        <v>28</v>
      </c>
      <c r="EW179" s="98">
        <v>491941.14455091523</v>
      </c>
    </row>
    <row r="180" spans="1:153" x14ac:dyDescent="0.35">
      <c r="A180" s="39">
        <v>29</v>
      </c>
      <c r="B180" s="87">
        <f t="shared" si="154"/>
        <v>-2.3917519490988144E-3</v>
      </c>
      <c r="C180" s="87">
        <f t="shared" si="238"/>
        <v>-7.2263795186493377E-3</v>
      </c>
      <c r="D180" s="87">
        <f t="shared" si="238"/>
        <v>-7.4068909246808538E-3</v>
      </c>
      <c r="E180" s="87">
        <f t="shared" si="238"/>
        <v>-1.0210377053064939E-2</v>
      </c>
      <c r="F180" s="87">
        <f t="shared" si="238"/>
        <v>-8.2556915635852348E-3</v>
      </c>
      <c r="G180" s="87">
        <f t="shared" si="238"/>
        <v>-8.1392745925234211E-3</v>
      </c>
      <c r="H180" s="87">
        <f t="shared" si="238"/>
        <v>-1.1804395190354764E-2</v>
      </c>
      <c r="I180" s="87">
        <f t="shared" si="238"/>
        <v>-4.5235199194507266E-3</v>
      </c>
      <c r="J180" s="87">
        <f t="shared" si="238"/>
        <v>-7.1308197939354409E-3</v>
      </c>
      <c r="K180" s="87">
        <f t="shared" si="238"/>
        <v>-7.4349953895991678E-3</v>
      </c>
      <c r="L180" s="87">
        <f t="shared" si="238"/>
        <v>-8.3074525432930459E-3</v>
      </c>
      <c r="M180" s="87">
        <f t="shared" si="238"/>
        <v>-7.9966192380265793E-3</v>
      </c>
      <c r="N180" s="87">
        <f t="shared" si="238"/>
        <v>-9.8046363594264229E-3</v>
      </c>
      <c r="O180" s="87">
        <f t="shared" si="238"/>
        <v>-8.1646597868715396E-3</v>
      </c>
      <c r="P180" s="87">
        <f t="shared" si="238"/>
        <v>-1.0092531621892319E-2</v>
      </c>
      <c r="Q180" s="87">
        <f t="shared" si="238"/>
        <v>-1.1773991757399967E-2</v>
      </c>
      <c r="R180" s="87">
        <f t="shared" si="238"/>
        <v>-6.7897078403857253E-3</v>
      </c>
      <c r="S180" s="87">
        <f t="shared" si="238"/>
        <v>-2.1516261688136678E-2</v>
      </c>
      <c r="T180" s="87">
        <f t="shared" si="238"/>
        <v>-3.0545400469180521E-2</v>
      </c>
      <c r="U180" s="87">
        <f t="shared" si="238"/>
        <v>-3.0861758927081359E-2</v>
      </c>
      <c r="V180" s="87">
        <f t="shared" si="238"/>
        <v>-7.0031363266487609E-2</v>
      </c>
      <c r="W180" s="87">
        <f t="shared" si="238"/>
        <v>-3.7363739937699487E-2</v>
      </c>
      <c r="X180" s="87">
        <f t="shared" si="238"/>
        <v>-1.0245675037397687E-2</v>
      </c>
      <c r="Y180" s="87">
        <f t="shared" si="238"/>
        <v>-3.6567590024255601E-3</v>
      </c>
      <c r="Z180" s="87">
        <f t="shared" si="238"/>
        <v>-6.9227259151439808E-3</v>
      </c>
      <c r="AA180" s="87">
        <f t="shared" si="238"/>
        <v>-1.7390536869770514E-2</v>
      </c>
      <c r="AB180" s="87">
        <f t="shared" si="238"/>
        <v>-1.5112776720540412E-2</v>
      </c>
      <c r="AC180" s="87">
        <f t="shared" si="238"/>
        <v>-2.2612720132327117E-2</v>
      </c>
      <c r="AD180" s="87">
        <f t="shared" si="238"/>
        <v>0.97231096037938625</v>
      </c>
      <c r="AE180" s="87">
        <f t="shared" si="238"/>
        <v>-2.0244412789793054E-2</v>
      </c>
      <c r="AF180" s="87">
        <f t="shared" si="238"/>
        <v>-1.8221925258825652E-2</v>
      </c>
      <c r="AG180" s="87">
        <f t="shared" si="238"/>
        <v>-1.9563757932481846E-2</v>
      </c>
      <c r="AH180" s="87">
        <f t="shared" si="238"/>
        <v>-1.5513781346277712E-2</v>
      </c>
      <c r="AI180" s="87">
        <f t="shared" si="238"/>
        <v>-2.0321727460031549E-2</v>
      </c>
      <c r="AJ180" s="87">
        <f t="shared" si="238"/>
        <v>0</v>
      </c>
      <c r="AK180" s="87">
        <f t="shared" si="238"/>
        <v>-3.0867189431590112E-6</v>
      </c>
      <c r="AL180" s="87">
        <f t="shared" si="238"/>
        <v>-6.6205201596967588E-5</v>
      </c>
      <c r="AM180" s="87">
        <f t="shared" si="238"/>
        <v>-1.2518753325225167E-5</v>
      </c>
      <c r="AN180" s="87">
        <f t="shared" si="238"/>
        <v>-1.061470929924138E-5</v>
      </c>
      <c r="AO180" s="87">
        <f t="shared" si="238"/>
        <v>-1.3367417399279896E-5</v>
      </c>
      <c r="AP180" s="87">
        <f t="shared" si="238"/>
        <v>-4.4241242118611237E-6</v>
      </c>
      <c r="AQ180" s="87">
        <f t="shared" si="238"/>
        <v>-1.4511895365124459E-5</v>
      </c>
      <c r="AR180" s="87">
        <f t="shared" si="238"/>
        <v>-1.0103055249885069E-5</v>
      </c>
      <c r="AS180" s="87">
        <f t="shared" si="238"/>
        <v>-8.2710979729295189E-6</v>
      </c>
      <c r="AT180" s="87">
        <f t="shared" si="238"/>
        <v>-8.9225299670507115E-6</v>
      </c>
      <c r="AU180" s="87">
        <f t="shared" si="238"/>
        <v>-1.0333534806602574E-5</v>
      </c>
      <c r="AV180" s="87">
        <f t="shared" si="238"/>
        <v>-5.8213779125350726E-6</v>
      </c>
      <c r="AW180" s="87">
        <f t="shared" si="238"/>
        <v>-6.7397628539229153E-6</v>
      </c>
      <c r="AX180" s="87">
        <f t="shared" si="238"/>
        <v>-5.2797647786425903E-6</v>
      </c>
      <c r="AY180" s="87">
        <f t="shared" si="238"/>
        <v>-5.7035178066883118E-6</v>
      </c>
      <c r="AZ180" s="87">
        <f t="shared" si="238"/>
        <v>-1.076727905964626E-5</v>
      </c>
      <c r="BA180" s="87">
        <f t="shared" si="238"/>
        <v>-1.1785901062631835E-5</v>
      </c>
      <c r="BB180" s="87">
        <f t="shared" si="238"/>
        <v>-1.4562146705422684E-5</v>
      </c>
      <c r="BC180" s="87">
        <f t="shared" si="238"/>
        <v>-4.8898972126342341E-5</v>
      </c>
      <c r="BD180" s="87">
        <f t="shared" si="238"/>
        <v>-3.0063099654588421E-5</v>
      </c>
      <c r="BE180" s="87">
        <f t="shared" si="238"/>
        <v>-6.2081157393517359E-5</v>
      </c>
      <c r="BF180" s="87">
        <f t="shared" si="238"/>
        <v>-3.4132787877887848E-5</v>
      </c>
      <c r="BG180" s="87">
        <f t="shared" si="238"/>
        <v>-4.1059881068381164E-5</v>
      </c>
      <c r="BH180" s="87">
        <f t="shared" si="238"/>
        <v>-1.7770665875559635E-5</v>
      </c>
      <c r="BI180" s="87">
        <f t="shared" si="238"/>
        <v>-3.0467814535874681E-5</v>
      </c>
      <c r="BJ180" s="87">
        <f t="shared" si="238"/>
        <v>-7.2350744435503174E-5</v>
      </c>
      <c r="BK180" s="87">
        <f t="shared" si="238"/>
        <v>-2.2158406597778094E-5</v>
      </c>
      <c r="BL180" s="87">
        <f t="shared" si="238"/>
        <v>-2.2112309918185039E-5</v>
      </c>
      <c r="BM180" s="87">
        <f t="shared" si="238"/>
        <v>-1.9858536321495097E-5</v>
      </c>
      <c r="BN180" s="87">
        <f t="shared" si="238"/>
        <v>-2.4093453558532784E-5</v>
      </c>
      <c r="BO180" s="87">
        <f t="shared" si="237"/>
        <v>-3.554543723445738E-5</v>
      </c>
      <c r="BP180" s="87">
        <f t="shared" si="237"/>
        <v>-4.8685912211439014E-5</v>
      </c>
      <c r="BQ180" s="87">
        <f t="shared" si="237"/>
        <v>-3.1574404466461665E-5</v>
      </c>
      <c r="BR180" s="87">
        <f t="shared" si="237"/>
        <v>-5.336576101881167E-5</v>
      </c>
      <c r="BS180" s="87">
        <f t="shared" si="237"/>
        <v>-1.9373894024521094E-7</v>
      </c>
      <c r="BU180" s="96">
        <v>977333.70464589715</v>
      </c>
      <c r="BV180" s="98">
        <v>1398968.2371035242</v>
      </c>
      <c r="BW180">
        <f t="shared" si="155"/>
        <v>-556.49487167054428</v>
      </c>
      <c r="BX180">
        <f t="shared" si="190"/>
        <v>-251.76501462603269</v>
      </c>
      <c r="BY180">
        <f t="shared" si="191"/>
        <v>-2748.6532513709808</v>
      </c>
      <c r="BZ180">
        <f t="shared" si="192"/>
        <v>-777.82424224472572</v>
      </c>
      <c r="CA180">
        <f t="shared" si="193"/>
        <v>-123.9294555491341</v>
      </c>
      <c r="CB180">
        <f t="shared" si="194"/>
        <v>-419.58917809680236</v>
      </c>
      <c r="CC180">
        <f t="shared" si="195"/>
        <v>-2098.4511757601617</v>
      </c>
      <c r="CD180">
        <f t="shared" si="196"/>
        <v>-580.18240028382081</v>
      </c>
      <c r="CE180">
        <f t="shared" si="165"/>
        <v>-1988.4119601244868</v>
      </c>
      <c r="CF180">
        <f t="shared" si="166"/>
        <v>-886.93898697630789</v>
      </c>
      <c r="CG180">
        <f t="shared" si="167"/>
        <v>-695.91565109574947</v>
      </c>
      <c r="CH180">
        <f t="shared" si="168"/>
        <v>-2399.7220404591781</v>
      </c>
      <c r="CI180">
        <f t="shared" si="169"/>
        <v>-2343.3503030152015</v>
      </c>
      <c r="CJ180">
        <f t="shared" si="170"/>
        <v>-3049.5701721288242</v>
      </c>
      <c r="CK180">
        <f t="shared" si="171"/>
        <v>-3389.1242098217626</v>
      </c>
      <c r="CL180">
        <f t="shared" si="172"/>
        <v>-925.73414181931275</v>
      </c>
      <c r="CM180">
        <f t="shared" si="173"/>
        <v>-1655.204780690904</v>
      </c>
      <c r="CN180">
        <f t="shared" si="174"/>
        <v>-11809.448697797481</v>
      </c>
      <c r="CO180">
        <f t="shared" si="175"/>
        <v>-4392.6405310663667</v>
      </c>
      <c r="CP180">
        <f t="shared" si="176"/>
        <v>-14357.046013326577</v>
      </c>
      <c r="CQ180">
        <f t="shared" si="177"/>
        <v>-23974.565557838654</v>
      </c>
      <c r="CR180">
        <f t="shared" si="178"/>
        <v>-8103.3480546804794</v>
      </c>
      <c r="CS180">
        <f t="shared" si="179"/>
        <v>-2072.2638768386087</v>
      </c>
      <c r="CT180">
        <f t="shared" si="180"/>
        <v>-165.41110687985093</v>
      </c>
      <c r="CU180">
        <f t="shared" si="181"/>
        <v>-322.37305041478913</v>
      </c>
      <c r="CV180">
        <f t="shared" si="182"/>
        <v>-3040.5231733741975</v>
      </c>
      <c r="CW180">
        <f t="shared" si="183"/>
        <v>-4243.6603682764353</v>
      </c>
      <c r="CX180">
        <f t="shared" si="184"/>
        <v>-12098.337717831775</v>
      </c>
      <c r="CY180">
        <f t="shared" si="185"/>
        <v>544092.86006335379</v>
      </c>
      <c r="CZ180">
        <f t="shared" si="186"/>
        <v>-18119.485940012004</v>
      </c>
      <c r="DA180">
        <f t="shared" si="187"/>
        <v>-7228.2453603165432</v>
      </c>
      <c r="DB180">
        <f t="shared" si="188"/>
        <v>-4582.6142276261135</v>
      </c>
      <c r="DC180">
        <f t="shared" si="156"/>
        <v>-7338.9466469046556</v>
      </c>
      <c r="DD180">
        <f t="shared" si="219"/>
        <v>-5848.2369565312238</v>
      </c>
      <c r="DE180">
        <f t="shared" si="220"/>
        <v>0</v>
      </c>
      <c r="DF180">
        <f t="shared" si="221"/>
        <v>-3.9704776008382821</v>
      </c>
      <c r="DG180">
        <f t="shared" si="222"/>
        <v>-59.13077784535826</v>
      </c>
      <c r="DH180">
        <f t="shared" si="223"/>
        <v>-20.324802229852615</v>
      </c>
      <c r="DI180">
        <f t="shared" si="224"/>
        <v>-7.6726481258924615</v>
      </c>
      <c r="DJ180">
        <f t="shared" si="225"/>
        <v>-1.4426952484367517</v>
      </c>
      <c r="DK180">
        <f t="shared" si="226"/>
        <v>-1.0719733404786698</v>
      </c>
      <c r="DL180">
        <f t="shared" si="227"/>
        <v>-9.5678809626408832</v>
      </c>
      <c r="DM180">
        <f t="shared" si="157"/>
        <v>-5.2993863274211019</v>
      </c>
      <c r="DN180">
        <f t="shared" si="211"/>
        <v>-8.8943198621600885</v>
      </c>
      <c r="DO180">
        <f t="shared" si="212"/>
        <v>-4.5596692394404439</v>
      </c>
      <c r="DP180">
        <f t="shared" si="213"/>
        <v>-4.2115312429123195</v>
      </c>
      <c r="DQ180">
        <f t="shared" si="214"/>
        <v>-9.1375265186207031</v>
      </c>
      <c r="DR180">
        <f t="shared" si="215"/>
        <v>-6.4522920997949882</v>
      </c>
      <c r="DS180">
        <f t="shared" si="216"/>
        <v>-16.278170983565609</v>
      </c>
      <c r="DT180">
        <f t="shared" si="217"/>
        <v>-8.1237809992548016</v>
      </c>
      <c r="DU180">
        <f t="shared" si="218"/>
        <v>-3.0840933593673578</v>
      </c>
      <c r="DV180">
        <f t="shared" si="199"/>
        <v>-9.6774092980955082</v>
      </c>
      <c r="DW180">
        <f t="shared" si="200"/>
        <v>-33.480365896917711</v>
      </c>
      <c r="DX180">
        <f t="shared" si="201"/>
        <v>-14.328109086467935</v>
      </c>
      <c r="DY180">
        <f t="shared" si="202"/>
        <v>-57.573604214492498</v>
      </c>
      <c r="DZ180">
        <f t="shared" si="203"/>
        <v>-88.440743203134915</v>
      </c>
      <c r="EA180">
        <f t="shared" si="204"/>
        <v>-30.508137088969736</v>
      </c>
      <c r="EB180">
        <f t="shared" si="205"/>
        <v>-35.847128289774638</v>
      </c>
      <c r="EC180">
        <f t="shared" si="206"/>
        <v>-3.0684249883474468</v>
      </c>
      <c r="ED180">
        <f t="shared" si="207"/>
        <v>-4.8223120531946639</v>
      </c>
      <c r="EE180">
        <f t="shared" si="208"/>
        <v>-24.591263885075545</v>
      </c>
      <c r="EF180">
        <f t="shared" si="209"/>
        <v>-23.624359671620859</v>
      </c>
      <c r="EG180">
        <f t="shared" si="158"/>
        <v>-53.084320499475488</v>
      </c>
      <c r="EH180">
        <f t="shared" si="228"/>
        <v>-40.673600502137901</v>
      </c>
      <c r="EI180">
        <f t="shared" si="229"/>
        <v>-62.818579129332463</v>
      </c>
      <c r="EJ180">
        <f t="shared" si="230"/>
        <v>-79.041011034001272</v>
      </c>
      <c r="EK180">
        <f t="shared" si="231"/>
        <v>-27.85839260315344</v>
      </c>
      <c r="EL180">
        <f t="shared" si="232"/>
        <v>-42.04463520009233</v>
      </c>
      <c r="EM180">
        <f t="shared" si="159"/>
        <v>-56.338673243207985</v>
      </c>
      <c r="EN180">
        <f t="shared" si="152"/>
        <v>-2.6665769688548947E-3</v>
      </c>
      <c r="EO180">
        <v>29</v>
      </c>
      <c r="EP180">
        <f t="shared" si="153"/>
        <v>390647.80518545356</v>
      </c>
      <c r="EQ180" s="98">
        <f t="shared" si="160"/>
        <v>977333.70464589715</v>
      </c>
      <c r="ES180" s="99">
        <f t="shared" si="161"/>
        <v>0.60029230207814099</v>
      </c>
      <c r="ET180">
        <v>20</v>
      </c>
      <c r="EU180">
        <v>508118.26055266836</v>
      </c>
      <c r="EV180">
        <v>20</v>
      </c>
      <c r="EW180" s="98">
        <v>508118.26055266836</v>
      </c>
    </row>
    <row r="181" spans="1:153" x14ac:dyDescent="0.35">
      <c r="A181" s="39">
        <v>30</v>
      </c>
      <c r="B181" s="87">
        <f t="shared" si="154"/>
        <v>-2.8105543904899555E-2</v>
      </c>
      <c r="C181" s="87">
        <f t="shared" si="238"/>
        <v>-6.020680825067512E-2</v>
      </c>
      <c r="D181" s="87">
        <f t="shared" si="238"/>
        <v>-5.7707676447379751E-2</v>
      </c>
      <c r="E181" s="87">
        <f t="shared" si="238"/>
        <v>-4.9771263889722452E-2</v>
      </c>
      <c r="F181" s="87">
        <f t="shared" si="238"/>
        <v>-4.507014705805934E-2</v>
      </c>
      <c r="G181" s="87">
        <f t="shared" si="238"/>
        <v>-2.9954974327138759E-2</v>
      </c>
      <c r="H181" s="87">
        <f t="shared" si="238"/>
        <v>-7.8708739862180549E-2</v>
      </c>
      <c r="I181" s="87">
        <f t="shared" si="238"/>
        <v>-5.0392787794106601E-2</v>
      </c>
      <c r="J181" s="87">
        <f t="shared" si="238"/>
        <v>-9.251599420692648E-2</v>
      </c>
      <c r="K181" s="87">
        <f t="shared" si="238"/>
        <v>-6.1403782543557169E-2</v>
      </c>
      <c r="L181" s="87">
        <f t="shared" si="238"/>
        <v>-5.5464474316664229E-2</v>
      </c>
      <c r="M181" s="87">
        <f t="shared" si="238"/>
        <v>-4.5516540006307386E-2</v>
      </c>
      <c r="N181" s="87">
        <f t="shared" si="238"/>
        <v>-6.580144510999282E-2</v>
      </c>
      <c r="O181" s="87">
        <f t="shared" si="238"/>
        <v>-7.0569905829698729E-2</v>
      </c>
      <c r="P181" s="87">
        <f t="shared" si="238"/>
        <v>-5.6050808614570617E-2</v>
      </c>
      <c r="Q181" s="87">
        <f t="shared" si="238"/>
        <v>-4.9931062526880995E-2</v>
      </c>
      <c r="R181" s="87">
        <f t="shared" si="238"/>
        <v>-4.8922485542247061E-2</v>
      </c>
      <c r="S181" s="87">
        <f t="shared" si="238"/>
        <v>-6.3865636552217497E-2</v>
      </c>
      <c r="T181" s="87">
        <f t="shared" si="238"/>
        <v>-7.9026568991019036E-2</v>
      </c>
      <c r="U181" s="87">
        <f t="shared" si="238"/>
        <v>-9.0608754651783502E-2</v>
      </c>
      <c r="V181" s="87">
        <f t="shared" si="238"/>
        <v>-8.9305141022148246E-2</v>
      </c>
      <c r="W181" s="87">
        <f t="shared" si="238"/>
        <v>-4.7093490269995937E-2</v>
      </c>
      <c r="X181" s="87">
        <f t="shared" si="238"/>
        <v>-6.0994857182360133E-2</v>
      </c>
      <c r="Y181" s="87">
        <f t="shared" si="238"/>
        <v>-3.8095549242451156E-2</v>
      </c>
      <c r="Z181" s="87">
        <f t="shared" si="238"/>
        <v>-7.3333675299032328E-2</v>
      </c>
      <c r="AA181" s="87">
        <f t="shared" si="238"/>
        <v>-7.4647624007824848E-2</v>
      </c>
      <c r="AB181" s="87">
        <f t="shared" si="238"/>
        <v>-6.8975975269150905E-2</v>
      </c>
      <c r="AC181" s="87">
        <f t="shared" si="238"/>
        <v>-0.11727573882220492</v>
      </c>
      <c r="AD181" s="87">
        <f t="shared" si="238"/>
        <v>-3.1097890390769829E-2</v>
      </c>
      <c r="AE181" s="87">
        <f t="shared" si="238"/>
        <v>0.80777314615952478</v>
      </c>
      <c r="AF181" s="87">
        <f t="shared" si="238"/>
        <v>-6.5078716594084735E-2</v>
      </c>
      <c r="AG181" s="87">
        <f t="shared" si="238"/>
        <v>-3.3196821751228546E-2</v>
      </c>
      <c r="AH181" s="87">
        <f t="shared" si="238"/>
        <v>-4.753730265003113E-2</v>
      </c>
      <c r="AI181" s="87">
        <f t="shared" si="238"/>
        <v>-9.3748405438584606E-2</v>
      </c>
      <c r="AJ181" s="87">
        <f t="shared" si="238"/>
        <v>0</v>
      </c>
      <c r="AK181" s="87">
        <f t="shared" si="238"/>
        <v>-5.2617649821556185E-4</v>
      </c>
      <c r="AL181" s="87">
        <f t="shared" si="238"/>
        <v>-9.9736927897526011E-4</v>
      </c>
      <c r="AM181" s="87">
        <f t="shared" si="238"/>
        <v>-1.5402048997268942E-3</v>
      </c>
      <c r="AN181" s="87">
        <f t="shared" si="238"/>
        <v>-1.5885291879355222E-3</v>
      </c>
      <c r="AO181" s="87">
        <f t="shared" si="238"/>
        <v>-1.0407318475269E-3</v>
      </c>
      <c r="AP181" s="87">
        <f t="shared" si="238"/>
        <v>-8.9538104863255317E-4</v>
      </c>
      <c r="AQ181" s="87">
        <f t="shared" si="238"/>
        <v>-1.7544900674387215E-3</v>
      </c>
      <c r="AR181" s="87">
        <f t="shared" si="238"/>
        <v>-6.1719775336190519E-4</v>
      </c>
      <c r="AS181" s="87">
        <f t="shared" si="238"/>
        <v>-2.2841397730652708E-3</v>
      </c>
      <c r="AT181" s="87">
        <f t="shared" si="238"/>
        <v>-1.0265443741716283E-3</v>
      </c>
      <c r="AU181" s="87">
        <f t="shared" si="238"/>
        <v>-1.3555254230845108E-3</v>
      </c>
      <c r="AV181" s="87">
        <f t="shared" si="238"/>
        <v>-8.9473798157507236E-4</v>
      </c>
      <c r="AW181" s="87">
        <f t="shared" si="238"/>
        <v>-1.5095431299788679E-3</v>
      </c>
      <c r="AX181" s="87">
        <f t="shared" si="238"/>
        <v>-1.8049800878814505E-3</v>
      </c>
      <c r="AY181" s="87">
        <f t="shared" si="238"/>
        <v>-1.6524697703124082E-3</v>
      </c>
      <c r="AZ181" s="87">
        <f t="shared" si="238"/>
        <v>-9.2968090508139785E-4</v>
      </c>
      <c r="BA181" s="87">
        <f t="shared" si="238"/>
        <v>-1.1178959864286831E-3</v>
      </c>
      <c r="BB181" s="87">
        <f t="shared" si="238"/>
        <v>-1.6158841760354674E-3</v>
      </c>
      <c r="BC181" s="87">
        <f t="shared" si="238"/>
        <v>-8.9398914539484838E-4</v>
      </c>
      <c r="BD181" s="87">
        <f t="shared" si="238"/>
        <v>-2.0173346143078229E-3</v>
      </c>
      <c r="BE181" s="87">
        <f t="shared" si="238"/>
        <v>-1.6704588121666843E-3</v>
      </c>
      <c r="BF181" s="87">
        <f t="shared" si="238"/>
        <v>-1.7527024500847994E-3</v>
      </c>
      <c r="BG181" s="87">
        <f t="shared" si="238"/>
        <v>-1.2512199383803106E-3</v>
      </c>
      <c r="BH181" s="87">
        <f t="shared" si="238"/>
        <v>-1.7771109766112308E-3</v>
      </c>
      <c r="BI181" s="87">
        <f t="shared" si="238"/>
        <v>-2.9191717814884902E-3</v>
      </c>
      <c r="BJ181" s="87">
        <f t="shared" si="238"/>
        <v>-1.9321968962349178E-3</v>
      </c>
      <c r="BK181" s="87">
        <f t="shared" si="238"/>
        <v>-1.9602500156101037E-3</v>
      </c>
      <c r="BL181" s="87">
        <f t="shared" si="238"/>
        <v>-3.2186498532131278E-3</v>
      </c>
      <c r="BM181" s="87">
        <f t="shared" si="238"/>
        <v>-7.9505978676504556E-4</v>
      </c>
      <c r="BN181" s="87">
        <f t="shared" ref="BN181:BS184" si="239">BN108-BN31</f>
        <v>-3.2025153831194983E-3</v>
      </c>
      <c r="BO181" s="87">
        <f t="shared" si="239"/>
        <v>-2.2804559750225417E-3</v>
      </c>
      <c r="BP181" s="87">
        <f t="shared" si="239"/>
        <v>-1.8074795284599937E-3</v>
      </c>
      <c r="BQ181" s="87">
        <f t="shared" si="239"/>
        <v>-2.0229565489236472E-3</v>
      </c>
      <c r="BR181" s="87">
        <f t="shared" si="239"/>
        <v>-2.141293187177614E-3</v>
      </c>
      <c r="BS181" s="87">
        <f t="shared" si="239"/>
        <v>-4.5287477559702955E-4</v>
      </c>
      <c r="BU181" s="96">
        <v>376760.52621211996</v>
      </c>
      <c r="BV181" s="98">
        <v>2237590.9501741133</v>
      </c>
      <c r="BW181">
        <f t="shared" si="155"/>
        <v>-6539.3867681308366</v>
      </c>
      <c r="BX181">
        <f t="shared" si="190"/>
        <v>-2097.5881381125</v>
      </c>
      <c r="BY181">
        <f t="shared" si="191"/>
        <v>-21414.976149792488</v>
      </c>
      <c r="BZ181">
        <f t="shared" si="192"/>
        <v>-3791.5637610037852</v>
      </c>
      <c r="CA181">
        <f t="shared" si="193"/>
        <v>-676.56582654585691</v>
      </c>
      <c r="CB181">
        <f t="shared" si="194"/>
        <v>-1544.2141575344326</v>
      </c>
      <c r="CC181">
        <f t="shared" si="195"/>
        <v>-13991.944952956937</v>
      </c>
      <c r="CD181">
        <f t="shared" si="196"/>
        <v>-6463.3314542645212</v>
      </c>
      <c r="CE181">
        <f t="shared" si="165"/>
        <v>-25797.862616064569</v>
      </c>
      <c r="CF181">
        <f t="shared" si="166"/>
        <v>-7325.0090728882333</v>
      </c>
      <c r="CG181">
        <f t="shared" si="167"/>
        <v>-4646.2613605812439</v>
      </c>
      <c r="CH181">
        <f t="shared" si="168"/>
        <v>-13659.152825379872</v>
      </c>
      <c r="CI181">
        <f t="shared" si="169"/>
        <v>-15726.82868437972</v>
      </c>
      <c r="CJ181">
        <f t="shared" si="170"/>
        <v>-26358.462628686048</v>
      </c>
      <c r="CK181">
        <f t="shared" si="171"/>
        <v>-18822.15083118164</v>
      </c>
      <c r="CL181">
        <f t="shared" si="172"/>
        <v>-3925.8469235293533</v>
      </c>
      <c r="CM181">
        <f t="shared" si="173"/>
        <v>-11926.394162522412</v>
      </c>
      <c r="CN181">
        <f t="shared" si="174"/>
        <v>-35053.392143461511</v>
      </c>
      <c r="CO181">
        <f t="shared" si="175"/>
        <v>-11364.568957978232</v>
      </c>
      <c r="CP181">
        <f t="shared" si="176"/>
        <v>-42151.649969773767</v>
      </c>
      <c r="CQ181">
        <f t="shared" si="177"/>
        <v>-30572.758521639196</v>
      </c>
      <c r="CR181">
        <f t="shared" si="178"/>
        <v>-10213.510301800425</v>
      </c>
      <c r="CS181">
        <f t="shared" si="179"/>
        <v>-12336.662909039394</v>
      </c>
      <c r="CT181">
        <f t="shared" si="180"/>
        <v>-1723.227306806361</v>
      </c>
      <c r="CU181">
        <f t="shared" si="181"/>
        <v>-3414.9554516611302</v>
      </c>
      <c r="CV181">
        <f t="shared" si="182"/>
        <v>-13051.22621186281</v>
      </c>
      <c r="CW181">
        <f t="shared" si="183"/>
        <v>-19368.420378703533</v>
      </c>
      <c r="CX181">
        <f t="shared" si="184"/>
        <v>-62745.281685545473</v>
      </c>
      <c r="CY181">
        <f t="shared" si="185"/>
        <v>-17401.984359045557</v>
      </c>
      <c r="CZ181">
        <f t="shared" si="186"/>
        <v>722986.35265608958</v>
      </c>
      <c r="DA181">
        <f t="shared" si="187"/>
        <v>-25815.325471643628</v>
      </c>
      <c r="DB181">
        <f t="shared" si="188"/>
        <v>-7776.0227965491431</v>
      </c>
      <c r="DC181">
        <f t="shared" si="156"/>
        <v>-22487.987944347591</v>
      </c>
      <c r="DD181">
        <f t="shared" si="219"/>
        <v>-26979.147829834743</v>
      </c>
      <c r="DE181">
        <f t="shared" si="220"/>
        <v>0</v>
      </c>
      <c r="DF181">
        <f t="shared" si="221"/>
        <v>-676.82611819342105</v>
      </c>
      <c r="DG181">
        <f t="shared" si="222"/>
        <v>-890.79437630732184</v>
      </c>
      <c r="DH181">
        <f t="shared" si="223"/>
        <v>-2500.597237371961</v>
      </c>
      <c r="DI181">
        <f t="shared" si="224"/>
        <v>-1148.2392172162486</v>
      </c>
      <c r="DJ181">
        <f t="shared" si="225"/>
        <v>-112.32228683191596</v>
      </c>
      <c r="DK181">
        <f t="shared" si="226"/>
        <v>-216.95245606591072</v>
      </c>
      <c r="DL181">
        <f t="shared" si="227"/>
        <v>-1156.7580728105322</v>
      </c>
      <c r="DM181">
        <f t="shared" si="157"/>
        <v>-323.74061653461808</v>
      </c>
      <c r="DN181">
        <f t="shared" si="211"/>
        <v>-2456.2482294389565</v>
      </c>
      <c r="DO181">
        <f t="shared" si="212"/>
        <v>-524.59367725477</v>
      </c>
      <c r="DP181">
        <f t="shared" si="213"/>
        <v>-552.45739011153444</v>
      </c>
      <c r="DQ181">
        <f t="shared" si="214"/>
        <v>-1404.4255770192842</v>
      </c>
      <c r="DR181">
        <f t="shared" si="215"/>
        <v>-1445.1566654445744</v>
      </c>
      <c r="DS181">
        <f t="shared" si="216"/>
        <v>-5564.9779344941735</v>
      </c>
      <c r="DT181">
        <f t="shared" si="217"/>
        <v>-2353.6881933049613</v>
      </c>
      <c r="DU181">
        <f t="shared" si="218"/>
        <v>-266.29036823592565</v>
      </c>
      <c r="DV181">
        <f t="shared" si="199"/>
        <v>-917.90495744691191</v>
      </c>
      <c r="DW181">
        <f t="shared" si="200"/>
        <v>-3715.1386093755541</v>
      </c>
      <c r="DX181">
        <f t="shared" si="201"/>
        <v>-261.95180471769481</v>
      </c>
      <c r="DY181">
        <f t="shared" si="202"/>
        <v>-3863.3815536924399</v>
      </c>
      <c r="DZ181">
        <f t="shared" si="203"/>
        <v>-2379.7336428794492</v>
      </c>
      <c r="EA181">
        <f t="shared" si="204"/>
        <v>-1566.5783531851675</v>
      </c>
      <c r="EB181">
        <f t="shared" si="205"/>
        <v>-1092.3714458681768</v>
      </c>
      <c r="EC181">
        <f t="shared" si="206"/>
        <v>-306.85016340327269</v>
      </c>
      <c r="ED181">
        <f t="shared" si="207"/>
        <v>-462.03370611444325</v>
      </c>
      <c r="EE181">
        <f t="shared" si="208"/>
        <v>-656.73358476074873</v>
      </c>
      <c r="EF181">
        <f t="shared" si="209"/>
        <v>-2089.9359893376595</v>
      </c>
      <c r="EG181">
        <f t="shared" si="158"/>
        <v>-7726.9105315424886</v>
      </c>
      <c r="EH181">
        <f t="shared" si="228"/>
        <v>-1628.4152879481587</v>
      </c>
      <c r="EI181">
        <f t="shared" si="229"/>
        <v>-8349.8808304361555</v>
      </c>
      <c r="EJ181">
        <f t="shared" si="230"/>
        <v>-5070.9615609842267</v>
      </c>
      <c r="EK181">
        <f t="shared" si="231"/>
        <v>-1034.2514300095695</v>
      </c>
      <c r="EL181">
        <f t="shared" si="232"/>
        <v>-2693.7790771470395</v>
      </c>
      <c r="EM181">
        <f t="shared" si="159"/>
        <v>-2260.5808459806594</v>
      </c>
      <c r="EN181">
        <f t="shared" si="152"/>
        <v>-6.2332613405126702</v>
      </c>
      <c r="EO181">
        <v>30</v>
      </c>
      <c r="EP181">
        <f t="shared" si="153"/>
        <v>128144.9950500362</v>
      </c>
      <c r="EQ181" s="98">
        <f t="shared" si="160"/>
        <v>376760.52621211996</v>
      </c>
      <c r="ES181" s="99">
        <f t="shared" si="161"/>
        <v>0.65987680201431376</v>
      </c>
      <c r="ET181">
        <v>32</v>
      </c>
      <c r="EU181">
        <v>519791.79925700242</v>
      </c>
      <c r="EV181">
        <v>32</v>
      </c>
      <c r="EW181" s="98">
        <v>519791.79925700242</v>
      </c>
    </row>
    <row r="182" spans="1:153" x14ac:dyDescent="0.35">
      <c r="A182" s="39">
        <v>31</v>
      </c>
      <c r="B182" s="87">
        <f t="shared" si="154"/>
        <v>-1.1389148545548112E-3</v>
      </c>
      <c r="C182" s="87">
        <f t="shared" ref="C182:BN185" si="240">C109-C32</f>
        <v>-3.2119696704839737E-3</v>
      </c>
      <c r="D182" s="87">
        <f t="shared" si="240"/>
        <v>-1.7378166182173717E-3</v>
      </c>
      <c r="E182" s="87">
        <f t="shared" si="240"/>
        <v>-1.3291452601658662E-3</v>
      </c>
      <c r="F182" s="87">
        <f t="shared" si="240"/>
        <v>-1.1299411624187668E-3</v>
      </c>
      <c r="G182" s="87">
        <f t="shared" si="240"/>
        <v>-2.2926392890263627E-3</v>
      </c>
      <c r="H182" s="87">
        <f t="shared" si="240"/>
        <v>-2.3578665651344546E-3</v>
      </c>
      <c r="I182" s="87">
        <f t="shared" si="240"/>
        <v>-1.4912948051666183E-3</v>
      </c>
      <c r="J182" s="87">
        <f t="shared" si="240"/>
        <v>-2.6893406339635315E-3</v>
      </c>
      <c r="K182" s="87">
        <f t="shared" si="240"/>
        <v>-1.8360836996278045E-3</v>
      </c>
      <c r="L182" s="87">
        <f t="shared" si="240"/>
        <v>-2.3466326494172123E-3</v>
      </c>
      <c r="M182" s="87">
        <f t="shared" si="240"/>
        <v>-1.6743003252331396E-3</v>
      </c>
      <c r="N182" s="87">
        <f t="shared" si="240"/>
        <v>-1.48654716718703E-3</v>
      </c>
      <c r="O182" s="87">
        <f t="shared" si="240"/>
        <v>-1.7827479130907318E-3</v>
      </c>
      <c r="P182" s="87">
        <f t="shared" si="240"/>
        <v>-1.7347477288109999E-3</v>
      </c>
      <c r="Q182" s="87">
        <f t="shared" si="240"/>
        <v>-2.3815016659192605E-3</v>
      </c>
      <c r="R182" s="87">
        <f t="shared" si="240"/>
        <v>-1.0269369679559213E-2</v>
      </c>
      <c r="S182" s="87">
        <f t="shared" si="240"/>
        <v>-2.2387203439970314E-3</v>
      </c>
      <c r="T182" s="87">
        <f t="shared" si="240"/>
        <v>-1.7825888163502405E-3</v>
      </c>
      <c r="U182" s="87">
        <f t="shared" si="240"/>
        <v>-1.9300194801961147E-3</v>
      </c>
      <c r="V182" s="87">
        <f t="shared" si="240"/>
        <v>-2.193965157524065E-3</v>
      </c>
      <c r="W182" s="87">
        <f t="shared" si="240"/>
        <v>-1.6230298012131202E-3</v>
      </c>
      <c r="X182" s="87">
        <f t="shared" si="240"/>
        <v>-6.0628629703719534E-3</v>
      </c>
      <c r="Y182" s="87">
        <f t="shared" si="240"/>
        <v>-2.0127343878686864E-3</v>
      </c>
      <c r="Z182" s="87">
        <f t="shared" si="240"/>
        <v>-2.6294221753011991E-3</v>
      </c>
      <c r="AA182" s="87">
        <f t="shared" si="240"/>
        <v>-2.5363145696842082E-3</v>
      </c>
      <c r="AB182" s="87">
        <f t="shared" si="240"/>
        <v>-1.9758061633519909E-3</v>
      </c>
      <c r="AC182" s="87">
        <f t="shared" si="240"/>
        <v>-1.2277306558678746E-3</v>
      </c>
      <c r="AD182" s="87">
        <f t="shared" si="240"/>
        <v>-6.085192345475319E-3</v>
      </c>
      <c r="AE182" s="87">
        <f t="shared" si="240"/>
        <v>-3.8303486919882218E-3</v>
      </c>
      <c r="AF182" s="87">
        <f t="shared" si="240"/>
        <v>0.99161094971057717</v>
      </c>
      <c r="AG182" s="87">
        <f t="shared" si="240"/>
        <v>-5.4524053200064246E-3</v>
      </c>
      <c r="AH182" s="87">
        <f t="shared" si="240"/>
        <v>-2.74839662792924E-3</v>
      </c>
      <c r="AI182" s="87">
        <f t="shared" si="240"/>
        <v>-5.3021506562165727E-3</v>
      </c>
      <c r="AJ182" s="87">
        <f t="shared" si="240"/>
        <v>0</v>
      </c>
      <c r="AK182" s="87">
        <f t="shared" si="240"/>
        <v>-3.6838775938029902E-5</v>
      </c>
      <c r="AL182" s="87">
        <f t="shared" si="240"/>
        <v>-3.4808688713226331E-5</v>
      </c>
      <c r="AM182" s="87">
        <f t="shared" si="240"/>
        <v>-3.3349108395623026E-5</v>
      </c>
      <c r="AN182" s="87">
        <f t="shared" si="240"/>
        <v>-3.6184955345259625E-5</v>
      </c>
      <c r="AO182" s="87">
        <f t="shared" si="240"/>
        <v>-3.1571171266680857E-5</v>
      </c>
      <c r="AP182" s="87">
        <f t="shared" si="240"/>
        <v>-3.8331464357568127E-5</v>
      </c>
      <c r="AQ182" s="87">
        <f t="shared" si="240"/>
        <v>-4.1109615765084052E-5</v>
      </c>
      <c r="AR182" s="87">
        <f t="shared" si="240"/>
        <v>-5.402955770267234E-5</v>
      </c>
      <c r="AS182" s="87">
        <f t="shared" si="240"/>
        <v>-4.528138114787461E-5</v>
      </c>
      <c r="AT182" s="87">
        <f t="shared" si="240"/>
        <v>-2.6251736774631664E-5</v>
      </c>
      <c r="AU182" s="87">
        <f t="shared" si="240"/>
        <v>-5.1136975288728277E-5</v>
      </c>
      <c r="AV182" s="87">
        <f t="shared" si="240"/>
        <v>-3.0704805238231355E-5</v>
      </c>
      <c r="AW182" s="87">
        <f t="shared" si="240"/>
        <v>-3.5528109199627384E-5</v>
      </c>
      <c r="AX182" s="87">
        <f t="shared" si="240"/>
        <v>-2.715483749488784E-5</v>
      </c>
      <c r="AY182" s="87">
        <f t="shared" si="240"/>
        <v>-3.2095351191705637E-5</v>
      </c>
      <c r="AZ182" s="87">
        <f t="shared" si="240"/>
        <v>-2.5421057810610414E-5</v>
      </c>
      <c r="BA182" s="87">
        <f t="shared" si="240"/>
        <v>-4.2882375272983817E-5</v>
      </c>
      <c r="BB182" s="87">
        <f t="shared" si="240"/>
        <v>-3.8454171419616154E-5</v>
      </c>
      <c r="BC182" s="87">
        <f t="shared" si="240"/>
        <v>-6.6943889714986783E-5</v>
      </c>
      <c r="BD182" s="87">
        <f t="shared" si="240"/>
        <v>-4.3006756318261852E-5</v>
      </c>
      <c r="BE182" s="87">
        <f t="shared" si="240"/>
        <v>-3.3160205544402483E-5</v>
      </c>
      <c r="BF182" s="87">
        <f t="shared" si="240"/>
        <v>-4.2822590440394227E-5</v>
      </c>
      <c r="BG182" s="87">
        <f t="shared" si="240"/>
        <v>-1.3147130936371873E-4</v>
      </c>
      <c r="BH182" s="87">
        <f t="shared" si="240"/>
        <v>-5.5932106624178954E-5</v>
      </c>
      <c r="BI182" s="87">
        <f t="shared" si="240"/>
        <v>-1.5266849803596182E-4</v>
      </c>
      <c r="BJ182" s="87">
        <f t="shared" si="240"/>
        <v>-1.0679683223727151E-4</v>
      </c>
      <c r="BK182" s="87">
        <f t="shared" si="240"/>
        <v>-5.096339106146934E-5</v>
      </c>
      <c r="BL182" s="87">
        <f t="shared" si="240"/>
        <v>-5.4726202834611389E-5</v>
      </c>
      <c r="BM182" s="87">
        <f t="shared" si="240"/>
        <v>-3.9954395321147559E-5</v>
      </c>
      <c r="BN182" s="87">
        <f t="shared" si="240"/>
        <v>-4.4882243444237671E-5</v>
      </c>
      <c r="BO182" s="87">
        <f t="shared" si="239"/>
        <v>-1.0747907225726372E-4</v>
      </c>
      <c r="BP182" s="87">
        <f t="shared" si="239"/>
        <v>-5.0774747966610766E-5</v>
      </c>
      <c r="BQ182" s="87">
        <f t="shared" si="239"/>
        <v>-7.441220375784376E-5</v>
      </c>
      <c r="BR182" s="87">
        <f t="shared" si="239"/>
        <v>-5.7940965222021908E-5</v>
      </c>
      <c r="BS182" s="87">
        <f t="shared" si="239"/>
        <v>-1.0495377802762748E-5</v>
      </c>
      <c r="BU182" s="96">
        <v>916942.21443623491</v>
      </c>
      <c r="BV182" s="98">
        <v>991696.16514802643</v>
      </c>
      <c r="BW182">
        <f t="shared" si="155"/>
        <v>-264.99415044606326</v>
      </c>
      <c r="BX182">
        <f t="shared" si="190"/>
        <v>-111.9041131151268</v>
      </c>
      <c r="BY182">
        <f t="shared" si="191"/>
        <v>-644.89343052604988</v>
      </c>
      <c r="BZ182">
        <f t="shared" si="192"/>
        <v>-101.25398890252994</v>
      </c>
      <c r="CA182">
        <f t="shared" si="193"/>
        <v>-16.961994277836215</v>
      </c>
      <c r="CB182">
        <f t="shared" si="194"/>
        <v>-118.18825179318225</v>
      </c>
      <c r="CC182">
        <f t="shared" si="195"/>
        <v>-419.15471196142403</v>
      </c>
      <c r="CD182">
        <f t="shared" si="196"/>
        <v>-191.27206578045136</v>
      </c>
      <c r="CE182">
        <f t="shared" si="165"/>
        <v>-749.91617176608031</v>
      </c>
      <c r="CF182">
        <f t="shared" si="166"/>
        <v>-219.03096521481382</v>
      </c>
      <c r="CG182">
        <f t="shared" si="167"/>
        <v>-196.57751634346189</v>
      </c>
      <c r="CH182">
        <f t="shared" si="168"/>
        <v>-502.4442546549796</v>
      </c>
      <c r="CI182">
        <f t="shared" si="169"/>
        <v>-355.29117317288279</v>
      </c>
      <c r="CJ182">
        <f t="shared" si="170"/>
        <v>-665.87157359921764</v>
      </c>
      <c r="CK182">
        <f t="shared" si="171"/>
        <v>-582.53724099249644</v>
      </c>
      <c r="CL182">
        <f t="shared" si="172"/>
        <v>-187.24638562409501</v>
      </c>
      <c r="CM182">
        <f t="shared" si="173"/>
        <v>-2503.4817679758917</v>
      </c>
      <c r="CN182">
        <f t="shared" si="174"/>
        <v>-1228.7475135945897</v>
      </c>
      <c r="CO182">
        <f t="shared" si="175"/>
        <v>-256.34864053677143</v>
      </c>
      <c r="CP182">
        <f t="shared" si="176"/>
        <v>-897.85480306753129</v>
      </c>
      <c r="CQ182">
        <f t="shared" si="177"/>
        <v>-751.08292980846613</v>
      </c>
      <c r="CR182">
        <f t="shared" si="178"/>
        <v>-351.99836537451711</v>
      </c>
      <c r="CS182">
        <f t="shared" si="179"/>
        <v>-1226.2590681302086</v>
      </c>
      <c r="CT182">
        <f t="shared" si="180"/>
        <v>-91.044726418028688</v>
      </c>
      <c r="CU182">
        <f t="shared" si="181"/>
        <v>-122.44524163896617</v>
      </c>
      <c r="CV182">
        <f t="shared" si="182"/>
        <v>-443.44365454849844</v>
      </c>
      <c r="CW182">
        <f t="shared" si="183"/>
        <v>-554.80541172935011</v>
      </c>
      <c r="CX182">
        <f t="shared" si="184"/>
        <v>-656.86480946580616</v>
      </c>
      <c r="CY182">
        <f t="shared" si="185"/>
        <v>-3405.1963231941863</v>
      </c>
      <c r="CZ182">
        <f t="shared" si="186"/>
        <v>-3428.3014276816389</v>
      </c>
      <c r="DA182">
        <f t="shared" si="187"/>
        <v>393350.71045870875</v>
      </c>
      <c r="DB182">
        <f t="shared" si="188"/>
        <v>-1277.1713021842738</v>
      </c>
      <c r="DC182">
        <f t="shared" si="156"/>
        <v>-1300.1560204240543</v>
      </c>
      <c r="DD182">
        <f t="shared" si="219"/>
        <v>-1525.8660208768442</v>
      </c>
      <c r="DE182">
        <f t="shared" si="220"/>
        <v>0</v>
      </c>
      <c r="DF182">
        <f t="shared" si="221"/>
        <v>-47.386087751337293</v>
      </c>
      <c r="DG182">
        <f t="shared" si="222"/>
        <v>-31.08917108839815</v>
      </c>
      <c r="DH182">
        <f t="shared" si="223"/>
        <v>-54.143892372826514</v>
      </c>
      <c r="DI182">
        <f t="shared" si="224"/>
        <v>-26.155631962068981</v>
      </c>
      <c r="DJ182">
        <f t="shared" si="225"/>
        <v>-3.4073581615306652</v>
      </c>
      <c r="DK182">
        <f t="shared" si="226"/>
        <v>-9.2877835081252531</v>
      </c>
      <c r="DL182">
        <f t="shared" si="227"/>
        <v>-27.104103231442771</v>
      </c>
      <c r="DM182">
        <f t="shared" si="157"/>
        <v>-28.340288386466902</v>
      </c>
      <c r="DN182">
        <f t="shared" si="211"/>
        <v>-48.693303966140128</v>
      </c>
      <c r="DO182">
        <f t="shared" si="212"/>
        <v>-13.41539194546873</v>
      </c>
      <c r="DP182">
        <f t="shared" si="213"/>
        <v>-20.841364850187347</v>
      </c>
      <c r="DQ182">
        <f t="shared" si="214"/>
        <v>-48.195801119402503</v>
      </c>
      <c r="DR182">
        <f t="shared" si="215"/>
        <v>-34.012730607573289</v>
      </c>
      <c r="DS182">
        <f t="shared" si="216"/>
        <v>-83.721738809426157</v>
      </c>
      <c r="DT182">
        <f t="shared" si="217"/>
        <v>-45.714875102140091</v>
      </c>
      <c r="DU182">
        <f t="shared" si="218"/>
        <v>-7.2814046285499545</v>
      </c>
      <c r="DV182">
        <f t="shared" si="199"/>
        <v>-35.210739932897894</v>
      </c>
      <c r="DW182">
        <f t="shared" si="200"/>
        <v>-88.411396714752044</v>
      </c>
      <c r="DX182">
        <f t="shared" si="201"/>
        <v>-19.615532040848166</v>
      </c>
      <c r="DY182">
        <f t="shared" si="202"/>
        <v>-82.361898648691778</v>
      </c>
      <c r="DZ182">
        <f t="shared" si="203"/>
        <v>-47.23998949513642</v>
      </c>
      <c r="EA182">
        <f t="shared" si="204"/>
        <v>-38.275146593188126</v>
      </c>
      <c r="EB182">
        <f t="shared" si="205"/>
        <v>-114.78038344380636</v>
      </c>
      <c r="EC182">
        <f t="shared" si="206"/>
        <v>-9.6576838942530436</v>
      </c>
      <c r="ED182">
        <f t="shared" si="207"/>
        <v>-24.163700266557665</v>
      </c>
      <c r="EE182">
        <f t="shared" si="208"/>
        <v>-36.299130079830277</v>
      </c>
      <c r="EF182">
        <f t="shared" si="209"/>
        <v>-54.335020670770902</v>
      </c>
      <c r="EG182">
        <f t="shared" si="158"/>
        <v>-131.37945794630321</v>
      </c>
      <c r="EH182">
        <f t="shared" si="228"/>
        <v>-81.833277502825283</v>
      </c>
      <c r="EI182">
        <f t="shared" si="229"/>
        <v>-117.0209473894743</v>
      </c>
      <c r="EJ182">
        <f t="shared" si="230"/>
        <v>-238.99704708021963</v>
      </c>
      <c r="EK182">
        <f t="shared" si="231"/>
        <v>-29.053637878590774</v>
      </c>
      <c r="EL182">
        <f t="shared" si="232"/>
        <v>-99.087663387498424</v>
      </c>
      <c r="EM182">
        <f t="shared" si="159"/>
        <v>-61.16875398607889</v>
      </c>
      <c r="EN182">
        <f t="shared" si="152"/>
        <v>-0.14445589871017084</v>
      </c>
      <c r="EO182">
        <v>31</v>
      </c>
      <c r="EP182">
        <f t="shared" si="153"/>
        <v>366164.277653547</v>
      </c>
      <c r="EQ182" s="98">
        <f t="shared" si="160"/>
        <v>916942.21443623491</v>
      </c>
      <c r="ES182" s="99">
        <f t="shared" si="161"/>
        <v>0.60066809893939022</v>
      </c>
      <c r="ET182">
        <v>3</v>
      </c>
      <c r="EU182">
        <v>597251.75353594788</v>
      </c>
      <c r="EV182">
        <v>3</v>
      </c>
      <c r="EW182" s="98">
        <v>597251.75353594788</v>
      </c>
    </row>
    <row r="183" spans="1:153" x14ac:dyDescent="0.35">
      <c r="A183" s="39">
        <v>32</v>
      </c>
      <c r="B183" s="87">
        <f t="shared" si="154"/>
        <v>-5.1875499804865833E-4</v>
      </c>
      <c r="C183" s="87">
        <f t="shared" si="240"/>
        <v>-8.340521279720448E-4</v>
      </c>
      <c r="D183" s="87">
        <f t="shared" si="240"/>
        <v>-8.9108001607557581E-4</v>
      </c>
      <c r="E183" s="87">
        <f t="shared" si="240"/>
        <v>-8.7403788202749806E-4</v>
      </c>
      <c r="F183" s="87">
        <f t="shared" si="240"/>
        <v>-9.2726192848082421E-4</v>
      </c>
      <c r="G183" s="87">
        <f t="shared" si="240"/>
        <v>-7.4105412777193767E-4</v>
      </c>
      <c r="H183" s="87">
        <f t="shared" si="240"/>
        <v>-9.5411644460041581E-4</v>
      </c>
      <c r="I183" s="87">
        <f t="shared" si="240"/>
        <v>-1.1062521087622694E-3</v>
      </c>
      <c r="J183" s="87">
        <f t="shared" si="240"/>
        <v>-1.8725125637825022E-3</v>
      </c>
      <c r="K183" s="87">
        <f t="shared" si="240"/>
        <v>-1.3539277602919678E-3</v>
      </c>
      <c r="L183" s="87">
        <f t="shared" si="240"/>
        <v>-9.6593410338658326E-4</v>
      </c>
      <c r="M183" s="87">
        <f t="shared" si="240"/>
        <v>-1.1196340454205655E-3</v>
      </c>
      <c r="N183" s="87">
        <f t="shared" si="240"/>
        <v>-1.3754882618518737E-3</v>
      </c>
      <c r="O183" s="87">
        <f t="shared" si="240"/>
        <v>-1.7137012331173468E-3</v>
      </c>
      <c r="P183" s="87">
        <f t="shared" si="240"/>
        <v>-1.7370360164271805E-3</v>
      </c>
      <c r="Q183" s="87">
        <f t="shared" si="240"/>
        <v>-7.9994310326171527E-4</v>
      </c>
      <c r="R183" s="87">
        <f t="shared" si="240"/>
        <v>-1.1571772175837571E-3</v>
      </c>
      <c r="S183" s="87">
        <f t="shared" si="240"/>
        <v>-8.3014943895713114E-4</v>
      </c>
      <c r="T183" s="87">
        <f t="shared" si="240"/>
        <v>-1.4484176167270538E-3</v>
      </c>
      <c r="U183" s="87">
        <f t="shared" si="240"/>
        <v>-1.490615020769762E-3</v>
      </c>
      <c r="V183" s="87">
        <f t="shared" si="240"/>
        <v>-1.567017032798145E-3</v>
      </c>
      <c r="W183" s="87">
        <f t="shared" si="240"/>
        <v>-1.1572861591941052E-3</v>
      </c>
      <c r="X183" s="87">
        <f t="shared" si="240"/>
        <v>-1.7482156333208322E-3</v>
      </c>
      <c r="Y183" s="87">
        <f t="shared" si="240"/>
        <v>-4.8693263419638918E-4</v>
      </c>
      <c r="Z183" s="87">
        <f t="shared" si="240"/>
        <v>-3.7498054115445208E-3</v>
      </c>
      <c r="AA183" s="87">
        <f t="shared" si="240"/>
        <v>-1.781521094682552E-3</v>
      </c>
      <c r="AB183" s="87">
        <f t="shared" si="240"/>
        <v>-2.183171091042155E-3</v>
      </c>
      <c r="AC183" s="87">
        <f t="shared" si="240"/>
        <v>-2.1606892454073181E-3</v>
      </c>
      <c r="AD183" s="87">
        <f t="shared" si="240"/>
        <v>-6.1279296683029586E-4</v>
      </c>
      <c r="AE183" s="87">
        <f t="shared" si="240"/>
        <v>-4.6506368677518995E-3</v>
      </c>
      <c r="AF183" s="87">
        <f t="shared" si="240"/>
        <v>-6.0425614138347314E-3</v>
      </c>
      <c r="AG183" s="87">
        <f t="shared" si="240"/>
        <v>0.96582269333893245</v>
      </c>
      <c r="AH183" s="87">
        <f t="shared" si="240"/>
        <v>-2.4553103980247972E-3</v>
      </c>
      <c r="AI183" s="87">
        <f t="shared" si="240"/>
        <v>-2.2815185577528792E-3</v>
      </c>
      <c r="AJ183" s="87">
        <f t="shared" si="240"/>
        <v>0</v>
      </c>
      <c r="AK183" s="87">
        <f t="shared" si="240"/>
        <v>-2.0634159562975286E-5</v>
      </c>
      <c r="AL183" s="87">
        <f t="shared" si="240"/>
        <v>-2.2061098891570237E-5</v>
      </c>
      <c r="AM183" s="87">
        <f t="shared" si="240"/>
        <v>-1.8492752234116656E-5</v>
      </c>
      <c r="AN183" s="87">
        <f t="shared" si="240"/>
        <v>-2.1233276322035458E-5</v>
      </c>
      <c r="AO183" s="87">
        <f t="shared" si="240"/>
        <v>-2.3112281928195692E-5</v>
      </c>
      <c r="AP183" s="87">
        <f t="shared" si="240"/>
        <v>-9.9847375910799082E-6</v>
      </c>
      <c r="AQ183" s="87">
        <f t="shared" si="240"/>
        <v>-1.8828213999149371E-5</v>
      </c>
      <c r="AR183" s="87">
        <f t="shared" si="240"/>
        <v>-2.0751720786459623E-5</v>
      </c>
      <c r="AS183" s="87">
        <f t="shared" si="240"/>
        <v>-4.8032836903678354E-5</v>
      </c>
      <c r="AT183" s="87">
        <f t="shared" si="240"/>
        <v>-2.1965628253540731E-5</v>
      </c>
      <c r="AU183" s="87">
        <f t="shared" si="240"/>
        <v>-2.8955505960823348E-5</v>
      </c>
      <c r="AV183" s="87">
        <f t="shared" si="240"/>
        <v>-2.7199296388462518E-5</v>
      </c>
      <c r="AW183" s="87">
        <f t="shared" si="240"/>
        <v>-5.0796025266416027E-5</v>
      </c>
      <c r="AX183" s="87">
        <f t="shared" si="240"/>
        <v>-5.3546429091499981E-5</v>
      </c>
      <c r="AY183" s="87">
        <f t="shared" si="240"/>
        <v>-3.9159355966897034E-5</v>
      </c>
      <c r="AZ183" s="87">
        <f t="shared" si="240"/>
        <v>-2.1258708572114854E-5</v>
      </c>
      <c r="BA183" s="87">
        <f t="shared" si="240"/>
        <v>-2.9883690368088781E-5</v>
      </c>
      <c r="BB183" s="87">
        <f t="shared" si="240"/>
        <v>-2.5616918506023122E-5</v>
      </c>
      <c r="BC183" s="87">
        <f t="shared" si="240"/>
        <v>-4.1126373297623918E-5</v>
      </c>
      <c r="BD183" s="87">
        <f t="shared" si="240"/>
        <v>-2.2960523207797244E-5</v>
      </c>
      <c r="BE183" s="87">
        <f t="shared" si="240"/>
        <v>-2.2480961260639194E-5</v>
      </c>
      <c r="BF183" s="87">
        <f t="shared" si="240"/>
        <v>-1.2567486166803577E-5</v>
      </c>
      <c r="BG183" s="87">
        <f t="shared" si="240"/>
        <v>-3.3435921737753195E-5</v>
      </c>
      <c r="BH183" s="87">
        <f t="shared" si="240"/>
        <v>-9.9132947352914247E-6</v>
      </c>
      <c r="BI183" s="87">
        <f t="shared" si="240"/>
        <v>-2.1318449126216118E-5</v>
      </c>
      <c r="BJ183" s="87">
        <f t="shared" si="240"/>
        <v>-5.5970037788545148E-5</v>
      </c>
      <c r="BK183" s="87">
        <f t="shared" si="240"/>
        <v>-2.0786722758241596E-5</v>
      </c>
      <c r="BL183" s="87">
        <f t="shared" si="240"/>
        <v>-4.1817668335077313E-5</v>
      </c>
      <c r="BM183" s="87">
        <f t="shared" si="240"/>
        <v>-6.8447995641382101E-6</v>
      </c>
      <c r="BN183" s="87">
        <f t="shared" si="240"/>
        <v>-4.0052483825543122E-5</v>
      </c>
      <c r="BO183" s="87">
        <f t="shared" si="239"/>
        <v>-9.1174410061313523E-5</v>
      </c>
      <c r="BP183" s="87">
        <f t="shared" si="239"/>
        <v>-2.0814855074942403E-4</v>
      </c>
      <c r="BQ183" s="87">
        <f t="shared" si="239"/>
        <v>-2.3481341579848883E-5</v>
      </c>
      <c r="BR183" s="87">
        <f t="shared" si="239"/>
        <v>-2.5145910389836885E-5</v>
      </c>
      <c r="BS183" s="87">
        <f t="shared" si="239"/>
        <v>-2.5572884833657785E-5</v>
      </c>
      <c r="BU183" s="96">
        <v>519791.79925700242</v>
      </c>
      <c r="BV183" s="98">
        <v>585599.94499031885</v>
      </c>
      <c r="BW183">
        <f t="shared" si="155"/>
        <v>-120.70001497283808</v>
      </c>
      <c r="BX183">
        <f t="shared" si="190"/>
        <v>-29.058139785744785</v>
      </c>
      <c r="BY183">
        <f t="shared" si="191"/>
        <v>-330.67450409678753</v>
      </c>
      <c r="BZ183">
        <f t="shared" si="192"/>
        <v>-66.584010536334475</v>
      </c>
      <c r="CA183">
        <f t="shared" si="193"/>
        <v>-13.919496030465073</v>
      </c>
      <c r="CB183">
        <f t="shared" si="194"/>
        <v>-38.202211863289627</v>
      </c>
      <c r="CC183">
        <f t="shared" si="195"/>
        <v>-169.61197441269971</v>
      </c>
      <c r="CD183">
        <f t="shared" si="196"/>
        <v>-141.88685254174067</v>
      </c>
      <c r="CE183">
        <f t="shared" si="165"/>
        <v>-522.14562769838562</v>
      </c>
      <c r="CF183">
        <f t="shared" si="166"/>
        <v>-161.51339082635249</v>
      </c>
      <c r="CG183">
        <f t="shared" si="167"/>
        <v>-80.916340715851007</v>
      </c>
      <c r="CH183">
        <f t="shared" si="168"/>
        <v>-335.99330117751862</v>
      </c>
      <c r="CI183">
        <f t="shared" si="169"/>
        <v>-328.7476166421539</v>
      </c>
      <c r="CJ183">
        <f t="shared" si="170"/>
        <v>-640.08204883911242</v>
      </c>
      <c r="CK183">
        <f t="shared" si="171"/>
        <v>-583.30565978468644</v>
      </c>
      <c r="CL183">
        <f t="shared" si="172"/>
        <v>-62.895800970544677</v>
      </c>
      <c r="CM183">
        <f t="shared" si="173"/>
        <v>-282.09833290005315</v>
      </c>
      <c r="CN183">
        <f t="shared" si="174"/>
        <v>-455.63710615561865</v>
      </c>
      <c r="CO183">
        <f t="shared" si="175"/>
        <v>-208.29250333664058</v>
      </c>
      <c r="CP183">
        <f t="shared" si="176"/>
        <v>-693.44163085169725</v>
      </c>
      <c r="CQ183">
        <f t="shared" si="177"/>
        <v>-536.45325223944008</v>
      </c>
      <c r="CR183">
        <f t="shared" si="178"/>
        <v>-250.98912909818307</v>
      </c>
      <c r="CS183">
        <f t="shared" si="179"/>
        <v>-353.58959684275152</v>
      </c>
      <c r="CT183">
        <f t="shared" si="180"/>
        <v>-22.026079909811042</v>
      </c>
      <c r="CU183">
        <f t="shared" si="181"/>
        <v>-174.61852799011893</v>
      </c>
      <c r="CV183">
        <f t="shared" si="182"/>
        <v>-311.47722538992247</v>
      </c>
      <c r="CW183">
        <f t="shared" si="183"/>
        <v>-613.03338278203114</v>
      </c>
      <c r="CX183">
        <f t="shared" si="184"/>
        <v>-1156.0196226394742</v>
      </c>
      <c r="CY183">
        <f t="shared" si="185"/>
        <v>-342.91115860640696</v>
      </c>
      <c r="CZ183">
        <f t="shared" si="186"/>
        <v>-4162.4891871310938</v>
      </c>
      <c r="DA183">
        <f t="shared" si="187"/>
        <v>-2396.9539927085361</v>
      </c>
      <c r="DB183">
        <f t="shared" si="188"/>
        <v>226234.2864358722</v>
      </c>
      <c r="DC183">
        <f t="shared" si="156"/>
        <v>-1161.5087005862495</v>
      </c>
      <c r="DD183">
        <f t="shared" si="219"/>
        <v>-656.58104965263078</v>
      </c>
      <c r="DE183">
        <f t="shared" si="220"/>
        <v>0</v>
      </c>
      <c r="DF183">
        <f t="shared" si="221"/>
        <v>-26.541926837391344</v>
      </c>
      <c r="DG183">
        <f t="shared" si="222"/>
        <v>-19.703737865238505</v>
      </c>
      <c r="DH183">
        <f t="shared" si="223"/>
        <v>-30.023878742520537</v>
      </c>
      <c r="DI183">
        <f t="shared" si="224"/>
        <v>-15.34808473657074</v>
      </c>
      <c r="DJ183">
        <f t="shared" si="225"/>
        <v>-2.4944219457181589</v>
      </c>
      <c r="DK183">
        <f t="shared" si="226"/>
        <v>-2.4193200725732389</v>
      </c>
      <c r="DL183">
        <f t="shared" si="227"/>
        <v>-12.41368585911416</v>
      </c>
      <c r="DM183">
        <f t="shared" si="157"/>
        <v>-10.884963279546099</v>
      </c>
      <c r="DN183">
        <f t="shared" si="211"/>
        <v>-51.652080135736405</v>
      </c>
      <c r="DO183">
        <f t="shared" si="212"/>
        <v>-11.225067311907225</v>
      </c>
      <c r="DP183">
        <f t="shared" si="213"/>
        <v>-11.801094232577979</v>
      </c>
      <c r="DQ183">
        <f t="shared" si="214"/>
        <v>-42.693378744959325</v>
      </c>
      <c r="DR183">
        <f t="shared" si="215"/>
        <v>-48.629425045231919</v>
      </c>
      <c r="DS183">
        <f t="shared" si="216"/>
        <v>-165.09029565800154</v>
      </c>
      <c r="DT183">
        <f t="shared" si="217"/>
        <v>-55.776459849723423</v>
      </c>
      <c r="DU183">
        <f t="shared" si="218"/>
        <v>-6.0891745790917886</v>
      </c>
      <c r="DV183">
        <f t="shared" si="199"/>
        <v>-24.537513211142709</v>
      </c>
      <c r="DW183">
        <f t="shared" si="200"/>
        <v>-58.896797435353264</v>
      </c>
      <c r="DX183">
        <f t="shared" si="201"/>
        <v>-12.050624733310414</v>
      </c>
      <c r="DY183">
        <f t="shared" si="202"/>
        <v>-43.971516274491286</v>
      </c>
      <c r="DZ183">
        <f t="shared" si="203"/>
        <v>-32.026350752594546</v>
      </c>
      <c r="EA183">
        <f t="shared" si="204"/>
        <v>-11.232911657033387</v>
      </c>
      <c r="EB183">
        <f t="shared" si="205"/>
        <v>-29.191067894814022</v>
      </c>
      <c r="EC183">
        <f t="shared" si="206"/>
        <v>-1.7117085817507929</v>
      </c>
      <c r="ED183">
        <f t="shared" si="207"/>
        <v>-3.374190625183215</v>
      </c>
      <c r="EE183">
        <f t="shared" si="208"/>
        <v>-19.0236324401987</v>
      </c>
      <c r="EF183">
        <f t="shared" si="209"/>
        <v>-22.161928145330087</v>
      </c>
      <c r="EG183">
        <f t="shared" si="158"/>
        <v>-100.39034893475372</v>
      </c>
      <c r="EH183">
        <f t="shared" si="228"/>
        <v>-14.019293188673684</v>
      </c>
      <c r="EI183">
        <f t="shared" si="229"/>
        <v>-104.42837173212656</v>
      </c>
      <c r="EJ183">
        <f t="shared" si="230"/>
        <v>-202.74100172522046</v>
      </c>
      <c r="EK183">
        <f t="shared" si="231"/>
        <v>-119.10394163657945</v>
      </c>
      <c r="EL183">
        <f t="shared" si="232"/>
        <v>-31.267872107680709</v>
      </c>
      <c r="EM183">
        <f t="shared" si="159"/>
        <v>-26.546744613210336</v>
      </c>
      <c r="EN183">
        <f t="shared" si="152"/>
        <v>-0.35197914078760495</v>
      </c>
      <c r="EO183">
        <v>32</v>
      </c>
      <c r="EP183">
        <f t="shared" si="153"/>
        <v>207460.114176431</v>
      </c>
      <c r="EQ183" s="98">
        <f t="shared" si="160"/>
        <v>519791.79925700242</v>
      </c>
      <c r="ES183" s="99">
        <f t="shared" si="161"/>
        <v>0.60087843926553419</v>
      </c>
      <c r="ET183">
        <v>31</v>
      </c>
      <c r="EU183">
        <v>916942.21443623491</v>
      </c>
      <c r="EV183">
        <v>31</v>
      </c>
      <c r="EW183" s="98">
        <v>916942.21443623491</v>
      </c>
    </row>
    <row r="184" spans="1:153" x14ac:dyDescent="0.35">
      <c r="A184" s="39">
        <v>33</v>
      </c>
      <c r="B184" s="87">
        <f t="shared" si="154"/>
        <v>-3.9966829234732108E-3</v>
      </c>
      <c r="C184" s="87">
        <f t="shared" si="240"/>
        <v>-6.8514810135433975E-4</v>
      </c>
      <c r="D184" s="87">
        <f t="shared" si="240"/>
        <v>-7.3234495505132005E-4</v>
      </c>
      <c r="E184" s="87">
        <f t="shared" si="240"/>
        <v>-5.7242334939569344E-4</v>
      </c>
      <c r="F184" s="87">
        <f t="shared" si="240"/>
        <v>-5.0350573390622541E-4</v>
      </c>
      <c r="G184" s="87">
        <f t="shared" si="240"/>
        <v>-3.644317139068526E-4</v>
      </c>
      <c r="H184" s="87">
        <f t="shared" si="240"/>
        <v>-5.4026858150946883E-4</v>
      </c>
      <c r="I184" s="87">
        <f t="shared" si="240"/>
        <v>-4.6151503502706107E-4</v>
      </c>
      <c r="J184" s="87">
        <f t="shared" si="240"/>
        <v>-7.7569346598041359E-4</v>
      </c>
      <c r="K184" s="87">
        <f t="shared" si="240"/>
        <v>-5.9030907633195239E-4</v>
      </c>
      <c r="L184" s="87">
        <f t="shared" si="240"/>
        <v>-4.0740258126546752E-4</v>
      </c>
      <c r="M184" s="87">
        <f t="shared" si="240"/>
        <v>-3.199298339771072E-4</v>
      </c>
      <c r="N184" s="87">
        <f t="shared" si="240"/>
        <v>-4.5877961614539125E-4</v>
      </c>
      <c r="O184" s="87">
        <f t="shared" si="240"/>
        <v>-4.1035412129149977E-4</v>
      </c>
      <c r="P184" s="87">
        <f t="shared" si="240"/>
        <v>-4.7583655727124265E-4</v>
      </c>
      <c r="Q184" s="87">
        <f t="shared" si="240"/>
        <v>-6.0457914522190508E-4</v>
      </c>
      <c r="R184" s="87">
        <f t="shared" si="240"/>
        <v>-4.9235969920600185E-4</v>
      </c>
      <c r="S184" s="87">
        <f t="shared" si="240"/>
        <v>-4.3583098712701273E-4</v>
      </c>
      <c r="T184" s="87">
        <f t="shared" si="240"/>
        <v>-8.1502498495404033E-4</v>
      </c>
      <c r="U184" s="87">
        <f t="shared" si="240"/>
        <v>-7.710062336976325E-4</v>
      </c>
      <c r="V184" s="87">
        <f t="shared" si="240"/>
        <v>-8.1601002091335746E-4</v>
      </c>
      <c r="W184" s="87">
        <f t="shared" si="240"/>
        <v>-1.1315878381052934E-3</v>
      </c>
      <c r="X184" s="87">
        <f t="shared" si="240"/>
        <v>-5.4024777170804034E-4</v>
      </c>
      <c r="Y184" s="87">
        <f t="shared" si="240"/>
        <v>-3.6684880469886843E-4</v>
      </c>
      <c r="Z184" s="87">
        <f t="shared" si="240"/>
        <v>-5.1991608102292257E-4</v>
      </c>
      <c r="AA184" s="87">
        <f t="shared" si="240"/>
        <v>-4.9715812710312212E-4</v>
      </c>
      <c r="AB184" s="87">
        <f t="shared" si="240"/>
        <v>-8.6805708012569285E-4</v>
      </c>
      <c r="AC184" s="87">
        <f t="shared" si="240"/>
        <v>-1.2042925015435908E-3</v>
      </c>
      <c r="AD184" s="87">
        <f t="shared" si="240"/>
        <v>-1.2546111511061497E-4</v>
      </c>
      <c r="AE184" s="87">
        <f t="shared" si="240"/>
        <v>-8.3324698974980018E-4</v>
      </c>
      <c r="AF184" s="87">
        <f t="shared" si="240"/>
        <v>-1.8847123369774947E-3</v>
      </c>
      <c r="AG184" s="87">
        <f t="shared" si="240"/>
        <v>-1.3046159116430133E-3</v>
      </c>
      <c r="AH184" s="87">
        <f t="shared" si="240"/>
        <v>0.93247676015589143</v>
      </c>
      <c r="AI184" s="87">
        <f t="shared" si="240"/>
        <v>-2.0537907414939459E-3</v>
      </c>
      <c r="AJ184" s="87">
        <f t="shared" si="240"/>
        <v>0</v>
      </c>
      <c r="AK184" s="87">
        <f t="shared" si="240"/>
        <v>-2.8036346251193633E-6</v>
      </c>
      <c r="AL184" s="87">
        <f t="shared" si="240"/>
        <v>-2.3694024328508459E-6</v>
      </c>
      <c r="AM184" s="87">
        <f t="shared" si="240"/>
        <v>-2.8905334767052629E-6</v>
      </c>
      <c r="AN184" s="87">
        <f t="shared" si="240"/>
        <v>-5.392093773019346E-6</v>
      </c>
      <c r="AO184" s="87">
        <f t="shared" si="240"/>
        <v>-3.972122404143141E-6</v>
      </c>
      <c r="AP184" s="87">
        <f t="shared" si="240"/>
        <v>-3.1357838420305416E-6</v>
      </c>
      <c r="AQ184" s="87">
        <f t="shared" si="240"/>
        <v>-4.6975772223889739E-6</v>
      </c>
      <c r="AR184" s="87">
        <f t="shared" si="240"/>
        <v>-1.7927138003307895E-6</v>
      </c>
      <c r="AS184" s="87">
        <f t="shared" si="240"/>
        <v>-8.8591894833608622E-6</v>
      </c>
      <c r="AT184" s="87">
        <f t="shared" si="240"/>
        <v>-5.2787971807640641E-6</v>
      </c>
      <c r="AU184" s="87">
        <f t="shared" si="240"/>
        <v>-5.2206865689013009E-6</v>
      </c>
      <c r="AV184" s="87">
        <f t="shared" si="240"/>
        <v>-3.2572323109068797E-6</v>
      </c>
      <c r="AW184" s="87">
        <f t="shared" si="240"/>
        <v>-7.2209477807352694E-6</v>
      </c>
      <c r="AX184" s="87">
        <f t="shared" si="240"/>
        <v>-9.5196609644383429E-6</v>
      </c>
      <c r="AY184" s="87">
        <f t="shared" si="240"/>
        <v>-6.5174187248653291E-6</v>
      </c>
      <c r="AZ184" s="87">
        <f t="shared" si="240"/>
        <v>-4.6532807708791883E-6</v>
      </c>
      <c r="BA184" s="87">
        <f t="shared" si="240"/>
        <v>-7.2467279976849509E-6</v>
      </c>
      <c r="BB184" s="87">
        <f t="shared" si="240"/>
        <v>-3.2832468770105348E-6</v>
      </c>
      <c r="BC184" s="87">
        <f t="shared" si="240"/>
        <v>-4.9204708559454527E-6</v>
      </c>
      <c r="BD184" s="87">
        <f t="shared" si="240"/>
        <v>-3.0404092736883712E-6</v>
      </c>
      <c r="BE184" s="87">
        <f t="shared" si="240"/>
        <v>-2.6008513633125435E-6</v>
      </c>
      <c r="BF184" s="87">
        <f t="shared" si="240"/>
        <v>-2.0226993318131096E-6</v>
      </c>
      <c r="BG184" s="87">
        <f t="shared" si="240"/>
        <v>-2.7113036290346425E-6</v>
      </c>
      <c r="BH184" s="87">
        <f t="shared" si="240"/>
        <v>-4.9482521364841671E-6</v>
      </c>
      <c r="BI184" s="87">
        <f t="shared" si="240"/>
        <v>-5.2279631726178661E-6</v>
      </c>
      <c r="BJ184" s="87">
        <f t="shared" si="240"/>
        <v>-9.4228266664196546E-6</v>
      </c>
      <c r="BK184" s="87">
        <f t="shared" si="240"/>
        <v>-5.2409871283894431E-6</v>
      </c>
      <c r="BL184" s="87">
        <f t="shared" si="240"/>
        <v>-3.3837659421036519E-6</v>
      </c>
      <c r="BM184" s="87">
        <f t="shared" si="240"/>
        <v>-1.270588001151388E-6</v>
      </c>
      <c r="BN184" s="87">
        <f t="shared" si="240"/>
        <v>-4.4873415687615997E-6</v>
      </c>
      <c r="BO184" s="87">
        <f t="shared" si="239"/>
        <v>-2.7957692938656664E-5</v>
      </c>
      <c r="BP184" s="87">
        <f t="shared" si="239"/>
        <v>-1.4484466528471788E-5</v>
      </c>
      <c r="BQ184" s="87">
        <f t="shared" si="239"/>
        <v>-2.8771010657618362E-5</v>
      </c>
      <c r="BR184" s="87">
        <f t="shared" si="239"/>
        <v>-7.2648940895270956E-6</v>
      </c>
      <c r="BS184" s="87">
        <f t="shared" si="239"/>
        <v>-9.1443064228179628E-7</v>
      </c>
      <c r="BU184" s="96">
        <v>1084145.7748608061</v>
      </c>
      <c r="BV184" s="98">
        <v>1182649.5557553929</v>
      </c>
      <c r="BW184">
        <f t="shared" si="155"/>
        <v>-929.91815118792272</v>
      </c>
      <c r="BX184">
        <f t="shared" si="190"/>
        <v>-23.870365694647973</v>
      </c>
      <c r="BY184">
        <f t="shared" si="191"/>
        <v>-271.76886527644928</v>
      </c>
      <c r="BZ184">
        <f t="shared" si="192"/>
        <v>-43.607082840612641</v>
      </c>
      <c r="CA184">
        <f t="shared" si="193"/>
        <v>-7.5583239742264965</v>
      </c>
      <c r="CB184">
        <f t="shared" si="194"/>
        <v>-18.786883471292015</v>
      </c>
      <c r="CC184">
        <f t="shared" si="195"/>
        <v>-96.042806243997589</v>
      </c>
      <c r="CD184">
        <f t="shared" si="196"/>
        <v>-59.193483295545057</v>
      </c>
      <c r="CE184">
        <f t="shared" si="165"/>
        <v>-216.3002585561953</v>
      </c>
      <c r="CF184">
        <f t="shared" si="166"/>
        <v>-70.419429566453061</v>
      </c>
      <c r="CG184">
        <f t="shared" si="167"/>
        <v>-34.128131472546613</v>
      </c>
      <c r="CH184">
        <f t="shared" si="168"/>
        <v>-96.008406945830117</v>
      </c>
      <c r="CI184">
        <f t="shared" si="169"/>
        <v>-109.65030349931237</v>
      </c>
      <c r="CJ184">
        <f t="shared" si="170"/>
        <v>-153.27076950749381</v>
      </c>
      <c r="CK184">
        <f t="shared" si="171"/>
        <v>-159.78837189551828</v>
      </c>
      <c r="CL184">
        <f t="shared" si="172"/>
        <v>-47.535242736355301</v>
      </c>
      <c r="CM184">
        <f t="shared" si="173"/>
        <v>-120.02815836903697</v>
      </c>
      <c r="CN184">
        <f t="shared" si="174"/>
        <v>-239.21087027049532</v>
      </c>
      <c r="CO184">
        <f t="shared" si="175"/>
        <v>-117.20624800297212</v>
      </c>
      <c r="CP184">
        <f t="shared" si="176"/>
        <v>-358.67599121335564</v>
      </c>
      <c r="CQ184">
        <f t="shared" si="177"/>
        <v>-279.35320447492091</v>
      </c>
      <c r="CR184">
        <f t="shared" si="178"/>
        <v>-245.4157459049909</v>
      </c>
      <c r="CS184">
        <f t="shared" si="179"/>
        <v>-109.26912455906621</v>
      </c>
      <c r="CT184">
        <f t="shared" si="180"/>
        <v>-16.59416625556673</v>
      </c>
      <c r="CU184">
        <f t="shared" si="181"/>
        <v>-24.211117853504714</v>
      </c>
      <c r="CV184">
        <f t="shared" si="182"/>
        <v>-86.922032229836788</v>
      </c>
      <c r="CW184">
        <f t="shared" si="183"/>
        <v>-243.75000679553742</v>
      </c>
      <c r="CX184">
        <f t="shared" si="184"/>
        <v>-644.32484501931469</v>
      </c>
      <c r="CY184">
        <f t="shared" si="185"/>
        <v>-70.206446012535736</v>
      </c>
      <c r="CZ184">
        <f t="shared" si="186"/>
        <v>-745.78636940959007</v>
      </c>
      <c r="DA184">
        <f t="shared" si="187"/>
        <v>-747.62479879510261</v>
      </c>
      <c r="DB184">
        <f t="shared" si="188"/>
        <v>-305.59320243665735</v>
      </c>
      <c r="DC184">
        <f t="shared" si="156"/>
        <v>441117.29046023724</v>
      </c>
      <c r="DD184">
        <f t="shared" si="219"/>
        <v>-591.0449758274591</v>
      </c>
      <c r="DE184">
        <f t="shared" si="220"/>
        <v>0</v>
      </c>
      <c r="DF184">
        <f t="shared" si="221"/>
        <v>-3.6063433972963495</v>
      </c>
      <c r="DG184">
        <f t="shared" si="222"/>
        <v>-2.1162175403687917</v>
      </c>
      <c r="DH184">
        <f t="shared" si="223"/>
        <v>-4.6929210702173547</v>
      </c>
      <c r="DI184">
        <f t="shared" si="224"/>
        <v>-3.8975761856379876</v>
      </c>
      <c r="DJ184">
        <f t="shared" si="225"/>
        <v>-0.42869628047787162</v>
      </c>
      <c r="DK184">
        <f t="shared" si="226"/>
        <v>-0.75980612640765433</v>
      </c>
      <c r="DL184">
        <f t="shared" si="227"/>
        <v>-3.0971736320981549</v>
      </c>
      <c r="DM184">
        <f t="shared" si="157"/>
        <v>-0.94033762732913728</v>
      </c>
      <c r="DN184">
        <f t="shared" si="211"/>
        <v>-9.5267236880024004</v>
      </c>
      <c r="DO184">
        <f t="shared" si="212"/>
        <v>-2.6976170677217564</v>
      </c>
      <c r="DP184">
        <f t="shared" si="213"/>
        <v>-2.1277408946580394</v>
      </c>
      <c r="DQ184">
        <f t="shared" si="214"/>
        <v>-5.1127150762934583</v>
      </c>
      <c r="DR184">
        <f t="shared" si="215"/>
        <v>-6.9129530709751021</v>
      </c>
      <c r="DS184">
        <f t="shared" si="216"/>
        <v>-29.350297860152551</v>
      </c>
      <c r="DT184">
        <f t="shared" si="217"/>
        <v>-9.2830572632140171</v>
      </c>
      <c r="DU184">
        <f t="shared" si="218"/>
        <v>-1.3328485539606518</v>
      </c>
      <c r="DV184">
        <f t="shared" si="199"/>
        <v>-5.950292008467378</v>
      </c>
      <c r="DW184">
        <f t="shared" si="200"/>
        <v>-7.5486333846156928</v>
      </c>
      <c r="DX184">
        <f t="shared" si="201"/>
        <v>-1.4417694302165733</v>
      </c>
      <c r="DY184">
        <f t="shared" si="202"/>
        <v>-5.8226637367610907</v>
      </c>
      <c r="DZ184">
        <f t="shared" si="203"/>
        <v>-3.705169767924902</v>
      </c>
      <c r="EA184">
        <f t="shared" si="204"/>
        <v>-1.8079035537761765</v>
      </c>
      <c r="EB184">
        <f t="shared" si="205"/>
        <v>-2.3670903688364802</v>
      </c>
      <c r="EC184">
        <f t="shared" si="206"/>
        <v>-0.85440470326515017</v>
      </c>
      <c r="ED184">
        <f t="shared" si="207"/>
        <v>-0.82745908116540878</v>
      </c>
      <c r="EE184">
        <f t="shared" si="208"/>
        <v>-3.202720565008391</v>
      </c>
      <c r="EF184">
        <f t="shared" si="209"/>
        <v>-5.5877196949632175</v>
      </c>
      <c r="EG184">
        <f t="shared" si="158"/>
        <v>-8.1232994847868589</v>
      </c>
      <c r="EH184">
        <f t="shared" si="228"/>
        <v>-2.6023765258924518</v>
      </c>
      <c r="EI184">
        <f t="shared" si="229"/>
        <v>-11.699793088308073</v>
      </c>
      <c r="EJ184">
        <f t="shared" si="230"/>
        <v>-62.168438145062943</v>
      </c>
      <c r="EK184">
        <f t="shared" si="231"/>
        <v>-8.2881050568586101</v>
      </c>
      <c r="EL184">
        <f t="shared" si="232"/>
        <v>-38.311621957032969</v>
      </c>
      <c r="EM184">
        <f t="shared" si="159"/>
        <v>-7.6696084988294624</v>
      </c>
      <c r="EN184">
        <f t="shared" si="152"/>
        <v>-1.258600716633218E-2</v>
      </c>
      <c r="EO184">
        <v>33</v>
      </c>
      <c r="EP184">
        <f t="shared" si="153"/>
        <v>433570.35160024918</v>
      </c>
      <c r="EQ184" s="98">
        <f t="shared" si="160"/>
        <v>1084145.7748608061</v>
      </c>
      <c r="ES184" s="99">
        <f t="shared" si="161"/>
        <v>0.60008113147338005</v>
      </c>
      <c r="ET184">
        <v>18</v>
      </c>
      <c r="EU184">
        <v>935642.41116434103</v>
      </c>
      <c r="EV184">
        <v>18</v>
      </c>
      <c r="EW184" s="98">
        <v>935642.41116434103</v>
      </c>
    </row>
    <row r="185" spans="1:153" x14ac:dyDescent="0.35">
      <c r="A185" s="39">
        <v>34</v>
      </c>
      <c r="B185" s="87">
        <f t="shared" si="154"/>
        <v>-2.9303271159272478E-3</v>
      </c>
      <c r="C185" s="87">
        <f t="shared" si="240"/>
        <v>-7.3299653695264389E-3</v>
      </c>
      <c r="D185" s="87">
        <f t="shared" si="240"/>
        <v>-5.9505285723454532E-3</v>
      </c>
      <c r="E185" s="87">
        <f t="shared" si="240"/>
        <v>-6.1779156628607133E-3</v>
      </c>
      <c r="F185" s="87">
        <f t="shared" si="240"/>
        <v>-7.0636730420849236E-3</v>
      </c>
      <c r="G185" s="87">
        <f t="shared" si="240"/>
        <v>-4.8177757924816071E-3</v>
      </c>
      <c r="H185" s="87">
        <f t="shared" si="240"/>
        <v>-2.1158531998839242E-2</v>
      </c>
      <c r="I185" s="87">
        <f t="shared" si="240"/>
        <v>-4.7959980787308292E-3</v>
      </c>
      <c r="J185" s="87">
        <f t="shared" si="240"/>
        <v>-8.6571665572578744E-3</v>
      </c>
      <c r="K185" s="87">
        <f t="shared" si="240"/>
        <v>-4.3205335648067158E-3</v>
      </c>
      <c r="L185" s="87">
        <f t="shared" si="240"/>
        <v>-5.3877060582238024E-3</v>
      </c>
      <c r="M185" s="87">
        <f t="shared" si="240"/>
        <v>-5.2396153042180279E-3</v>
      </c>
      <c r="N185" s="87">
        <f t="shared" si="240"/>
        <v>-3.6427322328320693E-3</v>
      </c>
      <c r="O185" s="87">
        <f t="shared" si="240"/>
        <v>-3.1015778361577007E-3</v>
      </c>
      <c r="P185" s="87">
        <f t="shared" si="240"/>
        <v>-4.2957708654982026E-3</v>
      </c>
      <c r="Q185" s="87">
        <f t="shared" si="240"/>
        <v>-6.2137728913433735E-3</v>
      </c>
      <c r="R185" s="87">
        <f t="shared" si="240"/>
        <v>-6.3334931589371195E-3</v>
      </c>
      <c r="S185" s="87">
        <f t="shared" si="240"/>
        <v>-3.8604728729785993E-3</v>
      </c>
      <c r="T185" s="87">
        <f t="shared" si="240"/>
        <v>-7.3386937810401322E-3</v>
      </c>
      <c r="U185" s="87">
        <f t="shared" si="240"/>
        <v>-6.4765117974440239E-3</v>
      </c>
      <c r="V185" s="87">
        <f t="shared" si="240"/>
        <v>-1.240221871397218E-2</v>
      </c>
      <c r="W185" s="87">
        <f t="shared" si="240"/>
        <v>-1.20627072315554E-2</v>
      </c>
      <c r="X185" s="87">
        <f t="shared" si="240"/>
        <v>-4.5612900733646667E-3</v>
      </c>
      <c r="Y185" s="87">
        <f t="shared" si="240"/>
        <v>-2.4457298879014587E-3</v>
      </c>
      <c r="Z185" s="87">
        <f t="shared" si="240"/>
        <v>-3.8632130030975815E-3</v>
      </c>
      <c r="AA185" s="87">
        <f t="shared" si="240"/>
        <v>-8.5968179009464803E-3</v>
      </c>
      <c r="AB185" s="87">
        <f t="shared" si="240"/>
        <v>-6.4153134031346409E-3</v>
      </c>
      <c r="AC185" s="87">
        <f t="shared" si="240"/>
        <v>-5.0955374746884299E-3</v>
      </c>
      <c r="AD185" s="87">
        <f t="shared" si="240"/>
        <v>-5.4389224431593717E-3</v>
      </c>
      <c r="AE185" s="87">
        <f t="shared" si="240"/>
        <v>-1.6919606793646055E-2</v>
      </c>
      <c r="AF185" s="87">
        <f t="shared" si="240"/>
        <v>-1.8033739366887749E-2</v>
      </c>
      <c r="AG185" s="87">
        <f t="shared" si="240"/>
        <v>-5.6324095582063281E-3</v>
      </c>
      <c r="AH185" s="87">
        <f t="shared" si="240"/>
        <v>-1.140717404301652E-2</v>
      </c>
      <c r="AI185" s="87">
        <f t="shared" si="240"/>
        <v>0.8862715258109386</v>
      </c>
      <c r="AJ185" s="87">
        <f t="shared" si="240"/>
        <v>0</v>
      </c>
      <c r="AK185" s="87">
        <f t="shared" si="240"/>
        <v>-1.7858142324320366E-5</v>
      </c>
      <c r="AL185" s="87">
        <f t="shared" si="240"/>
        <v>-3.7810967381497924E-5</v>
      </c>
      <c r="AM185" s="87">
        <f t="shared" si="240"/>
        <v>-3.6671061018127944E-5</v>
      </c>
      <c r="AN185" s="87">
        <f t="shared" si="240"/>
        <v>-4.4492518600905763E-5</v>
      </c>
      <c r="AO185" s="87">
        <f t="shared" si="240"/>
        <v>-4.722648704210593E-5</v>
      </c>
      <c r="AP185" s="87">
        <f t="shared" si="240"/>
        <v>-4.2847778338681502E-5</v>
      </c>
      <c r="AQ185" s="87">
        <f t="shared" si="240"/>
        <v>-8.5890875480535594E-5</v>
      </c>
      <c r="AR185" s="87">
        <f t="shared" si="240"/>
        <v>-1.0321189985186522E-5</v>
      </c>
      <c r="AS185" s="87">
        <f t="shared" si="240"/>
        <v>-5.4493300911045255E-5</v>
      </c>
      <c r="AT185" s="87">
        <f t="shared" si="240"/>
        <v>-3.6466600535860934E-5</v>
      </c>
      <c r="AU185" s="87">
        <f t="shared" si="240"/>
        <v>-5.1090302077472561E-5</v>
      </c>
      <c r="AV185" s="87">
        <f t="shared" si="240"/>
        <v>-2.9323311718976746E-5</v>
      </c>
      <c r="AW185" s="87">
        <f t="shared" si="240"/>
        <v>-3.7184852919991946E-5</v>
      </c>
      <c r="AX185" s="87">
        <f t="shared" si="240"/>
        <v>-2.6331933000784476E-5</v>
      </c>
      <c r="AY185" s="87">
        <f t="shared" si="240"/>
        <v>-3.5206683468586985E-5</v>
      </c>
      <c r="AZ185" s="87">
        <f t="shared" si="240"/>
        <v>-4.5083098149579483E-5</v>
      </c>
      <c r="BA185" s="87">
        <f t="shared" si="240"/>
        <v>-3.4652406917596352E-5</v>
      </c>
      <c r="BB185" s="87">
        <f t="shared" si="240"/>
        <v>-3.7424824892033341E-5</v>
      </c>
      <c r="BC185" s="87">
        <f t="shared" si="240"/>
        <v>-2.8771533894603924E-5</v>
      </c>
      <c r="BD185" s="87">
        <f t="shared" si="240"/>
        <v>-6.9856910332735439E-5</v>
      </c>
      <c r="BE185" s="87">
        <f t="shared" si="240"/>
        <v>-6.7706918916986847E-5</v>
      </c>
      <c r="BF185" s="87">
        <f t="shared" si="240"/>
        <v>-8.0343111015137593E-5</v>
      </c>
      <c r="BG185" s="87">
        <f t="shared" si="240"/>
        <v>-1.5481386626828219E-4</v>
      </c>
      <c r="BH185" s="87">
        <f t="shared" si="240"/>
        <v>-3.8134697389705708E-5</v>
      </c>
      <c r="BI185" s="87">
        <f t="shared" si="240"/>
        <v>-7.2835004365227285E-5</v>
      </c>
      <c r="BJ185" s="87">
        <f t="shared" si="240"/>
        <v>-8.407868804900982E-5</v>
      </c>
      <c r="BK185" s="87">
        <f t="shared" si="240"/>
        <v>-1.1797560278484409E-4</v>
      </c>
      <c r="BL185" s="87">
        <f t="shared" si="240"/>
        <v>-1.0258995906917197E-4</v>
      </c>
      <c r="BM185" s="87">
        <f t="shared" si="240"/>
        <v>-4.4995992799894431E-5</v>
      </c>
      <c r="BN185" s="87">
        <f t="shared" ref="BN185:BS188" si="241">BN112-BN35</f>
        <v>-1.2733168380880583E-4</v>
      </c>
      <c r="BO185" s="87">
        <f t="shared" si="241"/>
        <v>-9.2087618657112885E-5</v>
      </c>
      <c r="BP185" s="87">
        <f t="shared" si="241"/>
        <v>-9.0782237653022491E-5</v>
      </c>
      <c r="BQ185" s="87">
        <f t="shared" si="241"/>
        <v>-6.1783144190076194E-5</v>
      </c>
      <c r="BR185" s="87">
        <f t="shared" si="241"/>
        <v>-5.0062226149044545E-4</v>
      </c>
      <c r="BS185" s="87">
        <f t="shared" si="241"/>
        <v>-1.9138132646636048E-5</v>
      </c>
      <c r="BU185" s="96">
        <v>455048.79857544799</v>
      </c>
      <c r="BV185" s="98">
        <v>719456.17911093473</v>
      </c>
      <c r="BW185">
        <f t="shared" si="155"/>
        <v>-681.80649458447567</v>
      </c>
      <c r="BX185">
        <f t="shared" si="190"/>
        <v>-255.37391631654313</v>
      </c>
      <c r="BY185">
        <f t="shared" si="191"/>
        <v>-2208.2058280692168</v>
      </c>
      <c r="BZ185">
        <f t="shared" si="192"/>
        <v>-470.63223465131466</v>
      </c>
      <c r="CA185">
        <f t="shared" si="193"/>
        <v>-106.03559344972886</v>
      </c>
      <c r="CB185">
        <f t="shared" si="194"/>
        <v>-248.36200843732763</v>
      </c>
      <c r="CC185">
        <f t="shared" si="195"/>
        <v>-3761.3232727587824</v>
      </c>
      <c r="CD185">
        <f t="shared" si="196"/>
        <v>-615.13019211210201</v>
      </c>
      <c r="CE185">
        <f t="shared" si="165"/>
        <v>-2414.0300863978241</v>
      </c>
      <c r="CF185">
        <f t="shared" si="166"/>
        <v>-515.40713374583493</v>
      </c>
      <c r="CG185">
        <f t="shared" si="167"/>
        <v>-451.32836448742279</v>
      </c>
      <c r="CH185">
        <f t="shared" si="168"/>
        <v>-1572.3670159593801</v>
      </c>
      <c r="CI185">
        <f t="shared" si="169"/>
        <v>-870.62868715200807</v>
      </c>
      <c r="CJ185">
        <f t="shared" si="170"/>
        <v>-1158.4658151820677</v>
      </c>
      <c r="CK185">
        <f t="shared" si="171"/>
        <v>-1442.5420286547683</v>
      </c>
      <c r="CL185">
        <f t="shared" si="172"/>
        <v>-488.56002565251833</v>
      </c>
      <c r="CM185">
        <f t="shared" si="173"/>
        <v>-1543.9881069389726</v>
      </c>
      <c r="CN185">
        <f t="shared" si="174"/>
        <v>-2118.8651171600318</v>
      </c>
      <c r="CO185">
        <f t="shared" si="175"/>
        <v>-1055.3550862823704</v>
      </c>
      <c r="CP185">
        <f t="shared" si="176"/>
        <v>-3012.9059753675501</v>
      </c>
      <c r="CQ185">
        <f t="shared" si="177"/>
        <v>-4245.78062959208</v>
      </c>
      <c r="CR185">
        <f t="shared" si="178"/>
        <v>-2616.1277040786254</v>
      </c>
      <c r="CS185">
        <f t="shared" si="179"/>
        <v>-922.55479666441795</v>
      </c>
      <c r="CT185">
        <f t="shared" si="180"/>
        <v>-110.63099526618296</v>
      </c>
      <c r="CU185">
        <f t="shared" si="181"/>
        <v>-179.89961981395928</v>
      </c>
      <c r="CV185">
        <f t="shared" si="182"/>
        <v>-1503.048712115512</v>
      </c>
      <c r="CW185">
        <f t="shared" si="183"/>
        <v>-1801.4168899850984</v>
      </c>
      <c r="CX185">
        <f t="shared" si="184"/>
        <v>-2726.2325302702998</v>
      </c>
      <c r="CY185">
        <f t="shared" si="185"/>
        <v>-3043.5518968197835</v>
      </c>
      <c r="CZ185">
        <f t="shared" si="186"/>
        <v>-15143.663616786744</v>
      </c>
      <c r="DA185">
        <f t="shared" si="187"/>
        <v>-7153.596069368632</v>
      </c>
      <c r="DB185">
        <f t="shared" si="188"/>
        <v>-1319.3354909794289</v>
      </c>
      <c r="DC185">
        <f t="shared" si="156"/>
        <v>-5396.2757257591747</v>
      </c>
      <c r="DD185">
        <f t="shared" si="219"/>
        <v>255053.41024590243</v>
      </c>
      <c r="DE185">
        <f t="shared" si="220"/>
        <v>0</v>
      </c>
      <c r="DF185">
        <f t="shared" si="221"/>
        <v>-22.971107961883348</v>
      </c>
      <c r="DG185">
        <f t="shared" si="222"/>
        <v>-33.770638234199531</v>
      </c>
      <c r="DH185">
        <f t="shared" si="223"/>
        <v>-59.537243317229624</v>
      </c>
      <c r="DI185">
        <f t="shared" si="224"/>
        <v>-32.160601843695595</v>
      </c>
      <c r="DJ185">
        <f t="shared" si="225"/>
        <v>-5.0969777048838463</v>
      </c>
      <c r="DK185">
        <f t="shared" si="226"/>
        <v>-10.382094597313225</v>
      </c>
      <c r="DL185">
        <f t="shared" si="227"/>
        <v>-56.628968973256313</v>
      </c>
      <c r="DM185">
        <f t="shared" si="157"/>
        <v>-5.4138052042064482</v>
      </c>
      <c r="DN185">
        <f t="shared" si="211"/>
        <v>-58.599335932676468</v>
      </c>
      <c r="DO185">
        <f t="shared" si="212"/>
        <v>-18.635480894359937</v>
      </c>
      <c r="DP185">
        <f t="shared" si="213"/>
        <v>-20.822342735190947</v>
      </c>
      <c r="DQ185">
        <f t="shared" si="214"/>
        <v>-46.027339655955885</v>
      </c>
      <c r="DR185">
        <f t="shared" si="215"/>
        <v>-35.598809324285277</v>
      </c>
      <c r="DS185">
        <f t="shared" si="216"/>
        <v>-81.184621983247581</v>
      </c>
      <c r="DT185">
        <f t="shared" si="217"/>
        <v>-50.146487817306316</v>
      </c>
      <c r="DU185">
        <f t="shared" si="218"/>
        <v>-12.913242319865427</v>
      </c>
      <c r="DV185">
        <f t="shared" si="199"/>
        <v>-28.453108771545391</v>
      </c>
      <c r="DW185">
        <f t="shared" si="200"/>
        <v>-86.044788337886786</v>
      </c>
      <c r="DX185">
        <f t="shared" si="201"/>
        <v>-8.4304773352243156</v>
      </c>
      <c r="DY185">
        <f t="shared" si="202"/>
        <v>-133.78241609661669</v>
      </c>
      <c r="DZ185">
        <f t="shared" si="203"/>
        <v>-96.455196398094159</v>
      </c>
      <c r="EA185">
        <f t="shared" si="204"/>
        <v>-71.811264106909761</v>
      </c>
      <c r="EB185">
        <f t="shared" si="205"/>
        <v>-135.15948855070386</v>
      </c>
      <c r="EC185">
        <f t="shared" si="206"/>
        <v>-6.5846411841309891</v>
      </c>
      <c r="ED185">
        <f t="shared" si="207"/>
        <v>-11.528005037294617</v>
      </c>
      <c r="EE185">
        <f t="shared" si="208"/>
        <v>-28.57746967299423</v>
      </c>
      <c r="EF185">
        <f t="shared" si="209"/>
        <v>-125.78061786017162</v>
      </c>
      <c r="EG185">
        <f t="shared" si="158"/>
        <v>-246.28445817762821</v>
      </c>
      <c r="EH185">
        <f t="shared" si="228"/>
        <v>-92.159311527859487</v>
      </c>
      <c r="EI185">
        <f t="shared" si="229"/>
        <v>-331.9904070864016</v>
      </c>
      <c r="EJ185">
        <f t="shared" si="230"/>
        <v>-204.77166828365432</v>
      </c>
      <c r="EK185">
        <f t="shared" si="231"/>
        <v>-51.946181206325768</v>
      </c>
      <c r="EL185">
        <f t="shared" si="232"/>
        <v>-82.270744385557009</v>
      </c>
      <c r="EM185">
        <f t="shared" si="159"/>
        <v>-528.51104284718906</v>
      </c>
      <c r="EN185">
        <f t="shared" si="152"/>
        <v>-0.26341273302010415</v>
      </c>
      <c r="EO185">
        <v>34</v>
      </c>
      <c r="EP185">
        <f t="shared" si="153"/>
        <v>181079.28878694345</v>
      </c>
      <c r="EQ185" s="98">
        <f t="shared" si="160"/>
        <v>455048.79857544799</v>
      </c>
      <c r="ES185" s="99">
        <f t="shared" si="161"/>
        <v>0.60206621937290949</v>
      </c>
      <c r="ET185">
        <v>29</v>
      </c>
      <c r="EU185">
        <v>977333.70464589715</v>
      </c>
      <c r="EV185">
        <v>29</v>
      </c>
      <c r="EW185" s="98">
        <v>977333.70464589715</v>
      </c>
    </row>
    <row r="186" spans="1:153" x14ac:dyDescent="0.35">
      <c r="A186" s="39">
        <v>35</v>
      </c>
      <c r="B186" s="87">
        <f t="shared" si="154"/>
        <v>-5.6965407262371117E-8</v>
      </c>
      <c r="C186" s="87">
        <f t="shared" ref="C186:BN189" si="242">C113-C36</f>
        <v>-1.8842537714451304E-6</v>
      </c>
      <c r="D186" s="87">
        <f t="shared" si="242"/>
        <v>-1.5452108572025049E-7</v>
      </c>
      <c r="E186" s="87">
        <f t="shared" si="242"/>
        <v>-1.6843823481994768E-7</v>
      </c>
      <c r="F186" s="87">
        <f t="shared" si="242"/>
        <v>-3.6720052981716193E-8</v>
      </c>
      <c r="G186" s="87">
        <f t="shared" si="242"/>
        <v>-1.7165642887027286E-7</v>
      </c>
      <c r="H186" s="87">
        <f t="shared" si="242"/>
        <v>-3.5383069218258172E-7</v>
      </c>
      <c r="I186" s="87">
        <f t="shared" si="242"/>
        <v>-2.5337111568729932E-8</v>
      </c>
      <c r="J186" s="87">
        <f t="shared" si="242"/>
        <v>-8.4879817063089106E-8</v>
      </c>
      <c r="K186" s="87">
        <f t="shared" si="242"/>
        <v>-2.1547746528000459E-7</v>
      </c>
      <c r="L186" s="87">
        <f t="shared" si="242"/>
        <v>-2.8830414159624364E-7</v>
      </c>
      <c r="M186" s="87">
        <f t="shared" si="242"/>
        <v>-2.2679979166268277E-7</v>
      </c>
      <c r="N186" s="87">
        <f t="shared" si="242"/>
        <v>-1.341614864904605E-7</v>
      </c>
      <c r="O186" s="87">
        <f t="shared" si="242"/>
        <v>-1.1651164746399204E-7</v>
      </c>
      <c r="P186" s="87">
        <f t="shared" si="242"/>
        <v>-1.4150192775936429E-7</v>
      </c>
      <c r="Q186" s="87">
        <f t="shared" si="242"/>
        <v>-2.7511453562804567E-7</v>
      </c>
      <c r="R186" s="87">
        <f t="shared" si="242"/>
        <v>-1.2601154186808199E-7</v>
      </c>
      <c r="S186" s="87">
        <f t="shared" si="242"/>
        <v>-1.693774645852851E-6</v>
      </c>
      <c r="T186" s="87">
        <f t="shared" si="242"/>
        <v>-1.0575682005168162E-6</v>
      </c>
      <c r="U186" s="87">
        <f t="shared" si="242"/>
        <v>-2.2327872864417268E-7</v>
      </c>
      <c r="V186" s="87">
        <f t="shared" si="242"/>
        <v>-4.6241333690198167E-7</v>
      </c>
      <c r="W186" s="87">
        <f t="shared" si="242"/>
        <v>-1.0711496773419233E-7</v>
      </c>
      <c r="X186" s="87">
        <f t="shared" si="242"/>
        <v>-1.7322418708803313E-6</v>
      </c>
      <c r="Y186" s="87">
        <f t="shared" si="242"/>
        <v>-4.8614397509454311E-8</v>
      </c>
      <c r="Z186" s="87">
        <f t="shared" si="242"/>
        <v>-1.2134507586007872E-7</v>
      </c>
      <c r="AA186" s="87">
        <f t="shared" si="242"/>
        <v>-7.2446824650645351E-7</v>
      </c>
      <c r="AB186" s="87">
        <f t="shared" si="242"/>
        <v>-1.9706810734053365E-7</v>
      </c>
      <c r="AC186" s="87">
        <f t="shared" si="242"/>
        <v>-2.1408854634490996E-7</v>
      </c>
      <c r="AD186" s="87">
        <f t="shared" si="242"/>
        <v>-3.3819256041516535E-4</v>
      </c>
      <c r="AE186" s="87">
        <f t="shared" si="242"/>
        <v>-2.4319957895595171E-7</v>
      </c>
      <c r="AF186" s="87">
        <f t="shared" si="242"/>
        <v>-1.2695070753438645E-7</v>
      </c>
      <c r="AG186" s="87">
        <f t="shared" si="242"/>
        <v>-6.9999609341076935E-7</v>
      </c>
      <c r="AH186" s="87">
        <f t="shared" si="242"/>
        <v>-4.6439318883661181E-7</v>
      </c>
      <c r="AI186" s="87">
        <f t="shared" si="242"/>
        <v>-5.4703418140823062E-7</v>
      </c>
      <c r="AJ186" s="87">
        <f t="shared" si="242"/>
        <v>1</v>
      </c>
      <c r="AK186" s="87">
        <f t="shared" si="242"/>
        <v>-8.6645188918230367E-11</v>
      </c>
      <c r="AL186" s="87">
        <f t="shared" si="242"/>
        <v>-1.9638405686274769E-10</v>
      </c>
      <c r="AM186" s="87">
        <f t="shared" si="242"/>
        <v>-1.1311418713148005E-10</v>
      </c>
      <c r="AN186" s="87">
        <f t="shared" si="242"/>
        <v>-5.9489380926660801E-11</v>
      </c>
      <c r="AO186" s="87">
        <f t="shared" si="242"/>
        <v>-2.6436235445407207E-11</v>
      </c>
      <c r="AP186" s="87">
        <f t="shared" si="242"/>
        <v>-9.704097098305326E-11</v>
      </c>
      <c r="AQ186" s="87">
        <f t="shared" si="242"/>
        <v>-1.8133306851265004E-10</v>
      </c>
      <c r="AR186" s="87">
        <f t="shared" si="242"/>
        <v>-1.013825278853456E-9</v>
      </c>
      <c r="AS186" s="87">
        <f t="shared" si="242"/>
        <v>-3.0924806635567443E-10</v>
      </c>
      <c r="AT186" s="87">
        <f t="shared" si="242"/>
        <v>-9.9628873111122757E-11</v>
      </c>
      <c r="AU186" s="87">
        <f t="shared" si="242"/>
        <v>-3.2079505131674657E-10</v>
      </c>
      <c r="AV186" s="87">
        <f t="shared" si="242"/>
        <v>-2.5416600655880449E-10</v>
      </c>
      <c r="AW186" s="87">
        <f t="shared" si="242"/>
        <v>-7.3568900738517678E-11</v>
      </c>
      <c r="AX186" s="87">
        <f t="shared" si="242"/>
        <v>-2.02211347862141E-9</v>
      </c>
      <c r="AY186" s="87">
        <f t="shared" si="242"/>
        <v>-1.2921128591819248E-10</v>
      </c>
      <c r="AZ186" s="87">
        <f t="shared" si="242"/>
        <v>-1.1630109868011224E-10</v>
      </c>
      <c r="BA186" s="87">
        <f t="shared" si="242"/>
        <v>-2.1243138233039362E-11</v>
      </c>
      <c r="BB186" s="87">
        <f t="shared" si="242"/>
        <v>-4.3841966472478856E-10</v>
      </c>
      <c r="BC186" s="87">
        <f t="shared" si="242"/>
        <v>-1.4968597040240348E-10</v>
      </c>
      <c r="BD186" s="87">
        <f t="shared" si="242"/>
        <v>-8.9954685951951819E-11</v>
      </c>
      <c r="BE186" s="87">
        <f t="shared" si="242"/>
        <v>-5.6006825612897538E-10</v>
      </c>
      <c r="BF186" s="87">
        <f t="shared" si="242"/>
        <v>-1.5815631282030629E-10</v>
      </c>
      <c r="BG186" s="87">
        <f t="shared" si="242"/>
        <v>-5.2713074178347771E-10</v>
      </c>
      <c r="BH186" s="87">
        <f t="shared" si="242"/>
        <v>-1.371436340040465E-8</v>
      </c>
      <c r="BI186" s="87">
        <f t="shared" si="242"/>
        <v>-8.0463899326107303E-9</v>
      </c>
      <c r="BJ186" s="87">
        <f t="shared" si="242"/>
        <v>-2.1286618875477758E-9</v>
      </c>
      <c r="BK186" s="87">
        <f t="shared" si="242"/>
        <v>-1.4934997121844055E-9</v>
      </c>
      <c r="BL186" s="87">
        <f t="shared" si="242"/>
        <v>-2.4362635607668999E-10</v>
      </c>
      <c r="BM186" s="87">
        <f t="shared" si="242"/>
        <v>-8.4026790992748749E-11</v>
      </c>
      <c r="BN186" s="87">
        <f t="shared" si="242"/>
        <v>-4.1787991766753044E-10</v>
      </c>
      <c r="BO186" s="87">
        <f t="shared" si="241"/>
        <v>-2.7727749310709726E-10</v>
      </c>
      <c r="BP186" s="87">
        <f t="shared" si="241"/>
        <v>-2.4380169153168637E-10</v>
      </c>
      <c r="BQ186" s="87">
        <f t="shared" si="241"/>
        <v>-2.5703512877139762E-10</v>
      </c>
      <c r="BR186" s="87">
        <f t="shared" si="241"/>
        <v>-3.5830133856688205E-10</v>
      </c>
      <c r="BS186" s="87">
        <f t="shared" si="241"/>
        <v>0</v>
      </c>
      <c r="BU186" s="96">
        <v>39655.246806476789</v>
      </c>
      <c r="BV186" s="98">
        <v>40136.833341967736</v>
      </c>
      <c r="BW186">
        <f t="shared" si="155"/>
        <v>-1.3254282918459865E-2</v>
      </c>
      <c r="BX186">
        <f t="shared" si="190"/>
        <v>-6.5646867439326975E-2</v>
      </c>
      <c r="BY186">
        <f t="shared" si="191"/>
        <v>-5.7341857601155503E-2</v>
      </c>
      <c r="BZ186">
        <f t="shared" si="192"/>
        <v>-1.283158708860188E-2</v>
      </c>
      <c r="CA186">
        <f t="shared" si="193"/>
        <v>-5.5121925749163959E-4</v>
      </c>
      <c r="CB186">
        <f t="shared" si="194"/>
        <v>-8.8490907986899636E-3</v>
      </c>
      <c r="CC186">
        <f t="shared" si="195"/>
        <v>-6.2899997844638053E-2</v>
      </c>
      <c r="CD186">
        <f t="shared" si="196"/>
        <v>-3.2497140430387842E-3</v>
      </c>
      <c r="CE186">
        <f t="shared" si="165"/>
        <v>-2.3668532973580975E-2</v>
      </c>
      <c r="CF186">
        <f t="shared" si="166"/>
        <v>-2.5704839715034865E-2</v>
      </c>
      <c r="CG186">
        <f t="shared" si="167"/>
        <v>-2.4151250141601154E-2</v>
      </c>
      <c r="CH186">
        <f t="shared" si="168"/>
        <v>-6.8060819531880354E-2</v>
      </c>
      <c r="CI186">
        <f t="shared" si="169"/>
        <v>-3.2065172893243572E-2</v>
      </c>
      <c r="CJ186">
        <f t="shared" si="170"/>
        <v>-4.3518095558997411E-2</v>
      </c>
      <c r="CK186">
        <f t="shared" si="171"/>
        <v>-4.7517077684002748E-2</v>
      </c>
      <c r="CL186">
        <f t="shared" si="172"/>
        <v>-2.1630974761094011E-2</v>
      </c>
      <c r="CM186">
        <f t="shared" si="173"/>
        <v>-3.0719275619145364E-2</v>
      </c>
      <c r="CN186">
        <f t="shared" si="174"/>
        <v>-0.92964777412323685</v>
      </c>
      <c r="CO186">
        <f t="shared" si="175"/>
        <v>-0.15208564532143848</v>
      </c>
      <c r="CP186">
        <f t="shared" si="176"/>
        <v>-0.10387039146134003</v>
      </c>
      <c r="CQ186">
        <f t="shared" si="177"/>
        <v>-0.15830277097690881</v>
      </c>
      <c r="CR186">
        <f t="shared" si="178"/>
        <v>-2.3230807913322406E-2</v>
      </c>
      <c r="CS186">
        <f t="shared" si="179"/>
        <v>-0.35035878474283361</v>
      </c>
      <c r="CT186">
        <f t="shared" si="180"/>
        <v>-2.1990405430059794E-3</v>
      </c>
      <c r="CU186">
        <f t="shared" si="181"/>
        <v>-5.650719490750483E-3</v>
      </c>
      <c r="CV186">
        <f t="shared" si="182"/>
        <v>-0.12666443298283925</v>
      </c>
      <c r="CW186">
        <f t="shared" si="183"/>
        <v>-5.5336628895974627E-2</v>
      </c>
      <c r="CX186">
        <f t="shared" si="184"/>
        <v>-0.11454241329850337</v>
      </c>
      <c r="CY186">
        <f t="shared" si="185"/>
        <v>-189.24826001821239</v>
      </c>
      <c r="CZ186">
        <f t="shared" si="186"/>
        <v>-0.21767247078319693</v>
      </c>
      <c r="DA186">
        <f t="shared" si="187"/>
        <v>-5.0358611929871885E-2</v>
      </c>
      <c r="DB186">
        <f t="shared" si="188"/>
        <v>-0.16396706951791387</v>
      </c>
      <c r="DC186">
        <f t="shared" si="156"/>
        <v>-0.2196857593893797</v>
      </c>
      <c r="DD186">
        <f t="shared" si="219"/>
        <v>-0.15742684879961741</v>
      </c>
      <c r="DE186">
        <f t="shared" si="220"/>
        <v>16054.733336787096</v>
      </c>
      <c r="DF186">
        <f t="shared" si="221"/>
        <v>-1.1145257736622922E-4</v>
      </c>
      <c r="DG186">
        <f t="shared" si="222"/>
        <v>-1.7539923991792845E-4</v>
      </c>
      <c r="DH186">
        <f t="shared" si="223"/>
        <v>-1.8364636023343969E-4</v>
      </c>
      <c r="DI186">
        <f t="shared" si="224"/>
        <v>-4.3000808991544214E-5</v>
      </c>
      <c r="DJ186">
        <f t="shared" si="225"/>
        <v>-2.8531637880701462E-6</v>
      </c>
      <c r="DK186">
        <f t="shared" si="226"/>
        <v>-2.3513203709132818E-5</v>
      </c>
      <c r="DL186">
        <f t="shared" si="227"/>
        <v>-1.1955524557384785E-4</v>
      </c>
      <c r="DM186">
        <f t="shared" si="157"/>
        <v>-5.3178485995224168E-4</v>
      </c>
      <c r="DN186">
        <f t="shared" si="211"/>
        <v>-3.3254970838504834E-4</v>
      </c>
      <c r="DO186">
        <f t="shared" si="212"/>
        <v>-5.0913217412825277E-5</v>
      </c>
      <c r="DP186">
        <f t="shared" si="213"/>
        <v>-1.3074310064053766E-4</v>
      </c>
      <c r="DQ186">
        <f t="shared" si="214"/>
        <v>-3.9895170180621859E-4</v>
      </c>
      <c r="DR186">
        <f t="shared" si="215"/>
        <v>-7.0430970245406277E-5</v>
      </c>
      <c r="DS186">
        <f t="shared" si="216"/>
        <v>-6.2344271635590975E-3</v>
      </c>
      <c r="DT186">
        <f t="shared" si="217"/>
        <v>-1.8404153804877477E-4</v>
      </c>
      <c r="DU186">
        <f t="shared" si="218"/>
        <v>-3.3312357201805991E-5</v>
      </c>
      <c r="DV186">
        <f t="shared" si="199"/>
        <v>-1.744275150153321E-5</v>
      </c>
      <c r="DW186">
        <f t="shared" si="200"/>
        <v>-1.0079867404387511E-3</v>
      </c>
      <c r="DX186">
        <f t="shared" si="201"/>
        <v>-4.3860163504010925E-5</v>
      </c>
      <c r="DY186">
        <f t="shared" si="202"/>
        <v>-1.7227150712139519E-4</v>
      </c>
      <c r="DZ186">
        <f t="shared" si="203"/>
        <v>-7.9787257351781639E-4</v>
      </c>
      <c r="EA186">
        <f t="shared" si="204"/>
        <v>-1.413612767368964E-4</v>
      </c>
      <c r="EB186">
        <f t="shared" si="205"/>
        <v>-4.6020891523593975E-4</v>
      </c>
      <c r="EC186">
        <f t="shared" si="206"/>
        <v>-2.3680314317852794E-3</v>
      </c>
      <c r="ED186">
        <f t="shared" si="207"/>
        <v>-1.2735473071442266E-3</v>
      </c>
      <c r="EE186">
        <f t="shared" si="208"/>
        <v>-7.235099874536115E-4</v>
      </c>
      <c r="EF186">
        <f t="shared" si="209"/>
        <v>-1.5923064781040973E-3</v>
      </c>
      <c r="EG186">
        <f t="shared" si="158"/>
        <v>-5.8486605949107729E-4</v>
      </c>
      <c r="EH186">
        <f t="shared" si="228"/>
        <v>-1.7210090779028745E-4</v>
      </c>
      <c r="EI186">
        <f t="shared" si="229"/>
        <v>-1.0895334125007555E-3</v>
      </c>
      <c r="EJ186">
        <f t="shared" si="230"/>
        <v>-6.1657121412232513E-4</v>
      </c>
      <c r="EK186">
        <f t="shared" si="231"/>
        <v>-1.395048984705442E-4</v>
      </c>
      <c r="EL186">
        <f t="shared" si="232"/>
        <v>-3.4226926541975825E-4</v>
      </c>
      <c r="EM186">
        <f t="shared" si="159"/>
        <v>-3.782616728543957E-4</v>
      </c>
      <c r="EN186">
        <f t="shared" si="152"/>
        <v>0</v>
      </c>
      <c r="EO186">
        <v>35</v>
      </c>
      <c r="EP186">
        <f t="shared" si="153"/>
        <v>15862.091867861061</v>
      </c>
      <c r="EQ186" s="98">
        <f t="shared" si="160"/>
        <v>39655.246806476789</v>
      </c>
      <c r="ES186" s="99">
        <f t="shared" si="161"/>
        <v>0.60000017285807572</v>
      </c>
      <c r="ET186">
        <v>33</v>
      </c>
      <c r="EU186">
        <v>1084145.7748608061</v>
      </c>
      <c r="EV186">
        <v>33</v>
      </c>
      <c r="EW186" s="98">
        <v>1084145.7748608061</v>
      </c>
    </row>
    <row r="187" spans="1:153" x14ac:dyDescent="0.35">
      <c r="B187" s="87">
        <f t="shared" si="154"/>
        <v>-5.4252039494510672E-3</v>
      </c>
      <c r="C187" s="87">
        <f t="shared" si="242"/>
        <v>-8.089939903228188E-5</v>
      </c>
      <c r="D187" s="87">
        <f t="shared" si="242"/>
        <v>-1.3824187112670664E-2</v>
      </c>
      <c r="E187" s="87">
        <f t="shared" si="242"/>
        <v>-6.5482771991061276E-4</v>
      </c>
      <c r="F187" s="87">
        <f t="shared" si="242"/>
        <v>-4.4820320756850236E-4</v>
      </c>
      <c r="G187" s="87">
        <f t="shared" si="242"/>
        <v>-4.8156842791271318E-3</v>
      </c>
      <c r="H187" s="87">
        <f t="shared" si="242"/>
        <v>-5.3964211154704038E-4</v>
      </c>
      <c r="I187" s="87">
        <f t="shared" si="242"/>
        <v>-1.7715746085555758E-5</v>
      </c>
      <c r="J187" s="87">
        <f t="shared" si="242"/>
        <v>-1.3258040849767382E-4</v>
      </c>
      <c r="K187" s="87">
        <f t="shared" si="242"/>
        <v>-4.6225282422030195E-4</v>
      </c>
      <c r="L187" s="87">
        <f t="shared" si="242"/>
        <v>-3.0071259475587278E-5</v>
      </c>
      <c r="M187" s="87">
        <f t="shared" si="242"/>
        <v>-2.3253481512356835E-5</v>
      </c>
      <c r="N187" s="87">
        <f t="shared" si="242"/>
        <v>-1.5221568253233689E-5</v>
      </c>
      <c r="O187" s="87">
        <f t="shared" si="242"/>
        <v>-1.2444041173202263E-5</v>
      </c>
      <c r="P187" s="87">
        <f t="shared" si="242"/>
        <v>-9.0635580226531229E-6</v>
      </c>
      <c r="Q187" s="87">
        <f t="shared" si="242"/>
        <v>-2.1789846184626526E-4</v>
      </c>
      <c r="R187" s="87">
        <f t="shared" si="242"/>
        <v>-7.8009337010725402E-5</v>
      </c>
      <c r="S187" s="87">
        <f t="shared" si="242"/>
        <v>-7.3168083090052689E-5</v>
      </c>
      <c r="T187" s="87">
        <f t="shared" si="242"/>
        <v>-5.3775466755149768E-5</v>
      </c>
      <c r="U187" s="87">
        <f t="shared" si="242"/>
        <v>-2.7328509946994645E-4</v>
      </c>
      <c r="V187" s="87">
        <f t="shared" si="242"/>
        <v>-2.7389876709526867E-4</v>
      </c>
      <c r="W187" s="87">
        <f t="shared" si="242"/>
        <v>-1.5318268243838988E-3</v>
      </c>
      <c r="X187" s="87">
        <f t="shared" si="242"/>
        <v>-2.3125761329067416E-5</v>
      </c>
      <c r="Y187" s="87">
        <f t="shared" si="242"/>
        <v>-1.5044778289703879E-4</v>
      </c>
      <c r="Z187" s="87">
        <f t="shared" si="242"/>
        <v>-1.7704693025330453E-5</v>
      </c>
      <c r="AA187" s="87">
        <f t="shared" si="242"/>
        <v>-4.3636042343361158E-5</v>
      </c>
      <c r="AB187" s="87">
        <f t="shared" si="242"/>
        <v>-1.217954637747213E-5</v>
      </c>
      <c r="AC187" s="87">
        <f t="shared" si="242"/>
        <v>-9.823894819489768E-6</v>
      </c>
      <c r="AD187" s="87">
        <f t="shared" si="242"/>
        <v>-7.2942910323068859E-5</v>
      </c>
      <c r="AE187" s="87">
        <f t="shared" si="242"/>
        <v>-1.829598774824755E-5</v>
      </c>
      <c r="AF187" s="87">
        <f t="shared" si="242"/>
        <v>-2.6366623317024122E-4</v>
      </c>
      <c r="AG187" s="87">
        <f t="shared" si="242"/>
        <v>-7.5921680796344396E-5</v>
      </c>
      <c r="AH187" s="87">
        <f t="shared" si="242"/>
        <v>-2.211330655049712E-4</v>
      </c>
      <c r="AI187" s="87">
        <f t="shared" si="242"/>
        <v>-2.5438658202911691E-4</v>
      </c>
      <c r="AJ187" s="87">
        <f t="shared" si="242"/>
        <v>0</v>
      </c>
      <c r="AK187" s="87">
        <f t="shared" si="242"/>
        <v>0.88677104604996781</v>
      </c>
      <c r="AL187" s="87">
        <f t="shared" si="242"/>
        <v>-5.0874119771675004E-4</v>
      </c>
      <c r="AM187" s="87">
        <f t="shared" si="242"/>
        <v>-0.27791492806418788</v>
      </c>
      <c r="AN187" s="87">
        <f t="shared" si="242"/>
        <v>-5.7480766501734712E-2</v>
      </c>
      <c r="AO187" s="87">
        <f t="shared" si="242"/>
        <v>-6.6575550553485893E-2</v>
      </c>
      <c r="AP187" s="87">
        <f t="shared" si="242"/>
        <v>-0.13201449127027554</v>
      </c>
      <c r="AQ187" s="87">
        <f t="shared" si="242"/>
        <v>-1.8287175259209934E-2</v>
      </c>
      <c r="AR187" s="87">
        <f t="shared" si="242"/>
        <v>-3.1462214163770707E-3</v>
      </c>
      <c r="AS187" s="87">
        <f t="shared" si="242"/>
        <v>-9.6752612573687922E-3</v>
      </c>
      <c r="AT187" s="87">
        <f t="shared" si="242"/>
        <v>-1.3711465575179528E-2</v>
      </c>
      <c r="AU187" s="87">
        <f t="shared" si="242"/>
        <v>-4.5954930525688787E-4</v>
      </c>
      <c r="AV187" s="87">
        <f t="shared" si="242"/>
        <v>-9.3184416002355984E-5</v>
      </c>
      <c r="AW187" s="87">
        <f t="shared" si="242"/>
        <v>-8.3287692916103216E-5</v>
      </c>
      <c r="AX187" s="87">
        <f t="shared" si="242"/>
        <v>-3.5858275752591721E-5</v>
      </c>
      <c r="AY187" s="87">
        <f t="shared" si="242"/>
        <v>-5.290739155513387E-5</v>
      </c>
      <c r="AZ187" s="87">
        <f t="shared" si="242"/>
        <v>-1.5188255362557005E-2</v>
      </c>
      <c r="BA187" s="87">
        <f t="shared" si="242"/>
        <v>-5.8280114715870739E-5</v>
      </c>
      <c r="BB187" s="87">
        <f t="shared" si="242"/>
        <v>-3.7690812104610909E-3</v>
      </c>
      <c r="BC187" s="87">
        <f t="shared" si="242"/>
        <v>-9.3061774006072452E-4</v>
      </c>
      <c r="BD187" s="87">
        <f t="shared" si="242"/>
        <v>-1.7424272964438091E-3</v>
      </c>
      <c r="BE187" s="87">
        <f t="shared" si="242"/>
        <v>-1.3122374503245925E-3</v>
      </c>
      <c r="BF187" s="87">
        <f t="shared" si="242"/>
        <v>-4.6585102302912046E-2</v>
      </c>
      <c r="BG187" s="87">
        <f t="shared" si="242"/>
        <v>-2.0407047057804328E-3</v>
      </c>
      <c r="BH187" s="87">
        <f t="shared" si="242"/>
        <v>-1.3539536292092832E-4</v>
      </c>
      <c r="BI187" s="87">
        <f t="shared" si="242"/>
        <v>-2.3069976400411803E-4</v>
      </c>
      <c r="BJ187" s="87">
        <f t="shared" si="242"/>
        <v>-1.238811892314054E-2</v>
      </c>
      <c r="BK187" s="87">
        <f t="shared" si="242"/>
        <v>-1.6566912669429719E-4</v>
      </c>
      <c r="BL187" s="87">
        <f t="shared" si="242"/>
        <v>-1.4786993919727414E-4</v>
      </c>
      <c r="BM187" s="87">
        <f t="shared" si="242"/>
        <v>-1.1308342599867003E-4</v>
      </c>
      <c r="BN187" s="87">
        <f t="shared" si="242"/>
        <v>-1.0635151592901428E-3</v>
      </c>
      <c r="BO187" s="87">
        <f t="shared" si="241"/>
        <v>-1.2086208009665972E-3</v>
      </c>
      <c r="BP187" s="87">
        <f t="shared" si="241"/>
        <v>-3.3483985450884373E-3</v>
      </c>
      <c r="BQ187" s="87">
        <f t="shared" si="241"/>
        <v>-1.8986166717441953E-3</v>
      </c>
      <c r="BR187" s="87">
        <f t="shared" si="241"/>
        <v>-2.3462563778532597E-3</v>
      </c>
      <c r="BS187" s="87">
        <f t="shared" si="241"/>
        <v>-2.4328615952960605E-5</v>
      </c>
      <c r="BU187" s="97">
        <v>808801.2273837995</v>
      </c>
      <c r="BV187" s="98">
        <v>2143850.0848060232</v>
      </c>
      <c r="BW187">
        <f t="shared" si="155"/>
        <v>-1262.2956894730928</v>
      </c>
      <c r="BX187">
        <f t="shared" si="190"/>
        <v>-2.8185121370994035</v>
      </c>
      <c r="BY187">
        <f t="shared" si="191"/>
        <v>-5130.0737706543559</v>
      </c>
      <c r="BZ187">
        <f t="shared" si="192"/>
        <v>-49.884629371980004</v>
      </c>
      <c r="CA187">
        <f t="shared" si="193"/>
        <v>-6.7281558500010172</v>
      </c>
      <c r="CB187">
        <f t="shared" si="194"/>
        <v>-248.25418846401098</v>
      </c>
      <c r="CC187">
        <f t="shared" si="195"/>
        <v>-95.931439536255496</v>
      </c>
      <c r="CD187">
        <f t="shared" si="196"/>
        <v>-2.2722048912707131</v>
      </c>
      <c r="CE187">
        <f t="shared" si="165"/>
        <v>-36.969728243472069</v>
      </c>
      <c r="CF187">
        <f t="shared" si="166"/>
        <v>-55.143282565370242</v>
      </c>
      <c r="CG187">
        <f t="shared" si="167"/>
        <v>-2.5190706787868247</v>
      </c>
      <c r="CH187">
        <f t="shared" si="168"/>
        <v>-6.9781854608327727</v>
      </c>
      <c r="CI187">
        <f t="shared" si="169"/>
        <v>-3.6380203478212851</v>
      </c>
      <c r="CJ187">
        <f t="shared" si="170"/>
        <v>-4.6479556739842485</v>
      </c>
      <c r="CK187">
        <f t="shared" si="171"/>
        <v>-3.0435895642939306</v>
      </c>
      <c r="CL187">
        <f t="shared" si="172"/>
        <v>-17.132341328014085</v>
      </c>
      <c r="CM187">
        <f t="shared" si="173"/>
        <v>-19.017228810738512</v>
      </c>
      <c r="CN187">
        <f t="shared" si="174"/>
        <v>-40.159147350609771</v>
      </c>
      <c r="CO187">
        <f t="shared" si="175"/>
        <v>-7.733285248102038</v>
      </c>
      <c r="CP187">
        <f t="shared" si="176"/>
        <v>-127.13360755350858</v>
      </c>
      <c r="CQ187">
        <f t="shared" si="177"/>
        <v>-93.766616008159914</v>
      </c>
      <c r="CR187">
        <f t="shared" si="178"/>
        <v>-332.21850752028638</v>
      </c>
      <c r="CS187">
        <f t="shared" si="179"/>
        <v>-4.6773569971422368</v>
      </c>
      <c r="CT187">
        <f t="shared" si="180"/>
        <v>-6.8054072691451006</v>
      </c>
      <c r="CU187">
        <f t="shared" si="181"/>
        <v>-0.82446076403914847</v>
      </c>
      <c r="CV187">
        <f t="shared" si="182"/>
        <v>-7.6292295593217139</v>
      </c>
      <c r="CW187">
        <f t="shared" si="183"/>
        <v>-3.4200107115600327</v>
      </c>
      <c r="CX187">
        <f t="shared" si="184"/>
        <v>-5.256015045298926</v>
      </c>
      <c r="CY187">
        <f t="shared" si="185"/>
        <v>-40.817925865545639</v>
      </c>
      <c r="CZ187">
        <f t="shared" si="186"/>
        <v>-16.37557464399007</v>
      </c>
      <c r="DA187">
        <f t="shared" si="187"/>
        <v>-104.59071692558143</v>
      </c>
      <c r="DB187">
        <f t="shared" si="188"/>
        <v>-17.783892839164732</v>
      </c>
      <c r="DC187">
        <f t="shared" si="156"/>
        <v>-104.60916867291296</v>
      </c>
      <c r="DD187">
        <f t="shared" si="219"/>
        <v>-73.207999329503537</v>
      </c>
      <c r="DE187">
        <f t="shared" si="220"/>
        <v>0</v>
      </c>
      <c r="DF187">
        <f t="shared" si="221"/>
        <v>1140662.5093666494</v>
      </c>
      <c r="DG187">
        <f t="shared" si="222"/>
        <v>-454.37914268579908</v>
      </c>
      <c r="DH187">
        <f t="shared" si="223"/>
        <v>-451208.34342558135</v>
      </c>
      <c r="DI187">
        <f t="shared" si="224"/>
        <v>-41548.918857901917</v>
      </c>
      <c r="DJ187">
        <f t="shared" si="225"/>
        <v>-7185.2495943419081</v>
      </c>
      <c r="DK187">
        <f t="shared" si="226"/>
        <v>-31987.351263597782</v>
      </c>
      <c r="DL187">
        <f t="shared" si="227"/>
        <v>-12056.971995785299</v>
      </c>
      <c r="DM187">
        <f t="shared" si="157"/>
        <v>-1650.2970977197986</v>
      </c>
      <c r="DN187">
        <f t="shared" si="211"/>
        <v>-10404.28594300929</v>
      </c>
      <c r="DO187">
        <f t="shared" si="212"/>
        <v>-7006.9529653211348</v>
      </c>
      <c r="DP187">
        <f t="shared" si="213"/>
        <v>-187.29372794209908</v>
      </c>
      <c r="DQ187">
        <f t="shared" si="214"/>
        <v>-146.26692943439465</v>
      </c>
      <c r="DR187">
        <f t="shared" si="215"/>
        <v>-79.735227286213672</v>
      </c>
      <c r="DS187">
        <f t="shared" si="216"/>
        <v>-110.55552062427333</v>
      </c>
      <c r="DT187">
        <f t="shared" si="217"/>
        <v>-75.358415070030972</v>
      </c>
      <c r="DU187">
        <f t="shared" si="218"/>
        <v>-4350.4024781518601</v>
      </c>
      <c r="DV187">
        <f t="shared" si="199"/>
        <v>-47.853831544000499</v>
      </c>
      <c r="DW187">
        <f t="shared" si="200"/>
        <v>-8665.6329299610643</v>
      </c>
      <c r="DX187">
        <f t="shared" si="201"/>
        <v>-272.68451498204752</v>
      </c>
      <c r="DY187">
        <f t="shared" si="202"/>
        <v>-3336.9087250014459</v>
      </c>
      <c r="DZ187">
        <f t="shared" si="203"/>
        <v>-1869.4119156002159</v>
      </c>
      <c r="EA187">
        <f t="shared" si="204"/>
        <v>-41638.107395312669</v>
      </c>
      <c r="EB187">
        <f t="shared" si="205"/>
        <v>-1781.6272596559215</v>
      </c>
      <c r="EC187">
        <f t="shared" si="206"/>
        <v>-23.378443880615951</v>
      </c>
      <c r="ED187">
        <f t="shared" si="207"/>
        <v>-36.51414679961011</v>
      </c>
      <c r="EE187">
        <f t="shared" si="208"/>
        <v>-4210.5924943207283</v>
      </c>
      <c r="EF187">
        <f t="shared" si="209"/>
        <v>-176.62944391957564</v>
      </c>
      <c r="EG187">
        <f t="shared" si="158"/>
        <v>-354.98666912815867</v>
      </c>
      <c r="EH187">
        <f t="shared" si="228"/>
        <v>-231.61375128661518</v>
      </c>
      <c r="EI187">
        <f t="shared" si="229"/>
        <v>-2772.8906122489848</v>
      </c>
      <c r="EJ187">
        <f t="shared" si="230"/>
        <v>-2687.5632288612805</v>
      </c>
      <c r="EK187">
        <f t="shared" si="231"/>
        <v>-1915.975217960168</v>
      </c>
      <c r="EL187">
        <f t="shared" si="232"/>
        <v>-2528.2074736544914</v>
      </c>
      <c r="EM187">
        <f t="shared" si="159"/>
        <v>-2476.9621737441676</v>
      </c>
      <c r="EN187">
        <f t="shared" si="152"/>
        <v>-0.33485331808964591</v>
      </c>
      <c r="EO187">
        <v>36</v>
      </c>
      <c r="EP187">
        <f t="shared" ref="EP187:EP216" si="243">SUM(BW187:EN187)</f>
        <v>489247.91478566109</v>
      </c>
      <c r="EQ187" s="98">
        <f t="shared" si="160"/>
        <v>808801.2273837995</v>
      </c>
      <c r="ES187" s="99">
        <f t="shared" si="161"/>
        <v>0.39509498969454598</v>
      </c>
    </row>
    <row r="188" spans="1:153" x14ac:dyDescent="0.35">
      <c r="B188" s="87">
        <f t="shared" si="154"/>
        <v>-2.7497694816329264E-4</v>
      </c>
      <c r="C188" s="87">
        <f t="shared" si="242"/>
        <v>-2.8449203744144409E-2</v>
      </c>
      <c r="D188" s="87">
        <f t="shared" si="242"/>
        <v>-5.4131961713166897E-4</v>
      </c>
      <c r="E188" s="87">
        <f t="shared" si="242"/>
        <v>-6.3245400735312013E-4</v>
      </c>
      <c r="F188" s="87">
        <f t="shared" si="242"/>
        <v>-7.4642955099262612E-5</v>
      </c>
      <c r="G188" s="87">
        <f t="shared" si="242"/>
        <v>-2.0919996679076583E-4</v>
      </c>
      <c r="H188" s="87">
        <f t="shared" si="242"/>
        <v>-7.055067281574902E-4</v>
      </c>
      <c r="I188" s="87">
        <f t="shared" si="242"/>
        <v>-0.20267878077564647</v>
      </c>
      <c r="J188" s="87">
        <f t="shared" si="242"/>
        <v>-3.2615390884723171E-3</v>
      </c>
      <c r="K188" s="87">
        <f t="shared" si="242"/>
        <v>-3.7435626691264314E-4</v>
      </c>
      <c r="L188" s="87">
        <f t="shared" si="242"/>
        <v>-8.6689053788789813E-3</v>
      </c>
      <c r="M188" s="87">
        <f t="shared" si="242"/>
        <v>-1.1156247458232885E-2</v>
      </c>
      <c r="N188" s="87">
        <f t="shared" si="242"/>
        <v>-2.5759630441681681E-4</v>
      </c>
      <c r="O188" s="87">
        <f t="shared" si="242"/>
        <v>-2.0980186539210934E-4</v>
      </c>
      <c r="P188" s="87">
        <f t="shared" si="242"/>
        <v>-2.4526755683203011E-4</v>
      </c>
      <c r="Q188" s="87">
        <f t="shared" si="242"/>
        <v>-2.2998697527440749E-3</v>
      </c>
      <c r="R188" s="87">
        <f t="shared" si="242"/>
        <v>-4.8877239230896111E-2</v>
      </c>
      <c r="S188" s="87">
        <f t="shared" si="242"/>
        <v>-1.6052333860014875E-3</v>
      </c>
      <c r="T188" s="87">
        <f t="shared" si="242"/>
        <v>-6.0727257681073517E-5</v>
      </c>
      <c r="U188" s="87">
        <f t="shared" si="242"/>
        <v>-2.020181256519704E-4</v>
      </c>
      <c r="V188" s="87">
        <f t="shared" si="242"/>
        <v>-1.6022395573457305E-4</v>
      </c>
      <c r="W188" s="87">
        <f t="shared" si="242"/>
        <v>-1.3649653880195577E-4</v>
      </c>
      <c r="X188" s="87">
        <f t="shared" si="242"/>
        <v>-2.1962191418561369E-4</v>
      </c>
      <c r="Y188" s="87">
        <f t="shared" si="242"/>
        <v>-2.3253901115407574E-4</v>
      </c>
      <c r="Z188" s="87">
        <f t="shared" si="242"/>
        <v>-1.7660964012718855E-4</v>
      </c>
      <c r="AA188" s="87">
        <f t="shared" si="242"/>
        <v>-1.6785706316103236E-4</v>
      </c>
      <c r="AB188" s="87">
        <f t="shared" si="242"/>
        <v>-2.8596361978862115E-5</v>
      </c>
      <c r="AC188" s="87">
        <f t="shared" si="242"/>
        <v>-2.8019258818727623E-5</v>
      </c>
      <c r="AD188" s="87">
        <f t="shared" si="242"/>
        <v>-4.3236663474568794E-5</v>
      </c>
      <c r="AE188" s="87">
        <f t="shared" si="242"/>
        <v>-4.2372528548625088E-5</v>
      </c>
      <c r="AF188" s="87">
        <f t="shared" si="242"/>
        <v>-2.0107436158948308E-4</v>
      </c>
      <c r="AG188" s="87">
        <f t="shared" si="242"/>
        <v>-8.8851933840108899E-5</v>
      </c>
      <c r="AH188" s="87">
        <f t="shared" si="242"/>
        <v>-7.7875133300671156E-5</v>
      </c>
      <c r="AI188" s="87">
        <f t="shared" si="242"/>
        <v>-1.3486348822994097E-4</v>
      </c>
      <c r="AJ188" s="87">
        <f t="shared" si="242"/>
        <v>0</v>
      </c>
      <c r="AK188" s="87">
        <f t="shared" si="242"/>
        <v>-2.8697576200247452E-3</v>
      </c>
      <c r="AL188" s="87">
        <f t="shared" si="242"/>
        <v>0.90287669004701987</v>
      </c>
      <c r="AM188" s="87">
        <f t="shared" si="242"/>
        <v>-4.0516669859309981E-3</v>
      </c>
      <c r="AN188" s="87">
        <f t="shared" si="242"/>
        <v>-4.7311386271926756E-3</v>
      </c>
      <c r="AO188" s="87">
        <f t="shared" si="242"/>
        <v>-3.7263482130297353E-3</v>
      </c>
      <c r="AP188" s="87">
        <f t="shared" si="242"/>
        <v>-6.9912093672732743E-3</v>
      </c>
      <c r="AQ188" s="87">
        <f t="shared" si="242"/>
        <v>-7.2659427850859156E-3</v>
      </c>
      <c r="AR188" s="87">
        <f t="shared" si="242"/>
        <v>-0.4265347944267433</v>
      </c>
      <c r="AS188" s="87">
        <f t="shared" si="242"/>
        <v>-4.1760918912571256E-2</v>
      </c>
      <c r="AT188" s="87">
        <f t="shared" si="242"/>
        <v>-5.7788260320991375E-3</v>
      </c>
      <c r="AU188" s="87">
        <f t="shared" si="242"/>
        <v>-8.4909550691194213E-2</v>
      </c>
      <c r="AV188" s="87">
        <f t="shared" si="242"/>
        <v>-7.2088807031706795E-2</v>
      </c>
      <c r="AW188" s="87">
        <f t="shared" si="242"/>
        <v>-5.0285603065816737E-3</v>
      </c>
      <c r="AX188" s="87">
        <f t="shared" si="242"/>
        <v>-1.2902225134413703E-3</v>
      </c>
      <c r="AY188" s="87">
        <f t="shared" si="242"/>
        <v>-1.9699871247694884E-3</v>
      </c>
      <c r="AZ188" s="87">
        <f t="shared" si="242"/>
        <v>-6.631977882690856E-3</v>
      </c>
      <c r="BA188" s="87">
        <f t="shared" si="242"/>
        <v>-0.11888294419016195</v>
      </c>
      <c r="BB188" s="87">
        <f t="shared" si="242"/>
        <v>-2.8827658956750091E-2</v>
      </c>
      <c r="BC188" s="87">
        <f t="shared" si="242"/>
        <v>-6.1463293375300064E-4</v>
      </c>
      <c r="BD188" s="87">
        <f t="shared" si="242"/>
        <v>-5.0351616737486285E-4</v>
      </c>
      <c r="BE188" s="87">
        <f t="shared" si="242"/>
        <v>-1.4089517855130987E-3</v>
      </c>
      <c r="BF188" s="87">
        <f t="shared" si="242"/>
        <v>-3.6313622729564417E-3</v>
      </c>
      <c r="BG188" s="87">
        <f t="shared" si="242"/>
        <v>-8.3861211974372903E-3</v>
      </c>
      <c r="BH188" s="87">
        <f t="shared" si="242"/>
        <v>-6.3216900018733943E-3</v>
      </c>
      <c r="BI188" s="87">
        <f t="shared" si="242"/>
        <v>-6.481708954133472E-3</v>
      </c>
      <c r="BJ188" s="87">
        <f t="shared" si="242"/>
        <v>-7.6466508695460546E-3</v>
      </c>
      <c r="BK188" s="87">
        <f t="shared" si="242"/>
        <v>-6.0130009841906893E-4</v>
      </c>
      <c r="BL188" s="87">
        <f t="shared" si="242"/>
        <v>-3.2281150788441654E-4</v>
      </c>
      <c r="BM188" s="87">
        <f t="shared" si="242"/>
        <v>-2.542626412590863E-3</v>
      </c>
      <c r="BN188" s="87">
        <f t="shared" si="242"/>
        <v>-1.1897353501225776E-3</v>
      </c>
      <c r="BO188" s="87">
        <f t="shared" si="241"/>
        <v>-4.0015193827863081E-3</v>
      </c>
      <c r="BP188" s="87">
        <f t="shared" si="241"/>
        <v>-3.001209833249223E-3</v>
      </c>
      <c r="BQ188" s="87">
        <f t="shared" si="241"/>
        <v>-2.8772038118360945E-3</v>
      </c>
      <c r="BR188" s="87">
        <f t="shared" si="241"/>
        <v>-4.1975520275223345E-3</v>
      </c>
      <c r="BS188" s="87">
        <f t="shared" si="241"/>
        <v>-2.4802958633488767E-5</v>
      </c>
      <c r="BU188" s="97">
        <v>121219.39934999873</v>
      </c>
      <c r="BV188" s="98">
        <v>1488573.3149620739</v>
      </c>
      <c r="BW188">
        <f t="shared" si="155"/>
        <v>-63.979570096366764</v>
      </c>
      <c r="BX188">
        <f t="shared" si="190"/>
        <v>-991.16219654101792</v>
      </c>
      <c r="BY188">
        <f t="shared" si="191"/>
        <v>-200.88049639045639</v>
      </c>
      <c r="BZ188">
        <f t="shared" si="192"/>
        <v>-48.180204949082807</v>
      </c>
      <c r="CA188">
        <f t="shared" si="193"/>
        <v>-1.1204949597236213</v>
      </c>
      <c r="CB188">
        <f t="shared" si="194"/>
        <v>-10.784504334605812</v>
      </c>
      <c r="CC188">
        <f t="shared" si="195"/>
        <v>-125.41696540441703</v>
      </c>
      <c r="CD188">
        <f t="shared" si="196"/>
        <v>-25995.389345227301</v>
      </c>
      <c r="CE188">
        <f t="shared" si="165"/>
        <v>-909.47233548762802</v>
      </c>
      <c r="CF188">
        <f t="shared" si="166"/>
        <v>-44.657884873501224</v>
      </c>
      <c r="CG188">
        <f t="shared" si="167"/>
        <v>-726.19457042827946</v>
      </c>
      <c r="CH188">
        <f t="shared" si="168"/>
        <v>-3347.9014215193465</v>
      </c>
      <c r="CI188">
        <f t="shared" si="169"/>
        <v>-61.566625816814785</v>
      </c>
      <c r="CJ188">
        <f t="shared" si="170"/>
        <v>-78.36278883114592</v>
      </c>
      <c r="CK188">
        <f t="shared" si="171"/>
        <v>-82.362111498384664</v>
      </c>
      <c r="CL188">
        <f t="shared" si="172"/>
        <v>-180.8280484411423</v>
      </c>
      <c r="CM188">
        <f t="shared" si="173"/>
        <v>-11915.363951412111</v>
      </c>
      <c r="CN188">
        <f t="shared" si="174"/>
        <v>-881.05088117739797</v>
      </c>
      <c r="CO188">
        <f t="shared" si="175"/>
        <v>-8.7330010192382765</v>
      </c>
      <c r="CP188">
        <f t="shared" si="176"/>
        <v>-93.979851646311289</v>
      </c>
      <c r="CQ188">
        <f t="shared" si="177"/>
        <v>-54.851134570629625</v>
      </c>
      <c r="CR188">
        <f t="shared" si="178"/>
        <v>-29.603004517634723</v>
      </c>
      <c r="CS188">
        <f t="shared" si="179"/>
        <v>-44.420163402390244</v>
      </c>
      <c r="CT188">
        <f t="shared" si="180"/>
        <v>-10.518750402262718</v>
      </c>
      <c r="CU188">
        <f t="shared" si="181"/>
        <v>-8.2242441948932452</v>
      </c>
      <c r="CV188">
        <f t="shared" si="182"/>
        <v>-29.347759311722161</v>
      </c>
      <c r="CW188">
        <f t="shared" si="183"/>
        <v>-8.0298445646753951</v>
      </c>
      <c r="CX188">
        <f t="shared" si="184"/>
        <v>-14.990963219311611</v>
      </c>
      <c r="CY188">
        <f t="shared" si="185"/>
        <v>-24.194687551702334</v>
      </c>
      <c r="CZ188">
        <f t="shared" si="186"/>
        <v>-37.924954566559101</v>
      </c>
      <c r="DA188">
        <f t="shared" si="187"/>
        <v>-79.761869319151202</v>
      </c>
      <c r="DB188">
        <f t="shared" si="188"/>
        <v>-20.812675027620489</v>
      </c>
      <c r="DC188">
        <f t="shared" si="156"/>
        <v>-36.839596720972303</v>
      </c>
      <c r="DD188">
        <f t="shared" si="219"/>
        <v>-38.811347977394341</v>
      </c>
      <c r="DE188">
        <f t="shared" si="220"/>
        <v>0</v>
      </c>
      <c r="DF188">
        <f t="shared" si="221"/>
        <v>-3691.3980702376684</v>
      </c>
      <c r="DG188">
        <f t="shared" si="222"/>
        <v>806398.88850316638</v>
      </c>
      <c r="DH188">
        <f t="shared" si="223"/>
        <v>-6578.0775490110082</v>
      </c>
      <c r="DI188">
        <f t="shared" si="224"/>
        <v>-3419.8168690179446</v>
      </c>
      <c r="DJ188">
        <f t="shared" si="225"/>
        <v>-402.17079338364823</v>
      </c>
      <c r="DK188">
        <f t="shared" si="226"/>
        <v>-1693.9827411104691</v>
      </c>
      <c r="DL188">
        <f t="shared" si="227"/>
        <v>-4790.5303821397274</v>
      </c>
      <c r="DM188">
        <f t="shared" si="157"/>
        <v>-223731.59424028368</v>
      </c>
      <c r="DN188">
        <f t="shared" si="211"/>
        <v>-44907.577175582868</v>
      </c>
      <c r="DO188">
        <f t="shared" si="212"/>
        <v>-2953.1461811777799</v>
      </c>
      <c r="DP188">
        <f t="shared" si="213"/>
        <v>-34605.701945197405</v>
      </c>
      <c r="DQ188">
        <f t="shared" si="214"/>
        <v>-113154.20435590605</v>
      </c>
      <c r="DR188">
        <f t="shared" si="215"/>
        <v>-4814.0773856181577</v>
      </c>
      <c r="DS188">
        <f t="shared" si="216"/>
        <v>-3977.9163582442898</v>
      </c>
      <c r="DT188">
        <f t="shared" si="217"/>
        <v>-2805.9426682620237</v>
      </c>
      <c r="DU188">
        <f t="shared" si="218"/>
        <v>-1899.6107404826589</v>
      </c>
      <c r="DV188">
        <f t="shared" si="199"/>
        <v>-97614.845345896392</v>
      </c>
      <c r="DW188">
        <f t="shared" si="200"/>
        <v>-66278.728634435582</v>
      </c>
      <c r="DX188">
        <f t="shared" si="201"/>
        <v>-180.09637708119948</v>
      </c>
      <c r="DY188">
        <f t="shared" si="202"/>
        <v>-964.27982706746582</v>
      </c>
      <c r="DZ188">
        <f t="shared" si="203"/>
        <v>-2007.1910428199312</v>
      </c>
      <c r="EA188">
        <f t="shared" si="204"/>
        <v>-3245.7383334584902</v>
      </c>
      <c r="EB188">
        <f t="shared" si="205"/>
        <v>-7321.4620840592061</v>
      </c>
      <c r="EC188">
        <f t="shared" si="206"/>
        <v>-1091.5534457835092</v>
      </c>
      <c r="ED188">
        <f t="shared" si="207"/>
        <v>-1025.8964645466747</v>
      </c>
      <c r="EE188">
        <f t="shared" si="208"/>
        <v>-2599.0169256334016</v>
      </c>
      <c r="EF188">
        <f t="shared" si="209"/>
        <v>-641.08083462361981</v>
      </c>
      <c r="EG188">
        <f t="shared" si="158"/>
        <v>-774.96333982559577</v>
      </c>
      <c r="EH188">
        <f t="shared" si="228"/>
        <v>-5207.7237344005198</v>
      </c>
      <c r="EI188">
        <f t="shared" si="229"/>
        <v>-3101.9830367228797</v>
      </c>
      <c r="EJ188">
        <f t="shared" si="230"/>
        <v>-8898.0235522600342</v>
      </c>
      <c r="EK188">
        <f t="shared" si="231"/>
        <v>-1717.3116004480896</v>
      </c>
      <c r="EL188">
        <f t="shared" si="232"/>
        <v>-3831.2990128906172</v>
      </c>
      <c r="EM188">
        <f t="shared" si="159"/>
        <v>-4431.3902319613526</v>
      </c>
      <c r="EN188">
        <f t="shared" si="152"/>
        <v>-0.34138205859808668</v>
      </c>
      <c r="EO188">
        <v>37</v>
      </c>
      <c r="EP188">
        <f t="shared" si="243"/>
        <v>95834.497596136702</v>
      </c>
      <c r="EQ188" s="98">
        <f t="shared" si="160"/>
        <v>121219.39934999873</v>
      </c>
      <c r="ES188" s="99">
        <f t="shared" si="161"/>
        <v>0.20941286534977613</v>
      </c>
    </row>
    <row r="189" spans="1:153" x14ac:dyDescent="0.35">
      <c r="B189" s="87">
        <f t="shared" si="154"/>
        <v>-3.6630922903283041E-3</v>
      </c>
      <c r="C189" s="87">
        <f t="shared" si="242"/>
        <v>-7.5405568569215567E-5</v>
      </c>
      <c r="D189" s="87">
        <f t="shared" si="242"/>
        <v>-8.598793469527917E-3</v>
      </c>
      <c r="E189" s="87">
        <f t="shared" si="242"/>
        <v>-2.5795407175325602E-4</v>
      </c>
      <c r="F189" s="87">
        <f t="shared" si="242"/>
        <v>-2.5973726531425731E-3</v>
      </c>
      <c r="G189" s="87">
        <f t="shared" si="242"/>
        <v>-8.0074377834611383E-5</v>
      </c>
      <c r="H189" s="87">
        <f t="shared" si="242"/>
        <v>-1.6655958724009725E-4</v>
      </c>
      <c r="I189" s="87">
        <f t="shared" si="242"/>
        <v>-1.5112631050247485E-4</v>
      </c>
      <c r="J189" s="87">
        <f t="shared" si="242"/>
        <v>-1.0051003229514096E-3</v>
      </c>
      <c r="K189" s="87">
        <f t="shared" si="242"/>
        <v>-3.4296449239998029E-4</v>
      </c>
      <c r="L189" s="87">
        <f t="shared" si="242"/>
        <v>-8.1993607369764982E-5</v>
      </c>
      <c r="M189" s="87">
        <f t="shared" si="242"/>
        <v>-7.6904414032216912E-5</v>
      </c>
      <c r="N189" s="87">
        <f t="shared" si="242"/>
        <v>-6.4671601238565639E-5</v>
      </c>
      <c r="O189" s="87">
        <f t="shared" si="242"/>
        <v>-6.4945205808385954E-5</v>
      </c>
      <c r="P189" s="87">
        <f t="shared" si="242"/>
        <v>-5.6382626100509277E-5</v>
      </c>
      <c r="Q189" s="87">
        <f t="shared" si="242"/>
        <v>-2.2309143051629519E-4</v>
      </c>
      <c r="R189" s="87">
        <f t="shared" si="242"/>
        <v>-3.2955017182680909E-5</v>
      </c>
      <c r="S189" s="87">
        <f t="shared" si="242"/>
        <v>-4.3116010417866384E-5</v>
      </c>
      <c r="T189" s="87">
        <f t="shared" si="242"/>
        <v>-9.8548492793619664E-5</v>
      </c>
      <c r="U189" s="87">
        <f t="shared" si="242"/>
        <v>-2.9309233276853783E-4</v>
      </c>
      <c r="V189" s="87">
        <f t="shared" si="242"/>
        <v>-5.8373166923740734E-4</v>
      </c>
      <c r="W189" s="87">
        <f t="shared" si="242"/>
        <v>-8.6785669241774711E-3</v>
      </c>
      <c r="X189" s="87">
        <f t="shared" si="242"/>
        <v>-4.7035872440267239E-5</v>
      </c>
      <c r="Y189" s="87">
        <f t="shared" si="242"/>
        <v>-3.3274430281076978E-4</v>
      </c>
      <c r="Z189" s="87">
        <f t="shared" si="242"/>
        <v>-1.2806870102185638E-4</v>
      </c>
      <c r="AA189" s="87">
        <f t="shared" si="242"/>
        <v>-6.3900194986989115E-5</v>
      </c>
      <c r="AB189" s="87">
        <f t="shared" si="242"/>
        <v>-4.4261562452748603E-5</v>
      </c>
      <c r="AC189" s="87">
        <f t="shared" si="242"/>
        <v>-3.824493194521619E-5</v>
      </c>
      <c r="AD189" s="87">
        <f t="shared" si="242"/>
        <v>-1.4076647385818207E-5</v>
      </c>
      <c r="AE189" s="87">
        <f t="shared" si="242"/>
        <v>-8.0955330023356475E-5</v>
      </c>
      <c r="AF189" s="87">
        <f t="shared" si="242"/>
        <v>-2.2679614278740527E-4</v>
      </c>
      <c r="AG189" s="87">
        <f t="shared" si="242"/>
        <v>-2.7549970729183124E-4</v>
      </c>
      <c r="AH189" s="87">
        <f t="shared" si="242"/>
        <v>-8.689988548052671E-4</v>
      </c>
      <c r="AI189" s="87">
        <f t="shared" si="242"/>
        <v>-4.9228723231698E-4</v>
      </c>
      <c r="AJ189" s="87">
        <f t="shared" si="242"/>
        <v>0</v>
      </c>
      <c r="AK189" s="87">
        <f t="shared" si="242"/>
        <v>-6.5438373808558215E-2</v>
      </c>
      <c r="AL189" s="87">
        <f t="shared" si="242"/>
        <v>-7.5421462796248725E-4</v>
      </c>
      <c r="AM189" s="87">
        <f t="shared" si="242"/>
        <v>0.83100426239164582</v>
      </c>
      <c r="AN189" s="87">
        <f t="shared" si="242"/>
        <v>-5.3575661744908716E-3</v>
      </c>
      <c r="AO189" s="87">
        <f t="shared" si="242"/>
        <v>-0.11166947252287174</v>
      </c>
      <c r="AP189" s="87">
        <f t="shared" si="242"/>
        <v>-3.6090210634320912E-3</v>
      </c>
      <c r="AQ189" s="87">
        <f t="shared" si="242"/>
        <v>-3.6701391475324127E-3</v>
      </c>
      <c r="AR189" s="87">
        <f t="shared" si="242"/>
        <v>-1.9049137987520257E-3</v>
      </c>
      <c r="AS189" s="87">
        <f t="shared" si="242"/>
        <v>-1.2514117126555318E-2</v>
      </c>
      <c r="AT189" s="87">
        <f t="shared" si="242"/>
        <v>-4.2868834695522721E-3</v>
      </c>
      <c r="AU189" s="87">
        <f t="shared" si="242"/>
        <v>-3.3349889339113932E-3</v>
      </c>
      <c r="AV189" s="87">
        <f t="shared" si="242"/>
        <v>-2.4765956799212654E-3</v>
      </c>
      <c r="AW189" s="87">
        <f t="shared" si="242"/>
        <v>-2.2378795477461131E-3</v>
      </c>
      <c r="AX189" s="87">
        <f t="shared" si="242"/>
        <v>-1.5705147570001172E-3</v>
      </c>
      <c r="AY189" s="87">
        <f t="shared" si="242"/>
        <v>-1.291840111758589E-3</v>
      </c>
      <c r="AZ189" s="87">
        <f t="shared" si="242"/>
        <v>-2.8868993524161892E-3</v>
      </c>
      <c r="BA189" s="87">
        <f t="shared" si="242"/>
        <v>-1.2378961194423521E-3</v>
      </c>
      <c r="BB189" s="87">
        <f t="shared" si="242"/>
        <v>-1.9177070628916438E-3</v>
      </c>
      <c r="BC189" s="87">
        <f t="shared" si="242"/>
        <v>-8.5809686758368928E-4</v>
      </c>
      <c r="BD189" s="87">
        <f t="shared" si="242"/>
        <v>-4.2095404254469298E-3</v>
      </c>
      <c r="BE189" s="87">
        <f t="shared" si="242"/>
        <v>-2.219363692708174E-3</v>
      </c>
      <c r="BF189" s="87">
        <f t="shared" si="242"/>
        <v>-0.14663924238921264</v>
      </c>
      <c r="BG189" s="87">
        <f t="shared" si="242"/>
        <v>-2.0846893277440487E-3</v>
      </c>
      <c r="BH189" s="87">
        <f t="shared" si="242"/>
        <v>-5.168662003754332E-3</v>
      </c>
      <c r="BI189" s="87">
        <f t="shared" si="242"/>
        <v>-5.653669505357675E-3</v>
      </c>
      <c r="BJ189" s="87">
        <f t="shared" si="242"/>
        <v>-1.8793934312078331E-3</v>
      </c>
      <c r="BK189" s="87">
        <f t="shared" si="242"/>
        <v>-1.2594587228330438E-3</v>
      </c>
      <c r="BL189" s="87">
        <f t="shared" si="242"/>
        <v>-6.5357559422462132E-4</v>
      </c>
      <c r="BM189" s="87">
        <f t="shared" si="242"/>
        <v>-2.2589147789803826E-4</v>
      </c>
      <c r="BN189" s="87">
        <f t="shared" ref="BN189:BS192" si="244">BN116-BN39</f>
        <v>-1.9798542648726413E-3</v>
      </c>
      <c r="BO189" s="87">
        <f t="shared" si="244"/>
        <v>-6.777140165126783E-3</v>
      </c>
      <c r="BP189" s="87">
        <f t="shared" si="244"/>
        <v>-8.7163325945084878E-3</v>
      </c>
      <c r="BQ189" s="87">
        <f t="shared" si="244"/>
        <v>-9.7521495836014535E-3</v>
      </c>
      <c r="BR189" s="87">
        <f t="shared" si="244"/>
        <v>-7.5687110864973593E-3</v>
      </c>
      <c r="BS189" s="87">
        <f t="shared" si="244"/>
        <v>-5.0111837064532619E-5</v>
      </c>
      <c r="BU189" s="97">
        <v>1667020.2661547372</v>
      </c>
      <c r="BV189" s="98">
        <v>2705914.0397654902</v>
      </c>
      <c r="BW189">
        <f t="shared" si="155"/>
        <v>-852.3007892986941</v>
      </c>
      <c r="BX189">
        <f t="shared" si="190"/>
        <v>-2.6271086406019823</v>
      </c>
      <c r="BY189">
        <f t="shared" si="191"/>
        <v>-3190.961210071262</v>
      </c>
      <c r="BZ189">
        <f t="shared" si="192"/>
        <v>-19.650883542561164</v>
      </c>
      <c r="CA189">
        <f t="shared" si="193"/>
        <v>-38.990189529607385</v>
      </c>
      <c r="CB189">
        <f t="shared" si="194"/>
        <v>-4.1279283553229895</v>
      </c>
      <c r="CC189">
        <f t="shared" si="195"/>
        <v>-29.609069845755059</v>
      </c>
      <c r="CD189">
        <f t="shared" si="196"/>
        <v>-19.383318109497921</v>
      </c>
      <c r="CE189">
        <f t="shared" si="165"/>
        <v>-280.26980922744394</v>
      </c>
      <c r="CF189">
        <f t="shared" si="166"/>
        <v>-40.913082459151525</v>
      </c>
      <c r="CG189">
        <f t="shared" si="167"/>
        <v>-6.8686079590652227</v>
      </c>
      <c r="CH189">
        <f t="shared" si="168"/>
        <v>-23.078404994465188</v>
      </c>
      <c r="CI189">
        <f t="shared" si="169"/>
        <v>-15.456791134652212</v>
      </c>
      <c r="CJ189">
        <f t="shared" si="170"/>
        <v>-24.257589125083481</v>
      </c>
      <c r="CK189">
        <f t="shared" si="171"/>
        <v>-18.933576855589383</v>
      </c>
      <c r="CL189">
        <f t="shared" si="172"/>
        <v>-17.540640271507343</v>
      </c>
      <c r="CM189">
        <f t="shared" si="173"/>
        <v>-8.0338216710993979</v>
      </c>
      <c r="CN189">
        <f t="shared" si="174"/>
        <v>-23.664720222483488</v>
      </c>
      <c r="CO189">
        <f t="shared" si="175"/>
        <v>-14.171957056432369</v>
      </c>
      <c r="CP189">
        <f t="shared" si="176"/>
        <v>-136.34803245185847</v>
      </c>
      <c r="CQ189">
        <f t="shared" si="177"/>
        <v>-199.83493851269577</v>
      </c>
      <c r="CR189">
        <f t="shared" si="178"/>
        <v>-1882.1843990914431</v>
      </c>
      <c r="CS189">
        <f t="shared" si="179"/>
        <v>-9.5133545635379804</v>
      </c>
      <c r="CT189">
        <f t="shared" si="180"/>
        <v>-15.051471371065329</v>
      </c>
      <c r="CU189">
        <f t="shared" si="181"/>
        <v>-5.9638209452665851</v>
      </c>
      <c r="CV189">
        <f t="shared" si="182"/>
        <v>-11.172169387064701</v>
      </c>
      <c r="CW189">
        <f t="shared" si="183"/>
        <v>-12.42862525477747</v>
      </c>
      <c r="CX189">
        <f t="shared" si="184"/>
        <v>-20.461939119267782</v>
      </c>
      <c r="CY189">
        <f t="shared" si="185"/>
        <v>-7.8771130310664113</v>
      </c>
      <c r="CZ189">
        <f t="shared" si="186"/>
        <v>-72.457965531448451</v>
      </c>
      <c r="DA189">
        <f t="shared" si="187"/>
        <v>-89.965146029053628</v>
      </c>
      <c r="DB189">
        <f t="shared" si="188"/>
        <v>-64.533045373978126</v>
      </c>
      <c r="DC189">
        <f t="shared" si="156"/>
        <v>-411.08844383495773</v>
      </c>
      <c r="DD189">
        <f t="shared" si="219"/>
        <v>-141.6716364751486</v>
      </c>
      <c r="DE189">
        <f t="shared" si="220"/>
        <v>0</v>
      </c>
      <c r="DF189">
        <f t="shared" si="221"/>
        <v>-84174.037943427451</v>
      </c>
      <c r="DG189">
        <f t="shared" si="222"/>
        <v>-673.62226136340416</v>
      </c>
      <c r="DH189">
        <f t="shared" si="223"/>
        <v>1349175.6604263119</v>
      </c>
      <c r="DI189">
        <f t="shared" si="224"/>
        <v>-3872.6185436835349</v>
      </c>
      <c r="DJ189">
        <f t="shared" si="225"/>
        <v>-12052.067545438073</v>
      </c>
      <c r="DK189">
        <f t="shared" si="226"/>
        <v>-874.47236559338808</v>
      </c>
      <c r="DL189">
        <f t="shared" si="227"/>
        <v>-2419.7703743309239</v>
      </c>
      <c r="DM189">
        <f t="shared" si="157"/>
        <v>-999.19023407667851</v>
      </c>
      <c r="DN189">
        <f t="shared" si="211"/>
        <v>-13457.047768072323</v>
      </c>
      <c r="DO189">
        <f t="shared" si="212"/>
        <v>-2190.7206544966402</v>
      </c>
      <c r="DP189">
        <f t="shared" si="213"/>
        <v>-1359.2067334945657</v>
      </c>
      <c r="DQ189">
        <f t="shared" si="214"/>
        <v>-3887.3886975201062</v>
      </c>
      <c r="DR189">
        <f t="shared" si="215"/>
        <v>-2142.4273879028942</v>
      </c>
      <c r="DS189">
        <f t="shared" si="216"/>
        <v>-4842.0921799538201</v>
      </c>
      <c r="DT189">
        <f t="shared" si="217"/>
        <v>-1840.0268938711736</v>
      </c>
      <c r="DU189">
        <f t="shared" si="218"/>
        <v>-826.90037776741735</v>
      </c>
      <c r="DV189">
        <f t="shared" si="199"/>
        <v>-1016.4371270984241</v>
      </c>
      <c r="DW189">
        <f t="shared" si="200"/>
        <v>-4409.0706849428061</v>
      </c>
      <c r="DX189">
        <f t="shared" si="201"/>
        <v>-251.43484598671449</v>
      </c>
      <c r="DY189">
        <f t="shared" si="202"/>
        <v>-8061.6575524206673</v>
      </c>
      <c r="DZ189">
        <f t="shared" si="203"/>
        <v>-3161.7028847735537</v>
      </c>
      <c r="EA189">
        <f t="shared" si="204"/>
        <v>-131067.23439754359</v>
      </c>
      <c r="EB189">
        <f t="shared" si="205"/>
        <v>-1820.0278186755911</v>
      </c>
      <c r="EC189">
        <f t="shared" si="206"/>
        <v>-892.46242992244231</v>
      </c>
      <c r="ED189">
        <f t="shared" si="207"/>
        <v>-894.83801236755596</v>
      </c>
      <c r="EE189">
        <f t="shared" si="208"/>
        <v>-638.78623739537443</v>
      </c>
      <c r="EF189">
        <f t="shared" si="209"/>
        <v>-1342.7818344461468</v>
      </c>
      <c r="EG189">
        <f t="shared" si="158"/>
        <v>-1569.0181823076873</v>
      </c>
      <c r="EH189">
        <f t="shared" si="228"/>
        <v>-462.66349040625539</v>
      </c>
      <c r="EI189">
        <f t="shared" si="229"/>
        <v>-5162.0508243162049</v>
      </c>
      <c r="EJ189">
        <f t="shared" si="230"/>
        <v>-15070.063902645832</v>
      </c>
      <c r="EK189">
        <f t="shared" si="231"/>
        <v>-4987.5416613931275</v>
      </c>
      <c r="EL189">
        <f t="shared" si="232"/>
        <v>-12986.01125144845</v>
      </c>
      <c r="EM189">
        <f t="shared" si="159"/>
        <v>-7990.3506037159023</v>
      </c>
      <c r="EN189">
        <f t="shared" si="152"/>
        <v>-0.68972747767776077</v>
      </c>
      <c r="EO189">
        <v>38</v>
      </c>
      <c r="EP189">
        <f t="shared" si="243"/>
        <v>1004067.8553966925</v>
      </c>
      <c r="EQ189" s="98">
        <f t="shared" si="160"/>
        <v>1667020.2661547372</v>
      </c>
      <c r="ES189" s="99">
        <f t="shared" si="161"/>
        <v>0.39768707328751079</v>
      </c>
    </row>
    <row r="190" spans="1:153" x14ac:dyDescent="0.35">
      <c r="B190" s="87">
        <f t="shared" si="154"/>
        <v>-2.9270772412405311E-4</v>
      </c>
      <c r="C190" s="87">
        <f t="shared" ref="C190:BN193" si="245">C117-C40</f>
        <v>-2.5034426013720307E-4</v>
      </c>
      <c r="D190" s="87">
        <f t="shared" si="245"/>
        <v>-1.2971931251742658E-4</v>
      </c>
      <c r="E190" s="87">
        <f t="shared" si="245"/>
        <v>-4.0775333511672139E-2</v>
      </c>
      <c r="F190" s="87">
        <f t="shared" si="245"/>
        <v>-6.4754199252958135E-3</v>
      </c>
      <c r="G190" s="87">
        <f t="shared" si="245"/>
        <v>-1.8792989555640948E-4</v>
      </c>
      <c r="H190" s="87">
        <f t="shared" si="245"/>
        <v>-4.1888658130418235E-4</v>
      </c>
      <c r="I190" s="87">
        <f t="shared" si="245"/>
        <v>-7.964795378061859E-5</v>
      </c>
      <c r="J190" s="87">
        <f t="shared" si="245"/>
        <v>-5.0305540555377218E-4</v>
      </c>
      <c r="K190" s="87">
        <f t="shared" si="245"/>
        <v>-1.8132496588297972E-3</v>
      </c>
      <c r="L190" s="87">
        <f t="shared" si="245"/>
        <v>-3.0468787744665097E-4</v>
      </c>
      <c r="M190" s="87">
        <f t="shared" si="245"/>
        <v>-1.8994904403712084E-4</v>
      </c>
      <c r="N190" s="87">
        <f t="shared" si="245"/>
        <v>-2.3626613413265011E-4</v>
      </c>
      <c r="O190" s="87">
        <f t="shared" si="245"/>
        <v>-2.2259552971529048E-4</v>
      </c>
      <c r="P190" s="87">
        <f t="shared" si="245"/>
        <v>-9.0510551697606278E-4</v>
      </c>
      <c r="Q190" s="87">
        <f t="shared" si="245"/>
        <v>-4.2657797992169148E-3</v>
      </c>
      <c r="R190" s="87">
        <f t="shared" si="245"/>
        <v>-5.143071062415664E-5</v>
      </c>
      <c r="S190" s="87">
        <f t="shared" si="245"/>
        <v>-2.6396951879169213E-4</v>
      </c>
      <c r="T190" s="87">
        <f t="shared" si="245"/>
        <v>-2.04120801547652E-4</v>
      </c>
      <c r="U190" s="87">
        <f t="shared" si="245"/>
        <v>-3.5754122302256587E-4</v>
      </c>
      <c r="V190" s="87">
        <f t="shared" si="245"/>
        <v>-4.754817387962652E-4</v>
      </c>
      <c r="W190" s="87">
        <f t="shared" si="245"/>
        <v>-5.1924634738106012E-4</v>
      </c>
      <c r="X190" s="87">
        <f t="shared" si="245"/>
        <v>-9.6466774551738497E-5</v>
      </c>
      <c r="Y190" s="87">
        <f t="shared" si="245"/>
        <v>-8.6614935742901019E-5</v>
      </c>
      <c r="Z190" s="87">
        <f t="shared" si="245"/>
        <v>-6.513456932969407E-5</v>
      </c>
      <c r="AA190" s="87">
        <f t="shared" si="245"/>
        <v>-6.9613256831638353E-5</v>
      </c>
      <c r="AB190" s="87">
        <f t="shared" si="245"/>
        <v>-9.0794099396673386E-5</v>
      </c>
      <c r="AC190" s="87">
        <f t="shared" si="245"/>
        <v>-4.3151843608235582E-5</v>
      </c>
      <c r="AD190" s="87">
        <f t="shared" si="245"/>
        <v>-4.0936026474818488E-5</v>
      </c>
      <c r="AE190" s="87">
        <f t="shared" si="245"/>
        <v>-8.4744418286683557E-5</v>
      </c>
      <c r="AF190" s="87">
        <f t="shared" si="245"/>
        <v>-3.1504331919063756E-4</v>
      </c>
      <c r="AG190" s="87">
        <f t="shared" si="245"/>
        <v>-1.4519127318353203E-4</v>
      </c>
      <c r="AH190" s="87">
        <f t="shared" si="245"/>
        <v>-6.7280061463521434E-4</v>
      </c>
      <c r="AI190" s="87">
        <f t="shared" si="245"/>
        <v>-5.094405312335604E-4</v>
      </c>
      <c r="AJ190" s="87">
        <f t="shared" si="245"/>
        <v>0</v>
      </c>
      <c r="AK190" s="87">
        <f t="shared" si="245"/>
        <v>-1.6294513434924464E-3</v>
      </c>
      <c r="AL190" s="87">
        <f t="shared" si="245"/>
        <v>-9.5493983303528499E-4</v>
      </c>
      <c r="AM190" s="87">
        <f t="shared" si="245"/>
        <v>-1.7884870994310492E-3</v>
      </c>
      <c r="AN190" s="87">
        <f t="shared" si="245"/>
        <v>0.58622466370016624</v>
      </c>
      <c r="AO190" s="87">
        <f t="shared" si="245"/>
        <v>-7.1585987153955422E-2</v>
      </c>
      <c r="AP190" s="87">
        <f t="shared" si="245"/>
        <v>-4.0373609607715025E-3</v>
      </c>
      <c r="AQ190" s="87">
        <f t="shared" si="245"/>
        <v>-8.2417835220045445E-3</v>
      </c>
      <c r="AR190" s="87">
        <f t="shared" si="245"/>
        <v>-7.2440699550126056E-4</v>
      </c>
      <c r="AS190" s="87">
        <f t="shared" si="245"/>
        <v>-4.3149231384316256E-3</v>
      </c>
      <c r="AT190" s="87">
        <f t="shared" si="245"/>
        <v>-1.8880009713805147E-2</v>
      </c>
      <c r="AU190" s="87">
        <f t="shared" si="245"/>
        <v>-5.760836817321105E-3</v>
      </c>
      <c r="AV190" s="87">
        <f t="shared" si="245"/>
        <v>-3.036476094169422E-3</v>
      </c>
      <c r="AW190" s="87">
        <f t="shared" si="245"/>
        <v>-3.3397014470927296E-3</v>
      </c>
      <c r="AX190" s="87">
        <f t="shared" si="245"/>
        <v>-2.1361860901411506E-3</v>
      </c>
      <c r="AY190" s="87">
        <f t="shared" si="245"/>
        <v>-4.0224765243205016E-3</v>
      </c>
      <c r="AZ190" s="87">
        <f t="shared" si="245"/>
        <v>-2.8739787356823449E-2</v>
      </c>
      <c r="BA190" s="87">
        <f t="shared" si="245"/>
        <v>-1.5153443823508893E-3</v>
      </c>
      <c r="BB190" s="87">
        <f t="shared" si="245"/>
        <v>-2.8039073140016038E-3</v>
      </c>
      <c r="BC190" s="87">
        <f t="shared" si="245"/>
        <v>-1.6655540482228184E-3</v>
      </c>
      <c r="BD190" s="87">
        <f t="shared" si="245"/>
        <v>-2.9940427783792822E-3</v>
      </c>
      <c r="BE190" s="87">
        <f t="shared" si="245"/>
        <v>-2.6176826536655788E-3</v>
      </c>
      <c r="BF190" s="87">
        <f t="shared" si="245"/>
        <v>-2.7403938893355408E-3</v>
      </c>
      <c r="BG190" s="87">
        <f t="shared" si="245"/>
        <v>-2.6500580756730618E-3</v>
      </c>
      <c r="BH190" s="87">
        <f t="shared" si="245"/>
        <v>-4.4946431146692814E-3</v>
      </c>
      <c r="BI190" s="87">
        <f t="shared" si="245"/>
        <v>-3.5463442784491087E-3</v>
      </c>
      <c r="BJ190" s="87">
        <f t="shared" si="245"/>
        <v>-3.2449898291184451E-3</v>
      </c>
      <c r="BK190" s="87">
        <f t="shared" si="245"/>
        <v>-6.1210061715601658E-4</v>
      </c>
      <c r="BL190" s="87">
        <f t="shared" si="245"/>
        <v>-5.4194665370874693E-4</v>
      </c>
      <c r="BM190" s="87">
        <f t="shared" si="245"/>
        <v>-4.6273027256779435E-4</v>
      </c>
      <c r="BN190" s="87">
        <f t="shared" si="245"/>
        <v>-2.1560276870670305E-3</v>
      </c>
      <c r="BO190" s="87">
        <f t="shared" si="244"/>
        <v>-2.7792104665632002E-3</v>
      </c>
      <c r="BP190" s="87">
        <f t="shared" si="244"/>
        <v>-1.3939651548697883E-3</v>
      </c>
      <c r="BQ190" s="87">
        <f t="shared" si="244"/>
        <v>-3.5613077816458606E-3</v>
      </c>
      <c r="BR190" s="87">
        <f t="shared" si="244"/>
        <v>-4.9516367977839983E-3</v>
      </c>
      <c r="BS190" s="87">
        <f t="shared" si="244"/>
        <v>-2.0484944972419208E-4</v>
      </c>
      <c r="BU190" s="97">
        <v>497978.24731790106</v>
      </c>
      <c r="BV190" s="98">
        <v>1204719.4620206284</v>
      </c>
      <c r="BW190">
        <f t="shared" si="155"/>
        <v>-68.105033816222985</v>
      </c>
      <c r="BX190">
        <f t="shared" si="190"/>
        <v>-8.7219230808910844</v>
      </c>
      <c r="BY190">
        <f t="shared" si="191"/>
        <v>-48.138066800544387</v>
      </c>
      <c r="BZ190">
        <f t="shared" si="192"/>
        <v>-3106.255795075841</v>
      </c>
      <c r="CA190">
        <f t="shared" si="193"/>
        <v>-97.20509294867864</v>
      </c>
      <c r="CB190">
        <f t="shared" si="194"/>
        <v>-9.6880071460870631</v>
      </c>
      <c r="CC190">
        <f t="shared" si="195"/>
        <v>-74.464894208739096</v>
      </c>
      <c r="CD190">
        <f t="shared" si="196"/>
        <v>-10.215571463150592</v>
      </c>
      <c r="CE190">
        <f t="shared" si="165"/>
        <v>-140.27579071050226</v>
      </c>
      <c r="CF190">
        <f t="shared" si="166"/>
        <v>-216.30703601879961</v>
      </c>
      <c r="CG190">
        <f t="shared" si="167"/>
        <v>-25.523716387095636</v>
      </c>
      <c r="CH190">
        <f t="shared" si="168"/>
        <v>-57.002202302246822</v>
      </c>
      <c r="CI190">
        <f t="shared" si="169"/>
        <v>-56.46862328348147</v>
      </c>
      <c r="CJ190">
        <f t="shared" si="170"/>
        <v>-83.141331738094323</v>
      </c>
      <c r="CK190">
        <f t="shared" si="171"/>
        <v>-303.93910417609044</v>
      </c>
      <c r="CL190">
        <f t="shared" si="172"/>
        <v>-335.3984003884064</v>
      </c>
      <c r="CM190">
        <f t="shared" si="173"/>
        <v>-12.537852894506633</v>
      </c>
      <c r="CN190">
        <f t="shared" si="174"/>
        <v>-144.88271871463465</v>
      </c>
      <c r="CO190">
        <f t="shared" si="175"/>
        <v>-29.35398758371641</v>
      </c>
      <c r="CP190">
        <f t="shared" si="176"/>
        <v>-166.32998147398513</v>
      </c>
      <c r="CQ190">
        <f t="shared" si="177"/>
        <v>-162.7766130290542</v>
      </c>
      <c r="CR190">
        <f t="shared" si="178"/>
        <v>-112.61276001722769</v>
      </c>
      <c r="CS190">
        <f t="shared" si="179"/>
        <v>-19.511121667340692</v>
      </c>
      <c r="CT190">
        <f t="shared" si="180"/>
        <v>-3.9179700888292475</v>
      </c>
      <c r="CU190">
        <f t="shared" si="181"/>
        <v>-3.0331447553532573</v>
      </c>
      <c r="CV190">
        <f t="shared" si="182"/>
        <v>-12.171028540157954</v>
      </c>
      <c r="CW190">
        <f t="shared" si="183"/>
        <v>-25.494939044480009</v>
      </c>
      <c r="CX190">
        <f t="shared" si="184"/>
        <v>-23.087252398845649</v>
      </c>
      <c r="CY190">
        <f t="shared" si="185"/>
        <v>-22.907280316600005</v>
      </c>
      <c r="CZ190">
        <f t="shared" si="186"/>
        <v>-75.849337374421111</v>
      </c>
      <c r="DA190">
        <f t="shared" si="187"/>
        <v>-124.97090059874436</v>
      </c>
      <c r="DB190">
        <f t="shared" si="188"/>
        <v>-34.009600635740291</v>
      </c>
      <c r="DC190">
        <f t="shared" si="156"/>
        <v>-318.27493920411661</v>
      </c>
      <c r="DD190">
        <f t="shared" si="219"/>
        <v>-146.60805523421686</v>
      </c>
      <c r="DE190">
        <f t="shared" si="220"/>
        <v>0</v>
      </c>
      <c r="DF190">
        <f t="shared" si="221"/>
        <v>-2095.9796405601414</v>
      </c>
      <c r="DG190">
        <f t="shared" si="222"/>
        <v>-852.89877171039814</v>
      </c>
      <c r="DH190">
        <f t="shared" si="223"/>
        <v>-2903.6954113739603</v>
      </c>
      <c r="DI190">
        <f t="shared" si="224"/>
        <v>423741.75688565278</v>
      </c>
      <c r="DJ190">
        <f t="shared" si="225"/>
        <v>-7726.0072336208605</v>
      </c>
      <c r="DK190">
        <f t="shared" si="226"/>
        <v>-978.25990152652992</v>
      </c>
      <c r="DL190">
        <f t="shared" si="227"/>
        <v>-5433.9148453278767</v>
      </c>
      <c r="DM190">
        <f t="shared" si="157"/>
        <v>-379.97540669603399</v>
      </c>
      <c r="DN190">
        <f t="shared" si="211"/>
        <v>-4640.0498095240719</v>
      </c>
      <c r="DO190">
        <f t="shared" si="212"/>
        <v>-9648.2275599270997</v>
      </c>
      <c r="DP190">
        <f t="shared" si="213"/>
        <v>-2347.8843102135124</v>
      </c>
      <c r="DQ190">
        <f t="shared" si="214"/>
        <v>-4766.2050549726691</v>
      </c>
      <c r="DR190">
        <f t="shared" si="215"/>
        <v>-3197.2533351388997</v>
      </c>
      <c r="DS190">
        <f t="shared" si="216"/>
        <v>-6586.1272018584541</v>
      </c>
      <c r="DT190">
        <f t="shared" si="217"/>
        <v>-5729.3970959297067</v>
      </c>
      <c r="DU190">
        <f t="shared" si="218"/>
        <v>-8231.9949957460412</v>
      </c>
      <c r="DV190">
        <f t="shared" si="199"/>
        <v>-1244.250035500012</v>
      </c>
      <c r="DW190">
        <f t="shared" si="200"/>
        <v>-6446.5662043398961</v>
      </c>
      <c r="DX190">
        <f t="shared" si="201"/>
        <v>-488.03152816148713</v>
      </c>
      <c r="DY190">
        <f t="shared" si="202"/>
        <v>-5733.8676285616766</v>
      </c>
      <c r="DZ190">
        <f t="shared" si="203"/>
        <v>-3729.1476042022528</v>
      </c>
      <c r="EA190">
        <f t="shared" si="204"/>
        <v>-2449.3842329177219</v>
      </c>
      <c r="EB190">
        <f t="shared" si="205"/>
        <v>-2313.6202381053545</v>
      </c>
      <c r="EC190">
        <f t="shared" si="206"/>
        <v>-776.08094954521221</v>
      </c>
      <c r="ED190">
        <f t="shared" si="207"/>
        <v>-561.29981816078794</v>
      </c>
      <c r="EE190">
        <f t="shared" si="208"/>
        <v>-1102.938218740429</v>
      </c>
      <c r="EF190">
        <f t="shared" si="209"/>
        <v>-652.59589271932771</v>
      </c>
      <c r="EG190">
        <f t="shared" si="158"/>
        <v>-1301.03412829946</v>
      </c>
      <c r="EH190">
        <f t="shared" si="228"/>
        <v>-947.74891472217371</v>
      </c>
      <c r="EI190">
        <f t="shared" si="229"/>
        <v>-5621.3857235541818</v>
      </c>
      <c r="EJ190">
        <f t="shared" si="230"/>
        <v>-6180.0225920553976</v>
      </c>
      <c r="EK190">
        <f t="shared" si="231"/>
        <v>-797.63584157213313</v>
      </c>
      <c r="EL190">
        <f t="shared" si="232"/>
        <v>-4742.2552869872052</v>
      </c>
      <c r="EM190">
        <f t="shared" si="159"/>
        <v>-5227.4837319580192</v>
      </c>
      <c r="EN190">
        <f t="shared" si="152"/>
        <v>-2.8194993945241835</v>
      </c>
      <c r="EO190">
        <v>39</v>
      </c>
      <c r="EP190">
        <f t="shared" si="243"/>
        <v>301826.53816891229</v>
      </c>
      <c r="EQ190" s="98">
        <f t="shared" si="160"/>
        <v>497978.24731790106</v>
      </c>
      <c r="ES190" s="99">
        <f t="shared" si="161"/>
        <v>0.39389613945078361</v>
      </c>
    </row>
    <row r="191" spans="1:153" x14ac:dyDescent="0.35">
      <c r="B191" s="87">
        <f t="shared" si="154"/>
        <v>-4.6542035333218464E-5</v>
      </c>
      <c r="C191" s="87">
        <f t="shared" si="245"/>
        <v>-3.5048983187787085E-5</v>
      </c>
      <c r="D191" s="87">
        <f t="shared" si="245"/>
        <v>-2.5150925446812023E-5</v>
      </c>
      <c r="E191" s="87">
        <f t="shared" si="245"/>
        <v>-6.7547496946782754E-4</v>
      </c>
      <c r="F191" s="87">
        <f t="shared" si="245"/>
        <v>-2.7242470761515328E-2</v>
      </c>
      <c r="G191" s="87">
        <f t="shared" si="245"/>
        <v>-4.0615278907230559E-5</v>
      </c>
      <c r="H191" s="87">
        <f t="shared" si="245"/>
        <v>-2.010082215510894E-5</v>
      </c>
      <c r="I191" s="87">
        <f t="shared" si="245"/>
        <v>-2.2746506080584624E-5</v>
      </c>
      <c r="J191" s="87">
        <f t="shared" si="245"/>
        <v>-2.353651938536617E-5</v>
      </c>
      <c r="K191" s="87">
        <f t="shared" si="245"/>
        <v>-7.4090910310449813E-5</v>
      </c>
      <c r="L191" s="87">
        <f t="shared" si="245"/>
        <v>-2.7582092064104544E-5</v>
      </c>
      <c r="M191" s="87">
        <f t="shared" si="245"/>
        <v>-3.0556349649637006E-5</v>
      </c>
      <c r="N191" s="87">
        <f t="shared" si="245"/>
        <v>-3.450154654137869E-5</v>
      </c>
      <c r="O191" s="87">
        <f t="shared" si="245"/>
        <v>-4.6325496649007979E-5</v>
      </c>
      <c r="P191" s="87">
        <f t="shared" si="245"/>
        <v>-1.5827941035890237E-4</v>
      </c>
      <c r="Q191" s="87">
        <f t="shared" si="245"/>
        <v>-1.3421708757235559E-3</v>
      </c>
      <c r="R191" s="87">
        <f t="shared" si="245"/>
        <v>-7.4305705665577981E-6</v>
      </c>
      <c r="S191" s="87">
        <f t="shared" si="245"/>
        <v>-3.2637582722159242E-5</v>
      </c>
      <c r="T191" s="87">
        <f t="shared" si="245"/>
        <v>-3.3617714552010926E-4</v>
      </c>
      <c r="U191" s="87">
        <f t="shared" si="245"/>
        <v>-1.1765678916159181E-4</v>
      </c>
      <c r="V191" s="87">
        <f t="shared" si="245"/>
        <v>-1.0702583982698236E-4</v>
      </c>
      <c r="W191" s="87">
        <f t="shared" si="245"/>
        <v>-8.482247403260994E-5</v>
      </c>
      <c r="X191" s="87">
        <f t="shared" si="245"/>
        <v>-2.3341919549204711E-5</v>
      </c>
      <c r="Y191" s="87">
        <f t="shared" si="245"/>
        <v>-3.5694703248408613E-6</v>
      </c>
      <c r="Z191" s="87">
        <f t="shared" si="245"/>
        <v>-1.2511183911238787E-5</v>
      </c>
      <c r="AA191" s="87">
        <f t="shared" si="245"/>
        <v>-1.455557330814726E-5</v>
      </c>
      <c r="AB191" s="87">
        <f t="shared" si="245"/>
        <v>-2.2142989778581262E-5</v>
      </c>
      <c r="AC191" s="87">
        <f t="shared" si="245"/>
        <v>-1.0990533742926519E-5</v>
      </c>
      <c r="AD191" s="87">
        <f t="shared" si="245"/>
        <v>-2.598016507903612E-6</v>
      </c>
      <c r="AE191" s="87">
        <f t="shared" si="245"/>
        <v>-1.6545472494812388E-5</v>
      </c>
      <c r="AF191" s="87">
        <f t="shared" si="245"/>
        <v>-7.8994163436509751E-5</v>
      </c>
      <c r="AG191" s="87">
        <f t="shared" si="245"/>
        <v>-3.3976607737027879E-5</v>
      </c>
      <c r="AH191" s="87">
        <f t="shared" si="245"/>
        <v>-6.2661164921649798E-5</v>
      </c>
      <c r="AI191" s="87">
        <f t="shared" si="245"/>
        <v>-1.0199755690644538E-4</v>
      </c>
      <c r="AJ191" s="87">
        <f t="shared" si="245"/>
        <v>0</v>
      </c>
      <c r="AK191" s="87">
        <f t="shared" si="245"/>
        <v>-1.4556105037612742E-4</v>
      </c>
      <c r="AL191" s="87">
        <f t="shared" si="245"/>
        <v>-4.9335037309940566E-5</v>
      </c>
      <c r="AM191" s="87">
        <f t="shared" si="245"/>
        <v>-9.989457129467242E-5</v>
      </c>
      <c r="AN191" s="87">
        <f t="shared" si="245"/>
        <v>-1.5426474715274576E-2</v>
      </c>
      <c r="AO191" s="87">
        <f t="shared" si="245"/>
        <v>0.75055769982389309</v>
      </c>
      <c r="AP191" s="87">
        <f t="shared" si="245"/>
        <v>-6.3542022738422672E-4</v>
      </c>
      <c r="AQ191" s="87">
        <f t="shared" si="245"/>
        <v>-8.8338124708094981E-4</v>
      </c>
      <c r="AR191" s="87">
        <f t="shared" si="245"/>
        <v>-3.0887300043472419E-5</v>
      </c>
      <c r="AS191" s="87">
        <f t="shared" si="245"/>
        <v>-3.247801867797478E-4</v>
      </c>
      <c r="AT191" s="87">
        <f t="shared" si="245"/>
        <v>-1.4695683285228757E-3</v>
      </c>
      <c r="AU191" s="87">
        <f t="shared" si="245"/>
        <v>-2.7519636523646158E-4</v>
      </c>
      <c r="AV191" s="87">
        <f t="shared" si="245"/>
        <v>-1.0912764094336696E-4</v>
      </c>
      <c r="AW191" s="87">
        <f t="shared" si="245"/>
        <v>-1.8016862590756005E-4</v>
      </c>
      <c r="AX191" s="87">
        <f t="shared" si="245"/>
        <v>-3.3750837916795824E-4</v>
      </c>
      <c r="AY191" s="87">
        <f t="shared" si="245"/>
        <v>-3.0538498019424087E-3</v>
      </c>
      <c r="AZ191" s="87">
        <f t="shared" si="245"/>
        <v>-6.4183222431153653E-3</v>
      </c>
      <c r="BA191" s="87">
        <f t="shared" si="245"/>
        <v>-7.8507927568137315E-5</v>
      </c>
      <c r="BB191" s="87">
        <f t="shared" si="245"/>
        <v>-8.478477948977315E-5</v>
      </c>
      <c r="BC191" s="87">
        <f t="shared" si="245"/>
        <v>-1.0259058208542822E-4</v>
      </c>
      <c r="BD191" s="87">
        <f t="shared" si="245"/>
        <v>-7.5673982623320851E-5</v>
      </c>
      <c r="BE191" s="87">
        <f t="shared" si="245"/>
        <v>-1.1708871452334623E-4</v>
      </c>
      <c r="BF191" s="87">
        <f t="shared" si="245"/>
        <v>-5.5021037912052533E-5</v>
      </c>
      <c r="BG191" s="87">
        <f t="shared" si="245"/>
        <v>-2.8637349464645637E-4</v>
      </c>
      <c r="BH191" s="87">
        <f t="shared" si="245"/>
        <v>-1.1143987033431231E-4</v>
      </c>
      <c r="BI191" s="87">
        <f t="shared" si="245"/>
        <v>-1.6567559118903962E-4</v>
      </c>
      <c r="BJ191" s="87">
        <f t="shared" si="245"/>
        <v>-2.6415180254740056E-4</v>
      </c>
      <c r="BK191" s="87">
        <f t="shared" si="245"/>
        <v>-1.7931575386433414E-4</v>
      </c>
      <c r="BL191" s="87">
        <f t="shared" si="245"/>
        <v>-3.1384299864436826E-5</v>
      </c>
      <c r="BM191" s="87">
        <f t="shared" si="245"/>
        <v>-8.3565984856813449E-6</v>
      </c>
      <c r="BN191" s="87">
        <f t="shared" si="245"/>
        <v>-1.0351440322167588E-4</v>
      </c>
      <c r="BO191" s="87">
        <f t="shared" si="244"/>
        <v>-6.8824526492025141E-4</v>
      </c>
      <c r="BP191" s="87">
        <f t="shared" si="244"/>
        <v>-1.2846821751931765E-4</v>
      </c>
      <c r="BQ191" s="87">
        <f t="shared" si="244"/>
        <v>-2.847138619110778E-4</v>
      </c>
      <c r="BR191" s="87">
        <f t="shared" si="244"/>
        <v>-4.2489861995169517E-4</v>
      </c>
      <c r="BS191" s="87">
        <f t="shared" si="244"/>
        <v>-5.1198414884883935E-6</v>
      </c>
      <c r="BU191" s="97">
        <v>90635.536296478371</v>
      </c>
      <c r="BV191" s="98">
        <v>179877.08537158789</v>
      </c>
      <c r="BW191">
        <f t="shared" si="155"/>
        <v>-10.829051060167142</v>
      </c>
      <c r="BX191">
        <f t="shared" si="190"/>
        <v>-1.2210966421190785</v>
      </c>
      <c r="BY191">
        <f t="shared" si="191"/>
        <v>-9.3333591256236446</v>
      </c>
      <c r="BZ191">
        <f t="shared" si="192"/>
        <v>-51.457532229319391</v>
      </c>
      <c r="CA191">
        <f t="shared" si="193"/>
        <v>-408.94751739267093</v>
      </c>
      <c r="CB191">
        <f t="shared" si="194"/>
        <v>-2.0937653965516123</v>
      </c>
      <c r="CC191">
        <f t="shared" si="195"/>
        <v>-3.5732956415759061</v>
      </c>
      <c r="CD191">
        <f t="shared" si="196"/>
        <v>-2.9174454254435087</v>
      </c>
      <c r="CE191">
        <f t="shared" si="165"/>
        <v>-6.5631018589708647</v>
      </c>
      <c r="CF191">
        <f t="shared" si="166"/>
        <v>-8.838487919821775</v>
      </c>
      <c r="CG191">
        <f t="shared" si="167"/>
        <v>-2.3105530193935313</v>
      </c>
      <c r="CH191">
        <f t="shared" si="168"/>
        <v>-9.1697182956414878</v>
      </c>
      <c r="CI191">
        <f t="shared" si="169"/>
        <v>-8.2460181671605159</v>
      </c>
      <c r="CJ191">
        <f t="shared" si="170"/>
        <v>-17.302968706305421</v>
      </c>
      <c r="CK191">
        <f t="shared" si="171"/>
        <v>-53.151042935557406</v>
      </c>
      <c r="CL191">
        <f t="shared" si="172"/>
        <v>-105.52864562962795</v>
      </c>
      <c r="CM191">
        <f t="shared" si="173"/>
        <v>-1.8114352213907441</v>
      </c>
      <c r="CN191">
        <f t="shared" si="174"/>
        <v>-17.913514176580907</v>
      </c>
      <c r="CO191">
        <f t="shared" si="175"/>
        <v>-48.344606138648714</v>
      </c>
      <c r="CP191">
        <f t="shared" si="176"/>
        <v>-54.734532136175552</v>
      </c>
      <c r="CQ191">
        <f t="shared" si="177"/>
        <v>-36.639269801885995</v>
      </c>
      <c r="CR191">
        <f t="shared" si="178"/>
        <v>-18.396071461032005</v>
      </c>
      <c r="CS191">
        <f t="shared" si="179"/>
        <v>-4.7210766026965052</v>
      </c>
      <c r="CT191">
        <f t="shared" si="180"/>
        <v>-0.16146266051852765</v>
      </c>
      <c r="CU191">
        <f t="shared" si="181"/>
        <v>-0.58261277005686496</v>
      </c>
      <c r="CV191">
        <f t="shared" si="182"/>
        <v>-2.544864386682542</v>
      </c>
      <c r="CW191">
        <f t="shared" si="183"/>
        <v>-6.2177407829231379</v>
      </c>
      <c r="CX191">
        <f t="shared" si="184"/>
        <v>-5.8801943394267289</v>
      </c>
      <c r="CY191">
        <f t="shared" si="185"/>
        <v>-1.4538170296111081</v>
      </c>
      <c r="CZ191">
        <f t="shared" si="186"/>
        <v>-14.808799808298764</v>
      </c>
      <c r="DA191">
        <f t="shared" si="187"/>
        <v>-31.335283579625269</v>
      </c>
      <c r="DB191">
        <f t="shared" si="188"/>
        <v>-7.9586798487044677</v>
      </c>
      <c r="DC191">
        <f t="shared" si="156"/>
        <v>-29.642479543081819</v>
      </c>
      <c r="DD191">
        <f t="shared" si="219"/>
        <v>-29.35310902822453</v>
      </c>
      <c r="DE191">
        <f t="shared" si="220"/>
        <v>0</v>
      </c>
      <c r="DF191">
        <f t="shared" si="221"/>
        <v>-187.23664211598873</v>
      </c>
      <c r="DG191">
        <f t="shared" si="222"/>
        <v>-44.063292019341496</v>
      </c>
      <c r="DH191">
        <f t="shared" si="223"/>
        <v>-162.18367377756528</v>
      </c>
      <c r="DI191">
        <f t="shared" si="224"/>
        <v>-11150.744591916247</v>
      </c>
      <c r="DJ191">
        <f t="shared" si="225"/>
        <v>81004.878868515036</v>
      </c>
      <c r="DK191">
        <f t="shared" si="226"/>
        <v>-153.96347641655396</v>
      </c>
      <c r="DL191">
        <f t="shared" si="227"/>
        <v>-582.42472151585093</v>
      </c>
      <c r="DM191">
        <f t="shared" si="157"/>
        <v>-16.201409523440248</v>
      </c>
      <c r="DN191">
        <f t="shared" si="211"/>
        <v>-349.25216404951288</v>
      </c>
      <c r="DO191">
        <f t="shared" si="212"/>
        <v>-750.9916500775347</v>
      </c>
      <c r="DP191">
        <f t="shared" si="213"/>
        <v>-112.15891868760438</v>
      </c>
      <c r="DQ191">
        <f t="shared" si="214"/>
        <v>-171.29221432049164</v>
      </c>
      <c r="DR191">
        <f t="shared" si="215"/>
        <v>-172.48390288652791</v>
      </c>
      <c r="DS191">
        <f t="shared" si="216"/>
        <v>-1040.5802786340437</v>
      </c>
      <c r="DT191">
        <f t="shared" si="217"/>
        <v>-4349.7377998023212</v>
      </c>
      <c r="DU191">
        <f t="shared" si="218"/>
        <v>-1838.4129266658222</v>
      </c>
      <c r="DV191">
        <f t="shared" si="199"/>
        <v>-64.462898864047062</v>
      </c>
      <c r="DW191">
        <f t="shared" si="200"/>
        <v>-194.93179798484215</v>
      </c>
      <c r="DX191">
        <f t="shared" si="201"/>
        <v>-30.060530670590392</v>
      </c>
      <c r="DY191">
        <f t="shared" si="202"/>
        <v>-144.92264520117411</v>
      </c>
      <c r="DZ191">
        <f t="shared" si="203"/>
        <v>-166.80444385893119</v>
      </c>
      <c r="EA191">
        <f t="shared" si="204"/>
        <v>-49.178208747658026</v>
      </c>
      <c r="EB191">
        <f t="shared" si="205"/>
        <v>-250.01697847799804</v>
      </c>
      <c r="EC191">
        <f t="shared" si="206"/>
        <v>-19.242097354510904</v>
      </c>
      <c r="ED191">
        <f t="shared" si="207"/>
        <v>-26.222405921840469</v>
      </c>
      <c r="EE191">
        <f t="shared" si="208"/>
        <v>-89.782444297476161</v>
      </c>
      <c r="EF191">
        <f t="shared" si="209"/>
        <v>-191.17890293175</v>
      </c>
      <c r="EG191">
        <f t="shared" si="158"/>
        <v>-75.343292438448003</v>
      </c>
      <c r="EH191">
        <f t="shared" si="228"/>
        <v>-17.115709982888806</v>
      </c>
      <c r="EI191">
        <f t="shared" si="229"/>
        <v>-269.89189050913558</v>
      </c>
      <c r="EJ191">
        <f t="shared" si="230"/>
        <v>-1530.4243191563926</v>
      </c>
      <c r="EK191">
        <f t="shared" si="231"/>
        <v>-73.510341659770333</v>
      </c>
      <c r="EL191">
        <f t="shared" si="232"/>
        <v>-379.12640516073697</v>
      </c>
      <c r="EM191">
        <f t="shared" si="159"/>
        <v>-448.56897107698387</v>
      </c>
      <c r="EN191">
        <f t="shared" si="152"/>
        <v>-7.0468287790318856E-2</v>
      </c>
      <c r="EO191">
        <v>40</v>
      </c>
      <c r="EP191">
        <f t="shared" si="243"/>
        <v>54888.313304761723</v>
      </c>
      <c r="EQ191" s="98">
        <f t="shared" si="160"/>
        <v>90635.536296478371</v>
      </c>
      <c r="ES191" s="99">
        <f t="shared" si="161"/>
        <v>0.39440626108046323</v>
      </c>
    </row>
    <row r="192" spans="1:153" x14ac:dyDescent="0.35">
      <c r="B192" s="87">
        <f t="shared" si="154"/>
        <v>-1.6517503830405745E-4</v>
      </c>
      <c r="C192" s="87">
        <f t="shared" si="245"/>
        <v>-1.4096855015537061E-4</v>
      </c>
      <c r="D192" s="87">
        <f t="shared" si="245"/>
        <v>-1.4520761602329336E-4</v>
      </c>
      <c r="E192" s="87">
        <f t="shared" si="245"/>
        <v>-6.3783489816887485E-5</v>
      </c>
      <c r="F192" s="87">
        <f t="shared" si="245"/>
        <v>-1.2090063372820168E-4</v>
      </c>
      <c r="G192" s="87">
        <f t="shared" si="245"/>
        <v>-1.1826986425163721E-2</v>
      </c>
      <c r="H192" s="87">
        <f t="shared" si="245"/>
        <v>-3.2728433602101777E-4</v>
      </c>
      <c r="I192" s="87">
        <f t="shared" si="245"/>
        <v>-3.6881515285614377E-5</v>
      </c>
      <c r="J192" s="87">
        <f t="shared" si="245"/>
        <v>-9.0527671691639316E-5</v>
      </c>
      <c r="K192" s="87">
        <f t="shared" si="245"/>
        <v>-1.8413908500582851E-4</v>
      </c>
      <c r="L192" s="87">
        <f t="shared" si="245"/>
        <v>-3.2922111464312565E-4</v>
      </c>
      <c r="M192" s="87">
        <f t="shared" si="245"/>
        <v>-2.0847485382540374E-4</v>
      </c>
      <c r="N192" s="87">
        <f t="shared" si="245"/>
        <v>-1.5794403544013672E-4</v>
      </c>
      <c r="O192" s="87">
        <f t="shared" si="245"/>
        <v>-9.4504581832534695E-5</v>
      </c>
      <c r="P192" s="87">
        <f t="shared" si="245"/>
        <v>-1.9992850708050141E-4</v>
      </c>
      <c r="Q192" s="87">
        <f t="shared" si="245"/>
        <v>-5.4723351145503389E-3</v>
      </c>
      <c r="R192" s="87">
        <f t="shared" si="245"/>
        <v>-6.7613978433479682E-5</v>
      </c>
      <c r="S192" s="87">
        <f t="shared" si="245"/>
        <v>-1.3561518899640906E-3</v>
      </c>
      <c r="T192" s="87">
        <f t="shared" si="245"/>
        <v>-4.2755282809291806E-5</v>
      </c>
      <c r="U192" s="87">
        <f t="shared" si="245"/>
        <v>-6.297611207489441E-5</v>
      </c>
      <c r="V192" s="87">
        <f t="shared" si="245"/>
        <v>-7.5401557119626723E-5</v>
      </c>
      <c r="W192" s="87">
        <f t="shared" si="245"/>
        <v>-7.0039783338250098E-5</v>
      </c>
      <c r="X192" s="87">
        <f t="shared" si="245"/>
        <v>-2.3948707563259799E-5</v>
      </c>
      <c r="Y192" s="87">
        <f t="shared" si="245"/>
        <v>-1.2127433041516649E-5</v>
      </c>
      <c r="Z192" s="87">
        <f t="shared" si="245"/>
        <v>-1.1972417225945916E-5</v>
      </c>
      <c r="AA192" s="87">
        <f t="shared" si="245"/>
        <v>-7.8773074859442212E-5</v>
      </c>
      <c r="AB192" s="87">
        <f t="shared" si="245"/>
        <v>-2.2403050923276991E-5</v>
      </c>
      <c r="AC192" s="87">
        <f t="shared" si="245"/>
        <v>-8.3068263709909569E-6</v>
      </c>
      <c r="AD192" s="87">
        <f t="shared" si="245"/>
        <v>-9.7954813464884067E-5</v>
      </c>
      <c r="AE192" s="87">
        <f t="shared" si="245"/>
        <v>-3.8259548756549005E-5</v>
      </c>
      <c r="AF192" s="87">
        <f t="shared" si="245"/>
        <v>-4.5887975970637765E-5</v>
      </c>
      <c r="AG192" s="87">
        <f t="shared" si="245"/>
        <v>-6.6005201089858824E-5</v>
      </c>
      <c r="AH192" s="87">
        <f t="shared" si="245"/>
        <v>-2.0795563137878288E-5</v>
      </c>
      <c r="AI192" s="87">
        <f t="shared" si="245"/>
        <v>-1.7902955557471176E-4</v>
      </c>
      <c r="AJ192" s="87">
        <f t="shared" si="245"/>
        <v>0</v>
      </c>
      <c r="AK192" s="87">
        <f t="shared" si="245"/>
        <v>-1.0623913764672714E-3</v>
      </c>
      <c r="AL192" s="87">
        <f t="shared" si="245"/>
        <v>-1.3608524146122578E-3</v>
      </c>
      <c r="AM192" s="87">
        <f t="shared" si="245"/>
        <v>-1.220119237586498E-3</v>
      </c>
      <c r="AN192" s="87">
        <f t="shared" si="245"/>
        <v>-1.5197970157528552E-3</v>
      </c>
      <c r="AO192" s="87">
        <f t="shared" si="245"/>
        <v>-1.7098846535938403E-3</v>
      </c>
      <c r="AP192" s="87">
        <f t="shared" si="245"/>
        <v>0.71162750291945787</v>
      </c>
      <c r="AQ192" s="87">
        <f t="shared" si="245"/>
        <v>-1.4982101067905377E-2</v>
      </c>
      <c r="AR192" s="87">
        <f t="shared" si="245"/>
        <v>-2.2796835326841221E-4</v>
      </c>
      <c r="AS192" s="87">
        <f t="shared" si="245"/>
        <v>-1.4313224598161743E-3</v>
      </c>
      <c r="AT192" s="87">
        <f t="shared" si="245"/>
        <v>-2.8893907739896709E-3</v>
      </c>
      <c r="AU192" s="87">
        <f t="shared" si="245"/>
        <v>-8.8439972480186813E-3</v>
      </c>
      <c r="AV192" s="87">
        <f t="shared" si="245"/>
        <v>-4.3477541456191371E-3</v>
      </c>
      <c r="AW192" s="87">
        <f t="shared" si="245"/>
        <v>-3.4791552685858864E-3</v>
      </c>
      <c r="AX192" s="87">
        <f t="shared" si="245"/>
        <v>-1.6090738072101522E-3</v>
      </c>
      <c r="AY192" s="87">
        <f t="shared" si="245"/>
        <v>-2.5254054621969969E-3</v>
      </c>
      <c r="AZ192" s="87">
        <f t="shared" si="245"/>
        <v>-6.4165798446025088E-2</v>
      </c>
      <c r="BA192" s="87">
        <f t="shared" si="245"/>
        <v>-4.6250268787133313E-4</v>
      </c>
      <c r="BB192" s="87">
        <f t="shared" si="245"/>
        <v>-2.9958404152156483E-2</v>
      </c>
      <c r="BC192" s="87">
        <f t="shared" si="245"/>
        <v>-9.5665150110670668E-4</v>
      </c>
      <c r="BD192" s="87">
        <f t="shared" si="245"/>
        <v>-9.4771456869652813E-4</v>
      </c>
      <c r="BE192" s="87">
        <f t="shared" si="245"/>
        <v>-1.0024297137270375E-3</v>
      </c>
      <c r="BF192" s="87">
        <f t="shared" si="245"/>
        <v>-2.5668016321549873E-3</v>
      </c>
      <c r="BG192" s="87">
        <f t="shared" si="245"/>
        <v>-1.354121548359433E-3</v>
      </c>
      <c r="BH192" s="87">
        <f t="shared" si="245"/>
        <v>-7.1200387623728792E-4</v>
      </c>
      <c r="BI192" s="87">
        <f t="shared" si="245"/>
        <v>-3.7894128110183982E-4</v>
      </c>
      <c r="BJ192" s="87">
        <f t="shared" si="245"/>
        <v>-2.6148549585209972E-3</v>
      </c>
      <c r="BK192" s="87">
        <f t="shared" si="245"/>
        <v>-4.584167756926295E-4</v>
      </c>
      <c r="BL192" s="87">
        <f t="shared" si="245"/>
        <v>-2.907348840140936E-4</v>
      </c>
      <c r="BM192" s="87">
        <f t="shared" si="245"/>
        <v>-1.2496914482205349E-3</v>
      </c>
      <c r="BN192" s="87">
        <f t="shared" si="245"/>
        <v>-1.1742681139713105E-3</v>
      </c>
      <c r="BO192" s="87">
        <f t="shared" si="244"/>
        <v>-2.3163460994114256E-3</v>
      </c>
      <c r="BP192" s="87">
        <f t="shared" si="244"/>
        <v>-4.2942161906576824E-3</v>
      </c>
      <c r="BQ192" s="87">
        <f t="shared" si="244"/>
        <v>-1.9963943908630206E-3</v>
      </c>
      <c r="BR192" s="87">
        <f t="shared" si="244"/>
        <v>-2.4138229957773828E-3</v>
      </c>
      <c r="BS192" s="87">
        <f t="shared" si="244"/>
        <v>-4.6421509805707173E-5</v>
      </c>
      <c r="BU192" s="97">
        <v>20192.507911898476</v>
      </c>
      <c r="BV192" s="98">
        <v>403836.36366744933</v>
      </c>
      <c r="BW192">
        <f t="shared" si="155"/>
        <v>-38.431686772044969</v>
      </c>
      <c r="BX192">
        <f t="shared" si="190"/>
        <v>-4.9113043398959233</v>
      </c>
      <c r="BY192">
        <f t="shared" si="191"/>
        <v>-53.885684285738506</v>
      </c>
      <c r="BZ192">
        <f t="shared" si="192"/>
        <v>-4.8590120008988418</v>
      </c>
      <c r="CA192">
        <f t="shared" si="193"/>
        <v>-1.8148872929761581</v>
      </c>
      <c r="CB192">
        <f t="shared" si="194"/>
        <v>-609.6950603011868</v>
      </c>
      <c r="CC192">
        <f t="shared" si="195"/>
        <v>-58.180888445039265</v>
      </c>
      <c r="CD192">
        <f t="shared" si="196"/>
        <v>-4.7303883801865636</v>
      </c>
      <c r="CE192">
        <f t="shared" si="165"/>
        <v>-25.243423661746267</v>
      </c>
      <c r="CF192">
        <f t="shared" si="166"/>
        <v>-21.966406831439691</v>
      </c>
      <c r="CG192">
        <f t="shared" si="167"/>
        <v>-27.578866705210295</v>
      </c>
      <c r="CH192">
        <f t="shared" si="168"/>
        <v>-62.561650957109627</v>
      </c>
      <c r="CI192">
        <f t="shared" si="169"/>
        <v>-37.749304486162529</v>
      </c>
      <c r="CJ192">
        <f t="shared" si="170"/>
        <v>-35.298268563427136</v>
      </c>
      <c r="CK192">
        <f t="shared" si="171"/>
        <v>-67.137024580657624</v>
      </c>
      <c r="CL192">
        <f t="shared" si="172"/>
        <v>-430.26422604992973</v>
      </c>
      <c r="CM192">
        <f t="shared" si="173"/>
        <v>-16.483033287374752</v>
      </c>
      <c r="CN192">
        <f t="shared" si="174"/>
        <v>-744.33962567867275</v>
      </c>
      <c r="CO192">
        <f t="shared" si="175"/>
        <v>-6.1485063315766313</v>
      </c>
      <c r="CP192">
        <f t="shared" si="176"/>
        <v>-29.296805180027285</v>
      </c>
      <c r="CQ192">
        <f t="shared" si="177"/>
        <v>-25.81299991903288</v>
      </c>
      <c r="CR192">
        <f t="shared" si="178"/>
        <v>-15.190041013308585</v>
      </c>
      <c r="CS192">
        <f t="shared" si="179"/>
        <v>-4.8438039855029356</v>
      </c>
      <c r="CT192">
        <f t="shared" si="180"/>
        <v>-0.54857651862699752</v>
      </c>
      <c r="CU192">
        <f t="shared" si="181"/>
        <v>-0.55752382938108558</v>
      </c>
      <c r="CV192">
        <f t="shared" si="182"/>
        <v>-13.772510954760136</v>
      </c>
      <c r="CW192">
        <f t="shared" si="183"/>
        <v>-6.2907658261353427</v>
      </c>
      <c r="CX192">
        <f t="shared" si="184"/>
        <v>-4.4443477039264545</v>
      </c>
      <c r="CY192">
        <f t="shared" si="185"/>
        <v>-54.814269083509366</v>
      </c>
      <c r="CZ192">
        <f t="shared" si="186"/>
        <v>-34.243688022159724</v>
      </c>
      <c r="DA192">
        <f t="shared" si="187"/>
        <v>-18.202771918594504</v>
      </c>
      <c r="DB192">
        <f t="shared" si="188"/>
        <v>-15.461056850918506</v>
      </c>
      <c r="DC192">
        <f t="shared" si="156"/>
        <v>-9.8375454026779927</v>
      </c>
      <c r="DD192">
        <f t="shared" si="219"/>
        <v>-51.521568000684347</v>
      </c>
      <c r="DE192">
        <f t="shared" si="220"/>
        <v>0</v>
      </c>
      <c r="DF192">
        <f t="shared" si="221"/>
        <v>-1366.5647055219283</v>
      </c>
      <c r="DG192">
        <f t="shared" si="222"/>
        <v>-1215.4371539961066</v>
      </c>
      <c r="DH192">
        <f t="shared" si="223"/>
        <v>-1980.9226651039623</v>
      </c>
      <c r="DI192">
        <f t="shared" si="224"/>
        <v>-1098.5574259190016</v>
      </c>
      <c r="DJ192">
        <f t="shared" si="225"/>
        <v>-184.54144068604032</v>
      </c>
      <c r="DK192">
        <f t="shared" si="226"/>
        <v>172428.63783884462</v>
      </c>
      <c r="DL192">
        <f t="shared" si="227"/>
        <v>-9877.8936852363458</v>
      </c>
      <c r="DM192">
        <f t="shared" si="157"/>
        <v>-119.57693435449346</v>
      </c>
      <c r="DN192">
        <f t="shared" si="211"/>
        <v>-1539.1716825462534</v>
      </c>
      <c r="DO192">
        <f t="shared" si="212"/>
        <v>-1476.5617242570636</v>
      </c>
      <c r="DP192">
        <f t="shared" si="213"/>
        <v>-3604.4559213622201</v>
      </c>
      <c r="DQ192">
        <f t="shared" si="214"/>
        <v>-6824.4528011989996</v>
      </c>
      <c r="DR192">
        <f t="shared" si="215"/>
        <v>-3330.7590400440486</v>
      </c>
      <c r="DS192">
        <f t="shared" si="216"/>
        <v>-4960.974523883584</v>
      </c>
      <c r="DT192">
        <f t="shared" si="217"/>
        <v>-3597.0503826869895</v>
      </c>
      <c r="DU192">
        <f t="shared" si="218"/>
        <v>-18379.138479614343</v>
      </c>
      <c r="DV192">
        <f t="shared" si="199"/>
        <v>-379.7611899349115</v>
      </c>
      <c r="DW192">
        <f t="shared" si="200"/>
        <v>-68878.466409655914</v>
      </c>
      <c r="DX192">
        <f t="shared" si="201"/>
        <v>-280.31278510670575</v>
      </c>
      <c r="DY192">
        <f t="shared" si="202"/>
        <v>-1814.9606698361381</v>
      </c>
      <c r="DZ192">
        <f t="shared" si="203"/>
        <v>-1428.0601814324837</v>
      </c>
      <c r="EA192">
        <f t="shared" si="204"/>
        <v>-2294.2261954730602</v>
      </c>
      <c r="EB192">
        <f t="shared" si="205"/>
        <v>-1182.2091930356064</v>
      </c>
      <c r="EC192">
        <f t="shared" si="206"/>
        <v>-122.94027139700164</v>
      </c>
      <c r="ED192">
        <f t="shared" si="207"/>
        <v>-59.977163939959254</v>
      </c>
      <c r="EE192">
        <f t="shared" si="208"/>
        <v>-888.76194444012151</v>
      </c>
      <c r="EF192">
        <f t="shared" si="209"/>
        <v>-488.74465502196199</v>
      </c>
      <c r="EG192">
        <f t="shared" si="158"/>
        <v>-697.95800712297284</v>
      </c>
      <c r="EH192">
        <f t="shared" si="228"/>
        <v>-2559.5768939346167</v>
      </c>
      <c r="EI192">
        <f t="shared" si="229"/>
        <v>-3061.6554931550822</v>
      </c>
      <c r="EJ192">
        <f t="shared" si="230"/>
        <v>-5150.7690394834226</v>
      </c>
      <c r="EK192">
        <f t="shared" si="231"/>
        <v>-2457.1781677339513</v>
      </c>
      <c r="EL192">
        <f t="shared" si="232"/>
        <v>-2658.4087743762466</v>
      </c>
      <c r="EM192">
        <f t="shared" si="159"/>
        <v>-2548.2928085314052</v>
      </c>
      <c r="EN192">
        <f t="shared" si="152"/>
        <v>-0.63893468577198076</v>
      </c>
      <c r="EO192">
        <v>41</v>
      </c>
      <c r="EP192">
        <f t="shared" si="243"/>
        <v>13383.562970975407</v>
      </c>
      <c r="EQ192" s="98">
        <f t="shared" si="160"/>
        <v>20192.507911898476</v>
      </c>
      <c r="ES192" s="99">
        <f t="shared" si="161"/>
        <v>0.33720154874426889</v>
      </c>
    </row>
    <row r="193" spans="2:149" x14ac:dyDescent="0.35">
      <c r="B193" s="87">
        <f t="shared" si="154"/>
        <v>-1.5540858486402857E-4</v>
      </c>
      <c r="C193" s="87">
        <f t="shared" si="245"/>
        <v>-3.2888575448181915E-4</v>
      </c>
      <c r="D193" s="87">
        <f t="shared" si="245"/>
        <v>-1.416792260023977E-3</v>
      </c>
      <c r="E193" s="87">
        <f t="shared" si="245"/>
        <v>-7.022284964925573E-4</v>
      </c>
      <c r="F193" s="87">
        <f t="shared" si="245"/>
        <v>-7.9481010915460101E-4</v>
      </c>
      <c r="G193" s="87">
        <f t="shared" si="245"/>
        <v>-7.2882884072811565E-4</v>
      </c>
      <c r="H193" s="87">
        <f t="shared" si="245"/>
        <v>-1.3347737278931678E-2</v>
      </c>
      <c r="I193" s="87">
        <f t="shared" si="245"/>
        <v>-3.9514401518554493E-4</v>
      </c>
      <c r="J193" s="87">
        <f t="shared" si="245"/>
        <v>-1.228438131833408E-3</v>
      </c>
      <c r="K193" s="87">
        <f t="shared" si="245"/>
        <v>-9.7453468765483432E-4</v>
      </c>
      <c r="L193" s="87">
        <f t="shared" si="245"/>
        <v>-8.1474062208289626E-4</v>
      </c>
      <c r="M193" s="87">
        <f t="shared" si="245"/>
        <v>-3.2306728828078815E-4</v>
      </c>
      <c r="N193" s="87">
        <f t="shared" si="245"/>
        <v>-4.9418209885500797E-4</v>
      </c>
      <c r="O193" s="87">
        <f t="shared" si="245"/>
        <v>-7.4079373768279658E-4</v>
      </c>
      <c r="P193" s="87">
        <f t="shared" si="245"/>
        <v>-2.6278487899052404E-4</v>
      </c>
      <c r="Q193" s="87">
        <f t="shared" si="245"/>
        <v>-1.2204731005273392E-3</v>
      </c>
      <c r="R193" s="87">
        <f t="shared" si="245"/>
        <v>-2.0748916911163983E-4</v>
      </c>
      <c r="S193" s="87">
        <f t="shared" si="245"/>
        <v>-2.3340781920477808E-4</v>
      </c>
      <c r="T193" s="87">
        <f t="shared" si="245"/>
        <v>-3.3212884212007604E-4</v>
      </c>
      <c r="U193" s="87">
        <f t="shared" si="245"/>
        <v>-6.035761879892331E-4</v>
      </c>
      <c r="V193" s="87">
        <f t="shared" si="245"/>
        <v>-7.5324426857304458E-4</v>
      </c>
      <c r="W193" s="87">
        <f t="shared" si="245"/>
        <v>-3.4618065627981697E-4</v>
      </c>
      <c r="X193" s="87">
        <f t="shared" si="245"/>
        <v>-2.6038847945769432E-4</v>
      </c>
      <c r="Y193" s="87">
        <f t="shared" si="245"/>
        <v>-1.6430212510289445E-4</v>
      </c>
      <c r="Z193" s="87">
        <f t="shared" si="245"/>
        <v>-2.6087088944077018E-4</v>
      </c>
      <c r="AA193" s="87">
        <f t="shared" si="245"/>
        <v>-3.3358461741795731E-4</v>
      </c>
      <c r="AB193" s="87">
        <f t="shared" si="245"/>
        <v>-3.4714506677799214E-4</v>
      </c>
      <c r="AC193" s="87">
        <f t="shared" si="245"/>
        <v>-4.2683908984545311E-4</v>
      </c>
      <c r="AD193" s="87">
        <f t="shared" si="245"/>
        <v>-9.6961979472881568E-5</v>
      </c>
      <c r="AE193" s="87">
        <f t="shared" si="245"/>
        <v>-6.4310179111797699E-4</v>
      </c>
      <c r="AF193" s="87">
        <f t="shared" si="245"/>
        <v>-5.2120253669755946E-4</v>
      </c>
      <c r="AG193" s="87">
        <f t="shared" si="245"/>
        <v>-3.80197999350187E-4</v>
      </c>
      <c r="AH193" s="87">
        <f t="shared" si="245"/>
        <v>-3.8931659530678755E-4</v>
      </c>
      <c r="AI193" s="87">
        <f t="shared" si="245"/>
        <v>-4.2815007398204231E-4</v>
      </c>
      <c r="AJ193" s="87">
        <f t="shared" si="245"/>
        <v>0</v>
      </c>
      <c r="AK193" s="87">
        <f t="shared" si="245"/>
        <v>-2.0529933110363585E-3</v>
      </c>
      <c r="AL193" s="87">
        <f t="shared" si="245"/>
        <v>-1.8332840485079415E-3</v>
      </c>
      <c r="AM193" s="87">
        <f t="shared" si="245"/>
        <v>-2.4751077891095392E-2</v>
      </c>
      <c r="AN193" s="87">
        <f t="shared" si="245"/>
        <v>-1.1116980095459828E-2</v>
      </c>
      <c r="AO193" s="87">
        <f t="shared" si="245"/>
        <v>-1.4698023338336325E-2</v>
      </c>
      <c r="AP193" s="87">
        <f t="shared" si="245"/>
        <v>-1.4476489359584833E-2</v>
      </c>
      <c r="AQ193" s="87">
        <f t="shared" si="245"/>
        <v>0.74715107090114252</v>
      </c>
      <c r="AR193" s="87">
        <f t="shared" si="245"/>
        <v>-1.625727904883807E-3</v>
      </c>
      <c r="AS193" s="87">
        <f t="shared" si="245"/>
        <v>-1.359398607092276E-2</v>
      </c>
      <c r="AT193" s="87">
        <f t="shared" si="245"/>
        <v>-1.5895719651276778E-2</v>
      </c>
      <c r="AU193" s="87">
        <f t="shared" si="245"/>
        <v>-2.4113451738390381E-2</v>
      </c>
      <c r="AV193" s="87">
        <f t="shared" si="245"/>
        <v>-4.7482924092028854E-3</v>
      </c>
      <c r="AW193" s="87">
        <f t="shared" si="245"/>
        <v>-5.773756145017509E-3</v>
      </c>
      <c r="AX193" s="87">
        <f t="shared" si="245"/>
        <v>-7.5613521594631982E-3</v>
      </c>
      <c r="AY193" s="87">
        <f t="shared" si="245"/>
        <v>-3.7445955413487986E-3</v>
      </c>
      <c r="AZ193" s="87">
        <f t="shared" si="245"/>
        <v>-1.7092995100403591E-2</v>
      </c>
      <c r="BA193" s="87">
        <f t="shared" si="245"/>
        <v>-2.5421619629598614E-3</v>
      </c>
      <c r="BB193" s="87">
        <f t="shared" si="245"/>
        <v>-3.8203134488142801E-3</v>
      </c>
      <c r="BC193" s="87">
        <f t="shared" si="245"/>
        <v>-5.3259953865155913E-3</v>
      </c>
      <c r="BD193" s="87">
        <f t="shared" si="245"/>
        <v>-9.2149180651351272E-3</v>
      </c>
      <c r="BE193" s="87">
        <f t="shared" si="245"/>
        <v>-7.9149471581346185E-3</v>
      </c>
      <c r="BF193" s="87">
        <f t="shared" si="245"/>
        <v>-7.7957854230308096E-3</v>
      </c>
      <c r="BG193" s="87">
        <f t="shared" si="245"/>
        <v>-7.0628527585314665E-3</v>
      </c>
      <c r="BH193" s="87">
        <f t="shared" si="245"/>
        <v>-4.1423729893284881E-3</v>
      </c>
      <c r="BI193" s="87">
        <f t="shared" si="245"/>
        <v>-5.3516735427521335E-3</v>
      </c>
      <c r="BJ193" s="87">
        <f t="shared" si="245"/>
        <v>-1.5015905391069147E-2</v>
      </c>
      <c r="BK193" s="87">
        <f t="shared" si="245"/>
        <v>-8.2004895286559593E-3</v>
      </c>
      <c r="BL193" s="87">
        <f t="shared" si="245"/>
        <v>-1.1190764997874426E-2</v>
      </c>
      <c r="BM193" s="87">
        <f t="shared" si="245"/>
        <v>-1.2930201385150933E-3</v>
      </c>
      <c r="BN193" s="87">
        <f t="shared" ref="BN193:BS196" si="246">BN120-BN43</f>
        <v>-1.8892006920318689E-2</v>
      </c>
      <c r="BO193" s="87">
        <f t="shared" si="246"/>
        <v>-1.7584842504878306E-2</v>
      </c>
      <c r="BP193" s="87">
        <f t="shared" si="246"/>
        <v>-2.0404679128069713E-2</v>
      </c>
      <c r="BQ193" s="87">
        <f t="shared" si="246"/>
        <v>-8.2881782017270363E-3</v>
      </c>
      <c r="BR193" s="87">
        <f t="shared" si="246"/>
        <v>-2.4253895360820735E-2</v>
      </c>
      <c r="BS193" s="87">
        <f t="shared" si="246"/>
        <v>-2.6274045615092267E-4</v>
      </c>
      <c r="BU193" s="97">
        <v>181214.46192175196</v>
      </c>
      <c r="BV193" s="98">
        <v>1098854.964830528</v>
      </c>
      <c r="BW193">
        <f t="shared" si="155"/>
        <v>-36.159301771655173</v>
      </c>
      <c r="BX193">
        <f t="shared" si="190"/>
        <v>-11.458286486852725</v>
      </c>
      <c r="BY193">
        <f t="shared" si="191"/>
        <v>-525.76319695161976</v>
      </c>
      <c r="BZ193">
        <f t="shared" si="192"/>
        <v>-53.495609939597252</v>
      </c>
      <c r="CA193">
        <f t="shared" si="193"/>
        <v>-11.931209315879695</v>
      </c>
      <c r="CB193">
        <f t="shared" si="194"/>
        <v>-37.571983937642948</v>
      </c>
      <c r="CC193">
        <f t="shared" si="195"/>
        <v>-2372.8089864017961</v>
      </c>
      <c r="CD193">
        <f t="shared" si="196"/>
        <v>-50.680798862487073</v>
      </c>
      <c r="CE193">
        <f t="shared" si="165"/>
        <v>-342.54702042644891</v>
      </c>
      <c r="CF193">
        <f t="shared" si="166"/>
        <v>-116.25465294181573</v>
      </c>
      <c r="CG193">
        <f t="shared" si="167"/>
        <v>-68.250856389029877</v>
      </c>
      <c r="CH193">
        <f t="shared" si="168"/>
        <v>-96.949932110323843</v>
      </c>
      <c r="CI193">
        <f t="shared" si="169"/>
        <v>-118.11164928959357</v>
      </c>
      <c r="CJ193">
        <f t="shared" si="170"/>
        <v>-276.692788812809</v>
      </c>
      <c r="CK193">
        <f t="shared" si="171"/>
        <v>-88.244518692415099</v>
      </c>
      <c r="CL193">
        <f t="shared" si="172"/>
        <v>-95.96011629786733</v>
      </c>
      <c r="CM193">
        <f t="shared" si="173"/>
        <v>-50.582009230556075</v>
      </c>
      <c r="CN193">
        <f t="shared" si="174"/>
        <v>-128.10857696917722</v>
      </c>
      <c r="CO193">
        <f t="shared" si="175"/>
        <v>-47.762432019995984</v>
      </c>
      <c r="CP193">
        <f t="shared" si="176"/>
        <v>-280.78668892412304</v>
      </c>
      <c r="CQ193">
        <f t="shared" si="177"/>
        <v>-257.86595113467382</v>
      </c>
      <c r="CR193">
        <f t="shared" si="178"/>
        <v>-75.078735488216921</v>
      </c>
      <c r="CS193">
        <f t="shared" si="179"/>
        <v>-52.665504025410137</v>
      </c>
      <c r="CT193">
        <f t="shared" si="180"/>
        <v>-7.4320993967484625</v>
      </c>
      <c r="CU193">
        <f t="shared" si="181"/>
        <v>-12.148067888903441</v>
      </c>
      <c r="CV193">
        <f t="shared" si="182"/>
        <v>-58.32319997570319</v>
      </c>
      <c r="CW193">
        <f t="shared" si="183"/>
        <v>-97.478166267500015</v>
      </c>
      <c r="CX193">
        <f t="shared" si="184"/>
        <v>-228.36896357018637</v>
      </c>
      <c r="CY193">
        <f t="shared" si="185"/>
        <v>-54.258691795698091</v>
      </c>
      <c r="CZ193">
        <f t="shared" si="186"/>
        <v>-575.59949913853939</v>
      </c>
      <c r="DA193">
        <f t="shared" si="187"/>
        <v>-206.74982276335732</v>
      </c>
      <c r="DB193">
        <f t="shared" si="188"/>
        <v>-89.057571001959531</v>
      </c>
      <c r="DC193">
        <f t="shared" si="156"/>
        <v>-184.17003939510977</v>
      </c>
      <c r="DD193">
        <f t="shared" si="219"/>
        <v>-123.21408652527367</v>
      </c>
      <c r="DE193">
        <f t="shared" si="220"/>
        <v>0</v>
      </c>
      <c r="DF193">
        <f t="shared" si="221"/>
        <v>-2640.7859303828968</v>
      </c>
      <c r="DG193">
        <f t="shared" si="222"/>
        <v>-1637.3866280127347</v>
      </c>
      <c r="DH193">
        <f t="shared" si="223"/>
        <v>-40184.573498906546</v>
      </c>
      <c r="DI193">
        <f t="shared" si="224"/>
        <v>-8035.7053679378378</v>
      </c>
      <c r="DJ193">
        <f t="shared" si="225"/>
        <v>-1586.3025592941087</v>
      </c>
      <c r="DK193">
        <f t="shared" si="226"/>
        <v>-3507.6796929871566</v>
      </c>
      <c r="DL193">
        <f t="shared" si="227"/>
        <v>492606.39824289974</v>
      </c>
      <c r="DM193">
        <f t="shared" si="157"/>
        <v>-852.74800722743828</v>
      </c>
      <c r="DN193">
        <f t="shared" si="211"/>
        <v>-14618.28413981552</v>
      </c>
      <c r="DO193">
        <f t="shared" si="212"/>
        <v>-8123.1695718981464</v>
      </c>
      <c r="DP193">
        <f t="shared" si="213"/>
        <v>-9827.6685830488113</v>
      </c>
      <c r="DQ193">
        <f t="shared" si="214"/>
        <v>-7453.1577332972793</v>
      </c>
      <c r="DR193">
        <f t="shared" si="215"/>
        <v>-5527.4884247530126</v>
      </c>
      <c r="DS193">
        <f t="shared" si="216"/>
        <v>-23312.588435112011</v>
      </c>
      <c r="DT193">
        <f t="shared" si="217"/>
        <v>-5333.5985158196308</v>
      </c>
      <c r="DU193">
        <f t="shared" si="218"/>
        <v>-4895.9809055590131</v>
      </c>
      <c r="DV193">
        <f t="shared" si="199"/>
        <v>-2087.3704680598157</v>
      </c>
      <c r="DW193">
        <f t="shared" si="200"/>
        <v>-8783.4228492965249</v>
      </c>
      <c r="DX193">
        <f t="shared" si="201"/>
        <v>-1560.5940078832587</v>
      </c>
      <c r="DY193">
        <f t="shared" si="202"/>
        <v>-17647.41665519154</v>
      </c>
      <c r="DZ193">
        <f t="shared" si="203"/>
        <v>-11275.624335445495</v>
      </c>
      <c r="EA193">
        <f t="shared" si="204"/>
        <v>-6967.930403249944</v>
      </c>
      <c r="EB193">
        <f t="shared" si="205"/>
        <v>-6166.1890472896157</v>
      </c>
      <c r="EC193">
        <f t="shared" si="206"/>
        <v>-715.25517842255658</v>
      </c>
      <c r="ED193">
        <f t="shared" si="207"/>
        <v>-847.03941595775871</v>
      </c>
      <c r="EE193">
        <f t="shared" si="208"/>
        <v>-5103.7497240168068</v>
      </c>
      <c r="EF193">
        <f t="shared" si="209"/>
        <v>-8743.0164824105686</v>
      </c>
      <c r="EG193">
        <f t="shared" si="158"/>
        <v>-26865.31429685378</v>
      </c>
      <c r="EH193">
        <f t="shared" si="228"/>
        <v>-2648.3212913459279</v>
      </c>
      <c r="EI193">
        <f t="shared" si="229"/>
        <v>-49256.908261523902</v>
      </c>
      <c r="EJ193">
        <f t="shared" si="230"/>
        <v>-39102.732688061667</v>
      </c>
      <c r="EK193">
        <f t="shared" si="231"/>
        <v>-11675.688844494493</v>
      </c>
      <c r="EL193">
        <f t="shared" si="232"/>
        <v>-11036.57962369865</v>
      </c>
      <c r="EM193">
        <f t="shared" si="159"/>
        <v>-25605.037003530484</v>
      </c>
      <c r="EN193">
        <f t="shared" si="152"/>
        <v>-3.6162975201150789</v>
      </c>
      <c r="EO193">
        <v>42</v>
      </c>
      <c r="EP193">
        <f t="shared" si="243"/>
        <v>112144.94236045569</v>
      </c>
      <c r="EQ193" s="98">
        <f t="shared" si="160"/>
        <v>181214.46192175196</v>
      </c>
      <c r="ES193" s="99">
        <f t="shared" si="161"/>
        <v>0.38114794387172229</v>
      </c>
    </row>
    <row r="194" spans="2:149" x14ac:dyDescent="0.35">
      <c r="B194" s="87">
        <f t="shared" si="154"/>
        <v>-2.0254646079361891E-3</v>
      </c>
      <c r="C194" s="87">
        <f t="shared" ref="C194:BN197" si="247">C121-C44</f>
        <v>-1.4718424495134298E-3</v>
      </c>
      <c r="D194" s="87">
        <f t="shared" si="247"/>
        <v>-4.240656170062202E-4</v>
      </c>
      <c r="E194" s="87">
        <f t="shared" si="247"/>
        <v>-5.4104233473694155E-4</v>
      </c>
      <c r="F194" s="87">
        <f t="shared" si="247"/>
        <v>-3.0833336269628294E-4</v>
      </c>
      <c r="G194" s="87">
        <f t="shared" si="247"/>
        <v>-6.1361117556820864E-4</v>
      </c>
      <c r="H194" s="87">
        <f t="shared" si="247"/>
        <v>-3.5733017568406067E-4</v>
      </c>
      <c r="I194" s="87">
        <f t="shared" si="247"/>
        <v>-1.0511258501334381E-2</v>
      </c>
      <c r="J194" s="87">
        <f t="shared" si="247"/>
        <v>-2.9276794145917679E-3</v>
      </c>
      <c r="K194" s="87">
        <f t="shared" si="247"/>
        <v>-7.6093213431039015E-4</v>
      </c>
      <c r="L194" s="87">
        <f t="shared" si="247"/>
        <v>-1.2172705834741721E-3</v>
      </c>
      <c r="M194" s="87">
        <f t="shared" si="247"/>
        <v>-6.1083643469955502E-4</v>
      </c>
      <c r="N194" s="87">
        <f t="shared" si="247"/>
        <v>-2.3652661992153769E-4</v>
      </c>
      <c r="O194" s="87">
        <f t="shared" si="247"/>
        <v>-1.7089684005040844E-4</v>
      </c>
      <c r="P194" s="87">
        <f t="shared" si="247"/>
        <v>-1.6140483487373593E-4</v>
      </c>
      <c r="Q194" s="87">
        <f t="shared" si="247"/>
        <v>-6.0436718756192147E-4</v>
      </c>
      <c r="R194" s="87">
        <f t="shared" si="247"/>
        <v>-2.0700763370485979E-3</v>
      </c>
      <c r="S194" s="87">
        <f t="shared" si="247"/>
        <v>-6.9572608745897021E-4</v>
      </c>
      <c r="T194" s="87">
        <f t="shared" si="247"/>
        <v>-8.0472489901316072E-4</v>
      </c>
      <c r="U194" s="87">
        <f t="shared" si="247"/>
        <v>-1.0425884892831696E-3</v>
      </c>
      <c r="V194" s="87">
        <f t="shared" si="247"/>
        <v>-6.2608823430471095E-4</v>
      </c>
      <c r="W194" s="87">
        <f t="shared" si="247"/>
        <v>-5.8876639629559671E-4</v>
      </c>
      <c r="X194" s="87">
        <f t="shared" si="247"/>
        <v>-6.2142576132042208E-3</v>
      </c>
      <c r="Y194" s="87">
        <f t="shared" si="247"/>
        <v>-6.5785390778039798E-3</v>
      </c>
      <c r="Z194" s="87">
        <f t="shared" si="247"/>
        <v>-7.4121335763074033E-3</v>
      </c>
      <c r="AA194" s="87">
        <f t="shared" si="247"/>
        <v>-8.1698355027545321E-4</v>
      </c>
      <c r="AB194" s="87">
        <f t="shared" si="247"/>
        <v>-3.1880589660701711E-4</v>
      </c>
      <c r="AC194" s="87">
        <f t="shared" si="247"/>
        <v>-1.9012482880221475E-4</v>
      </c>
      <c r="AD194" s="87">
        <f t="shared" si="247"/>
        <v>-8.0641483773131746E-5</v>
      </c>
      <c r="AE194" s="87">
        <f t="shared" si="247"/>
        <v>-3.7054163446406283E-4</v>
      </c>
      <c r="AF194" s="87">
        <f t="shared" si="247"/>
        <v>-5.3098491023648099E-4</v>
      </c>
      <c r="AG194" s="87">
        <f t="shared" si="247"/>
        <v>-3.1426888695800398E-4</v>
      </c>
      <c r="AH194" s="87">
        <f t="shared" si="247"/>
        <v>-3.6496939424621497E-4</v>
      </c>
      <c r="AI194" s="87">
        <f t="shared" si="247"/>
        <v>-5.4498991585854814E-4</v>
      </c>
      <c r="AJ194" s="87">
        <f t="shared" si="247"/>
        <v>0</v>
      </c>
      <c r="AK194" s="87">
        <f t="shared" si="247"/>
        <v>-1.0404332481767991E-2</v>
      </c>
      <c r="AL194" s="87">
        <f t="shared" si="247"/>
        <v>-5.5967952510719279E-3</v>
      </c>
      <c r="AM194" s="87">
        <f t="shared" si="247"/>
        <v>-3.0420159520506327E-3</v>
      </c>
      <c r="AN194" s="87">
        <f t="shared" si="247"/>
        <v>-4.5507174636377958E-3</v>
      </c>
      <c r="AO194" s="87">
        <f t="shared" si="247"/>
        <v>-4.1328401724990459E-3</v>
      </c>
      <c r="AP194" s="87">
        <f t="shared" si="247"/>
        <v>-4.1127043842405396E-3</v>
      </c>
      <c r="AQ194" s="87">
        <f t="shared" si="247"/>
        <v>-4.7256438339310708E-3</v>
      </c>
      <c r="AR194" s="87">
        <f t="shared" si="247"/>
        <v>0.90847612760973362</v>
      </c>
      <c r="AS194" s="87">
        <f t="shared" si="247"/>
        <v>-4.7773076132687969E-2</v>
      </c>
      <c r="AT194" s="87">
        <f t="shared" si="247"/>
        <v>-8.6836974252514805E-3</v>
      </c>
      <c r="AU194" s="87">
        <f t="shared" si="247"/>
        <v>-2.17633221330975E-2</v>
      </c>
      <c r="AV194" s="87">
        <f t="shared" si="247"/>
        <v>-1.5881261836811902E-2</v>
      </c>
      <c r="AW194" s="87">
        <f t="shared" si="247"/>
        <v>-4.2757786378294299E-3</v>
      </c>
      <c r="AX194" s="87">
        <f t="shared" si="247"/>
        <v>-1.8363720076797093E-3</v>
      </c>
      <c r="AY194" s="87">
        <f t="shared" si="247"/>
        <v>-1.9318183941133334E-3</v>
      </c>
      <c r="AZ194" s="87">
        <f t="shared" si="247"/>
        <v>-3.0118420765230872E-3</v>
      </c>
      <c r="BA194" s="87">
        <f t="shared" si="247"/>
        <v>-2.7652111409140201E-2</v>
      </c>
      <c r="BB194" s="87">
        <f t="shared" si="247"/>
        <v>-1.1978807148621779E-2</v>
      </c>
      <c r="BC194" s="87">
        <f t="shared" si="247"/>
        <v>-4.7442954977909785E-3</v>
      </c>
      <c r="BD194" s="87">
        <f t="shared" si="247"/>
        <v>-2.7836283437249003E-3</v>
      </c>
      <c r="BE194" s="87">
        <f t="shared" si="247"/>
        <v>-2.9670886018102632E-3</v>
      </c>
      <c r="BF194" s="87">
        <f t="shared" si="247"/>
        <v>-3.2090851569871702E-3</v>
      </c>
      <c r="BG194" s="87">
        <f t="shared" si="247"/>
        <v>-5.697269137981447E-2</v>
      </c>
      <c r="BH194" s="87">
        <f t="shared" si="247"/>
        <v>-7.9933633155987102E-2</v>
      </c>
      <c r="BI194" s="87">
        <f t="shared" si="247"/>
        <v>-9.9445565609918421E-2</v>
      </c>
      <c r="BJ194" s="87">
        <f t="shared" si="247"/>
        <v>-3.6885411483916594E-2</v>
      </c>
      <c r="BK194" s="87">
        <f t="shared" si="247"/>
        <v>-3.2702060419955012E-3</v>
      </c>
      <c r="BL194" s="87">
        <f t="shared" si="247"/>
        <v>-1.0554334162919728E-3</v>
      </c>
      <c r="BM194" s="87">
        <f t="shared" si="247"/>
        <v>-1.2639662450470671E-3</v>
      </c>
      <c r="BN194" s="87">
        <f t="shared" si="247"/>
        <v>-5.2319510518716071E-3</v>
      </c>
      <c r="BO194" s="87">
        <f t="shared" si="246"/>
        <v>-9.6829400230116179E-3</v>
      </c>
      <c r="BP194" s="87">
        <f t="shared" si="246"/>
        <v>-3.1687329563202752E-3</v>
      </c>
      <c r="BQ194" s="87">
        <f t="shared" si="246"/>
        <v>-2.460348533383473E-3</v>
      </c>
      <c r="BR194" s="87">
        <f t="shared" si="246"/>
        <v>-5.2714412491377321E-3</v>
      </c>
      <c r="BS194" s="87">
        <f t="shared" si="246"/>
        <v>-4.0168841101074598E-5</v>
      </c>
      <c r="BU194" s="97">
        <v>198510.43979802204</v>
      </c>
      <c r="BV194" s="98">
        <v>874221.74057716969</v>
      </c>
      <c r="BW194">
        <f t="shared" si="155"/>
        <v>-471.26988544584668</v>
      </c>
      <c r="BX194">
        <f t="shared" si="190"/>
        <v>-51.278573851906479</v>
      </c>
      <c r="BY194">
        <f t="shared" si="191"/>
        <v>-157.36823301863484</v>
      </c>
      <c r="BZ194">
        <f t="shared" si="192"/>
        <v>-41.216484156454612</v>
      </c>
      <c r="CA194">
        <f t="shared" si="193"/>
        <v>-4.6285142161960477</v>
      </c>
      <c r="CB194">
        <f t="shared" si="194"/>
        <v>-31.632377787595388</v>
      </c>
      <c r="CC194">
        <f t="shared" si="195"/>
        <v>-63.522096236788805</v>
      </c>
      <c r="CD194">
        <f t="shared" si="196"/>
        <v>-1348.1641058073219</v>
      </c>
      <c r="CE194">
        <f t="shared" si="165"/>
        <v>-816.37636788065936</v>
      </c>
      <c r="CF194">
        <f t="shared" si="166"/>
        <v>-90.77347610828339</v>
      </c>
      <c r="CG194">
        <f t="shared" si="167"/>
        <v>-101.97080828852219</v>
      </c>
      <c r="CH194">
        <f t="shared" si="168"/>
        <v>-183.3071716724339</v>
      </c>
      <c r="CI194">
        <f t="shared" si="169"/>
        <v>-56.530880508527247</v>
      </c>
      <c r="CJ194">
        <f t="shared" si="170"/>
        <v>-63.83142954306615</v>
      </c>
      <c r="CK194">
        <f t="shared" si="171"/>
        <v>-54.200576619079996</v>
      </c>
      <c r="CL194">
        <f t="shared" si="172"/>
        <v>-47.518577492612145</v>
      </c>
      <c r="CM194">
        <f t="shared" si="173"/>
        <v>-504.6461983382336</v>
      </c>
      <c r="CN194">
        <f t="shared" si="174"/>
        <v>-381.85729736203052</v>
      </c>
      <c r="CO194">
        <f t="shared" si="175"/>
        <v>-115.72502417606485</v>
      </c>
      <c r="CP194">
        <f t="shared" si="176"/>
        <v>-485.01742719752042</v>
      </c>
      <c r="CQ194">
        <f t="shared" si="177"/>
        <v>-214.33530233035788</v>
      </c>
      <c r="CR194">
        <f t="shared" si="178"/>
        <v>-127.69008241782855</v>
      </c>
      <c r="CS194">
        <f t="shared" si="179"/>
        <v>-1256.8797591381751</v>
      </c>
      <c r="CT194">
        <f t="shared" si="180"/>
        <v>-297.57592168095351</v>
      </c>
      <c r="CU194">
        <f t="shared" si="181"/>
        <v>-345.16347178341249</v>
      </c>
      <c r="CV194">
        <f t="shared" si="182"/>
        <v>-142.83960498056888</v>
      </c>
      <c r="CW194">
        <f t="shared" si="183"/>
        <v>-89.520541037653572</v>
      </c>
      <c r="CX194">
        <f t="shared" si="184"/>
        <v>-101.72126015506595</v>
      </c>
      <c r="CY194">
        <f t="shared" si="185"/>
        <v>-45.125949756604228</v>
      </c>
      <c r="CZ194">
        <f t="shared" si="186"/>
        <v>-331.64824317580457</v>
      </c>
      <c r="DA194">
        <f t="shared" si="187"/>
        <v>-210.63027969319492</v>
      </c>
      <c r="DB194">
        <f t="shared" si="188"/>
        <v>-73.614337165910356</v>
      </c>
      <c r="DC194">
        <f t="shared" si="156"/>
        <v>-172.6523567878404</v>
      </c>
      <c r="DD194">
        <f t="shared" si="219"/>
        <v>-156.83854500703234</v>
      </c>
      <c r="DE194">
        <f t="shared" si="220"/>
        <v>0</v>
      </c>
      <c r="DF194">
        <f t="shared" si="221"/>
        <v>-13383.19744403302</v>
      </c>
      <c r="DG194">
        <f t="shared" si="222"/>
        <v>-4998.7440360312794</v>
      </c>
      <c r="DH194">
        <f t="shared" si="223"/>
        <v>-4938.8602043066348</v>
      </c>
      <c r="DI194">
        <f t="shared" si="224"/>
        <v>-3289.4027367609619</v>
      </c>
      <c r="DJ194">
        <f t="shared" si="225"/>
        <v>-446.04194672144337</v>
      </c>
      <c r="DK194">
        <f t="shared" si="226"/>
        <v>-996.51575002252548</v>
      </c>
      <c r="DL194">
        <f t="shared" si="227"/>
        <v>-3115.6783133615568</v>
      </c>
      <c r="DM194">
        <f t="shared" si="157"/>
        <v>476525.74893107294</v>
      </c>
      <c r="DN194">
        <f t="shared" si="211"/>
        <v>-51372.746558454222</v>
      </c>
      <c r="DO194">
        <f t="shared" si="212"/>
        <v>-4437.6189467274135</v>
      </c>
      <c r="DP194">
        <f t="shared" si="213"/>
        <v>-8869.8507169629374</v>
      </c>
      <c r="DQ194">
        <f t="shared" si="214"/>
        <v>-24928.024492371998</v>
      </c>
      <c r="DR194">
        <f t="shared" si="215"/>
        <v>-4093.4040741924518</v>
      </c>
      <c r="DS194">
        <f t="shared" si="216"/>
        <v>-5661.7631246309602</v>
      </c>
      <c r="DT194">
        <f t="shared" si="217"/>
        <v>-2751.5772013029245</v>
      </c>
      <c r="DU194">
        <f t="shared" si="218"/>
        <v>-862.6879730906885</v>
      </c>
      <c r="DV194">
        <f t="shared" si="199"/>
        <v>-22705.162604091129</v>
      </c>
      <c r="DW194">
        <f t="shared" si="200"/>
        <v>-27540.915117626511</v>
      </c>
      <c r="DX194">
        <f t="shared" si="201"/>
        <v>-1390.1474913450807</v>
      </c>
      <c r="DY194">
        <f t="shared" si="202"/>
        <v>-5330.9046100773658</v>
      </c>
      <c r="DZ194">
        <f t="shared" si="203"/>
        <v>-4226.9109035820211</v>
      </c>
      <c r="EA194">
        <f t="shared" si="204"/>
        <v>-2868.3039384241724</v>
      </c>
      <c r="EB194">
        <f t="shared" si="205"/>
        <v>-49739.729482038354</v>
      </c>
      <c r="EC194">
        <f t="shared" si="206"/>
        <v>-13801.979008707503</v>
      </c>
      <c r="ED194">
        <f t="shared" si="207"/>
        <v>-15739.807957436848</v>
      </c>
      <c r="EE194">
        <f t="shared" si="208"/>
        <v>-12536.966888007399</v>
      </c>
      <c r="EF194">
        <f t="shared" si="209"/>
        <v>-3486.5559215867165</v>
      </c>
      <c r="EG194">
        <f t="shared" si="158"/>
        <v>-2533.7454993891506</v>
      </c>
      <c r="EH194">
        <f t="shared" si="228"/>
        <v>-2588.8140629772865</v>
      </c>
      <c r="EI194">
        <f t="shared" si="229"/>
        <v>-13641.204668078533</v>
      </c>
      <c r="EJ194">
        <f t="shared" si="230"/>
        <v>-21531.578417567249</v>
      </c>
      <c r="EK194">
        <f t="shared" si="231"/>
        <v>-1813.1694106571638</v>
      </c>
      <c r="EL194">
        <f t="shared" si="232"/>
        <v>-3276.2124353309341</v>
      </c>
      <c r="EM194">
        <f t="shared" si="159"/>
        <v>-5565.1039240544123</v>
      </c>
      <c r="EN194">
        <f t="shared" si="152"/>
        <v>-0.55287443200704289</v>
      </c>
      <c r="EO194">
        <v>43</v>
      </c>
      <c r="EP194">
        <f t="shared" si="243"/>
        <v>123424.7990358739</v>
      </c>
      <c r="EQ194" s="98">
        <f t="shared" si="160"/>
        <v>198510.43979802204</v>
      </c>
      <c r="ES194" s="99">
        <f t="shared" si="161"/>
        <v>0.37824529953460057</v>
      </c>
    </row>
    <row r="195" spans="2:149" x14ac:dyDescent="0.35">
      <c r="B195" s="87">
        <f t="shared" si="154"/>
        <v>-5.8392261846721182E-3</v>
      </c>
      <c r="C195" s="87">
        <f t="shared" si="247"/>
        <v>-1.8659666375208329E-3</v>
      </c>
      <c r="D195" s="87">
        <f t="shared" si="247"/>
        <v>-1.4218972211075638E-3</v>
      </c>
      <c r="E195" s="87">
        <f t="shared" si="247"/>
        <v>-7.5750560977682459E-3</v>
      </c>
      <c r="F195" s="87">
        <f t="shared" si="247"/>
        <v>-4.4959046279894298E-3</v>
      </c>
      <c r="G195" s="87">
        <f t="shared" si="247"/>
        <v>-5.0760764500728164E-3</v>
      </c>
      <c r="H195" s="87">
        <f t="shared" si="247"/>
        <v>-4.6444518420025544E-3</v>
      </c>
      <c r="I195" s="87">
        <f t="shared" si="247"/>
        <v>-5.445024701999375E-3</v>
      </c>
      <c r="J195" s="87">
        <f t="shared" si="247"/>
        <v>-3.3545068671007108E-2</v>
      </c>
      <c r="K195" s="87">
        <f t="shared" si="247"/>
        <v>-2.5553752655384402E-2</v>
      </c>
      <c r="L195" s="87">
        <f t="shared" si="247"/>
        <v>-4.2781953621641973E-3</v>
      </c>
      <c r="M195" s="87">
        <f t="shared" si="247"/>
        <v>-2.9747936245856439E-3</v>
      </c>
      <c r="N195" s="87">
        <f t="shared" si="247"/>
        <v>-1.6631312895829737E-3</v>
      </c>
      <c r="O195" s="87">
        <f t="shared" si="247"/>
        <v>-2.1355480384653764E-3</v>
      </c>
      <c r="P195" s="87">
        <f t="shared" si="247"/>
        <v>-1.9980394842562688E-3</v>
      </c>
      <c r="Q195" s="87">
        <f t="shared" si="247"/>
        <v>-3.8687716555552191E-3</v>
      </c>
      <c r="R195" s="87">
        <f t="shared" si="247"/>
        <v>-6.4356641709132549E-4</v>
      </c>
      <c r="S195" s="87">
        <f t="shared" si="247"/>
        <v>-1.250812401829126E-3</v>
      </c>
      <c r="T195" s="87">
        <f t="shared" si="247"/>
        <v>-9.318353699561124E-4</v>
      </c>
      <c r="U195" s="87">
        <f t="shared" si="247"/>
        <v>-5.9576158773123162E-4</v>
      </c>
      <c r="V195" s="87">
        <f t="shared" si="247"/>
        <v>-3.79061032852032E-4</v>
      </c>
      <c r="W195" s="87">
        <f t="shared" si="247"/>
        <v>-6.2644531547952954E-4</v>
      </c>
      <c r="X195" s="87">
        <f t="shared" si="247"/>
        <v>-3.6756896020553875E-4</v>
      </c>
      <c r="Y195" s="87">
        <f t="shared" si="247"/>
        <v>-2.8925982779935856E-4</v>
      </c>
      <c r="Z195" s="87">
        <f t="shared" si="247"/>
        <v>-2.9478101311373247E-4</v>
      </c>
      <c r="AA195" s="87">
        <f t="shared" si="247"/>
        <v>-2.085733569952282E-4</v>
      </c>
      <c r="AB195" s="87">
        <f t="shared" si="247"/>
        <v>-1.095626772871613E-4</v>
      </c>
      <c r="AC195" s="87">
        <f t="shared" si="247"/>
        <v>-6.17020311802126E-5</v>
      </c>
      <c r="AD195" s="87">
        <f t="shared" si="247"/>
        <v>-1.3778690043208299E-4</v>
      </c>
      <c r="AE195" s="87">
        <f t="shared" si="247"/>
        <v>-4.9241682658231819E-4</v>
      </c>
      <c r="AF195" s="87">
        <f t="shared" si="247"/>
        <v>-4.83703904837885E-4</v>
      </c>
      <c r="AG195" s="87">
        <f t="shared" si="247"/>
        <v>-4.0385650144474539E-4</v>
      </c>
      <c r="AH195" s="87">
        <f t="shared" si="247"/>
        <v>-7.1161437547568327E-3</v>
      </c>
      <c r="AI195" s="87">
        <f t="shared" si="247"/>
        <v>-1.2090130537374983E-3</v>
      </c>
      <c r="AJ195" s="87">
        <f t="shared" si="247"/>
        <v>0</v>
      </c>
      <c r="AK195" s="87">
        <f t="shared" si="247"/>
        <v>-3.392487364033029E-2</v>
      </c>
      <c r="AL195" s="87">
        <f t="shared" si="247"/>
        <v>-7.2704013702156994E-3</v>
      </c>
      <c r="AM195" s="87">
        <f t="shared" si="247"/>
        <v>-8.2437345777511741E-3</v>
      </c>
      <c r="AN195" s="87">
        <f t="shared" si="247"/>
        <v>-5.8102950722732867E-2</v>
      </c>
      <c r="AO195" s="87">
        <f t="shared" si="247"/>
        <v>-3.4180272326951679E-2</v>
      </c>
      <c r="AP195" s="87">
        <f t="shared" si="247"/>
        <v>-3.7761711223309555E-2</v>
      </c>
      <c r="AQ195" s="87">
        <f t="shared" si="247"/>
        <v>-3.6800691165591932E-2</v>
      </c>
      <c r="AR195" s="87">
        <f t="shared" si="247"/>
        <v>-1.3106107259059797E-2</v>
      </c>
      <c r="AS195" s="87">
        <f t="shared" si="247"/>
        <v>0.75484850275737059</v>
      </c>
      <c r="AT195" s="87">
        <f t="shared" si="247"/>
        <v>-0.23128217141580501</v>
      </c>
      <c r="AU195" s="87">
        <f t="shared" si="247"/>
        <v>-4.0765267245367567E-2</v>
      </c>
      <c r="AV195" s="87">
        <f t="shared" si="247"/>
        <v>-1.3729885516158027E-2</v>
      </c>
      <c r="AW195" s="87">
        <f t="shared" si="247"/>
        <v>-9.2937835596873988E-3</v>
      </c>
      <c r="AX195" s="87">
        <f t="shared" si="247"/>
        <v>-1.8070954401782299E-2</v>
      </c>
      <c r="AY195" s="87">
        <f t="shared" si="247"/>
        <v>-9.7574961999333416E-3</v>
      </c>
      <c r="AZ195" s="87">
        <f t="shared" si="247"/>
        <v>-2.6021864199925034E-2</v>
      </c>
      <c r="BA195" s="87">
        <f t="shared" si="247"/>
        <v>-6.2681122548729267E-3</v>
      </c>
      <c r="BB195" s="87">
        <f t="shared" si="247"/>
        <v>-1.1370052380023412E-2</v>
      </c>
      <c r="BC195" s="87">
        <f t="shared" si="247"/>
        <v>-4.0533068761342645E-3</v>
      </c>
      <c r="BD195" s="87">
        <f t="shared" si="247"/>
        <v>-1.6280898170046249E-3</v>
      </c>
      <c r="BE195" s="87">
        <f t="shared" si="247"/>
        <v>-1.2822632052114473E-3</v>
      </c>
      <c r="BF195" s="87">
        <f t="shared" si="247"/>
        <v>-3.6549167044285856E-3</v>
      </c>
      <c r="BG195" s="87">
        <f t="shared" si="247"/>
        <v>-3.3164057649920269E-3</v>
      </c>
      <c r="BH195" s="87">
        <f t="shared" si="247"/>
        <v>-5.6176983149911095E-3</v>
      </c>
      <c r="BI195" s="87">
        <f t="shared" si="247"/>
        <v>-4.1129442047227001E-3</v>
      </c>
      <c r="BJ195" s="87">
        <f t="shared" si="247"/>
        <v>-6.1949013695275779E-3</v>
      </c>
      <c r="BK195" s="87">
        <f t="shared" si="247"/>
        <v>-8.2787432682173844E-4</v>
      </c>
      <c r="BL195" s="87">
        <f t="shared" si="247"/>
        <v>-4.6071531277270828E-4</v>
      </c>
      <c r="BM195" s="87">
        <f t="shared" si="247"/>
        <v>-1.480340088528222E-3</v>
      </c>
      <c r="BN195" s="87">
        <f t="shared" si="247"/>
        <v>-4.6311406172203319E-3</v>
      </c>
      <c r="BO195" s="87">
        <f t="shared" si="246"/>
        <v>-7.7741198498078078E-3</v>
      </c>
      <c r="BP195" s="87">
        <f t="shared" si="246"/>
        <v>-4.325658468712172E-3</v>
      </c>
      <c r="BQ195" s="87">
        <f t="shared" si="246"/>
        <v>-6.6537431932271365E-2</v>
      </c>
      <c r="BR195" s="87">
        <f t="shared" si="246"/>
        <v>-1.0195985941528426E-2</v>
      </c>
      <c r="BS195" s="87">
        <f t="shared" si="246"/>
        <v>-3.7030150815717098E-4</v>
      </c>
      <c r="BU195" s="97">
        <v>327847.67254404933</v>
      </c>
      <c r="BV195" s="98">
        <v>1792248.9233534073</v>
      </c>
      <c r="BW195">
        <f t="shared" si="155"/>
        <v>-1358.6272721628877</v>
      </c>
      <c r="BX195">
        <f t="shared" si="190"/>
        <v>-65.009748875592933</v>
      </c>
      <c r="BY195">
        <f t="shared" si="191"/>
        <v>-527.65761770429572</v>
      </c>
      <c r="BZ195">
        <f t="shared" si="192"/>
        <v>-577.06608077115061</v>
      </c>
      <c r="CA195">
        <f t="shared" si="193"/>
        <v>-67.489804876576031</v>
      </c>
      <c r="CB195">
        <f t="shared" si="194"/>
        <v>-261.67771113153515</v>
      </c>
      <c r="CC195">
        <f t="shared" si="195"/>
        <v>-825.63784687377984</v>
      </c>
      <c r="CD195">
        <f t="shared" si="196"/>
        <v>-698.37373493743598</v>
      </c>
      <c r="CE195">
        <f t="shared" si="165"/>
        <v>-9353.9617710372386</v>
      </c>
      <c r="CF195">
        <f t="shared" si="166"/>
        <v>-3048.3703494040315</v>
      </c>
      <c r="CG195">
        <f t="shared" si="167"/>
        <v>-358.38460652766321</v>
      </c>
      <c r="CH195">
        <f t="shared" si="168"/>
        <v>-892.71198418311997</v>
      </c>
      <c r="CI195">
        <f t="shared" si="169"/>
        <v>-397.49553869495253</v>
      </c>
      <c r="CJ195">
        <f t="shared" si="170"/>
        <v>-797.64543401111303</v>
      </c>
      <c r="CK195">
        <f t="shared" si="171"/>
        <v>-670.95197141458686</v>
      </c>
      <c r="CL195">
        <f t="shared" si="172"/>
        <v>-304.18349887151442</v>
      </c>
      <c r="CM195">
        <f t="shared" si="173"/>
        <v>-156.88955037587627</v>
      </c>
      <c r="CN195">
        <f t="shared" si="174"/>
        <v>-686.52283115306932</v>
      </c>
      <c r="CO195">
        <f t="shared" si="175"/>
        <v>-134.00439187171199</v>
      </c>
      <c r="CP195">
        <f t="shared" si="176"/>
        <v>-277.1512974435218</v>
      </c>
      <c r="CQ195">
        <f t="shared" si="177"/>
        <v>-129.76790910026318</v>
      </c>
      <c r="CR195">
        <f t="shared" si="178"/>
        <v>-135.86178570504461</v>
      </c>
      <c r="CS195">
        <f t="shared" si="179"/>
        <v>-74.343552347774946</v>
      </c>
      <c r="CT195">
        <f t="shared" si="180"/>
        <v>-13.08447952419883</v>
      </c>
      <c r="CU195">
        <f t="shared" si="181"/>
        <v>-13.727172730318825</v>
      </c>
      <c r="CV195">
        <f t="shared" si="182"/>
        <v>-36.466506470815425</v>
      </c>
      <c r="CW195">
        <f t="shared" si="183"/>
        <v>-30.765146606967228</v>
      </c>
      <c r="CX195">
        <f t="shared" si="184"/>
        <v>-33.012039539074038</v>
      </c>
      <c r="CY195">
        <f t="shared" si="185"/>
        <v>-77.103798877371986</v>
      </c>
      <c r="CZ195">
        <f t="shared" si="186"/>
        <v>-440.73097394962036</v>
      </c>
      <c r="DA195">
        <f t="shared" si="187"/>
        <v>-191.8749229979426</v>
      </c>
      <c r="DB195">
        <f t="shared" si="188"/>
        <v>-94.599338012010222</v>
      </c>
      <c r="DC195">
        <f t="shared" si="156"/>
        <v>-3366.3617001018729</v>
      </c>
      <c r="DD195">
        <f t="shared" si="219"/>
        <v>-347.93276485488951</v>
      </c>
      <c r="DE195">
        <f t="shared" si="220"/>
        <v>0</v>
      </c>
      <c r="DF195">
        <f t="shared" si="221"/>
        <v>-43637.905938513424</v>
      </c>
      <c r="DG195">
        <f t="shared" si="222"/>
        <v>-6493.5152812600727</v>
      </c>
      <c r="DH195">
        <f t="shared" si="223"/>
        <v>-13384.102280422281</v>
      </c>
      <c r="DI195">
        <f t="shared" si="224"/>
        <v>-41998.653321901089</v>
      </c>
      <c r="DJ195">
        <f t="shared" si="225"/>
        <v>-3688.9486580275261</v>
      </c>
      <c r="DK195">
        <f t="shared" si="226"/>
        <v>-9149.7312877689837</v>
      </c>
      <c r="DL195">
        <f t="shared" si="227"/>
        <v>-24263.173317903384</v>
      </c>
      <c r="DM195">
        <f t="shared" si="157"/>
        <v>-6874.5863401238003</v>
      </c>
      <c r="DN195">
        <f t="shared" si="211"/>
        <v>811725.84981709742</v>
      </c>
      <c r="DO195">
        <f t="shared" si="212"/>
        <v>-118191.8364555765</v>
      </c>
      <c r="DP195">
        <f t="shared" si="213"/>
        <v>-16614.275738427743</v>
      </c>
      <c r="DQ195">
        <f t="shared" si="214"/>
        <v>-21551.116400015097</v>
      </c>
      <c r="DR195">
        <f t="shared" si="215"/>
        <v>-8897.3762933619983</v>
      </c>
      <c r="DS195">
        <f t="shared" si="216"/>
        <v>-55714.998285218666</v>
      </c>
      <c r="DT195">
        <f t="shared" si="217"/>
        <v>-13898.047646377981</v>
      </c>
      <c r="DU195">
        <f t="shared" si="218"/>
        <v>-7453.4948089275749</v>
      </c>
      <c r="DV195">
        <f t="shared" si="199"/>
        <v>-5146.750129197866</v>
      </c>
      <c r="DW195">
        <f t="shared" si="200"/>
        <v>-26141.304688857988</v>
      </c>
      <c r="DX195">
        <f t="shared" si="201"/>
        <v>-1187.6777886481607</v>
      </c>
      <c r="DY195">
        <f t="shared" si="202"/>
        <v>-3117.9419230499525</v>
      </c>
      <c r="DZ195">
        <f t="shared" si="203"/>
        <v>-1826.7106415573401</v>
      </c>
      <c r="EA195">
        <f t="shared" si="204"/>
        <v>-3266.7914577147262</v>
      </c>
      <c r="EB195">
        <f t="shared" si="205"/>
        <v>-2895.3718282970303</v>
      </c>
      <c r="EC195">
        <f t="shared" si="206"/>
        <v>-969.99662294158259</v>
      </c>
      <c r="ED195">
        <f t="shared" si="207"/>
        <v>-650.9787693895064</v>
      </c>
      <c r="EE195">
        <f t="shared" si="208"/>
        <v>-2105.5824028994193</v>
      </c>
      <c r="EF195">
        <f t="shared" si="209"/>
        <v>-882.64473230213662</v>
      </c>
      <c r="EG195">
        <f t="shared" si="158"/>
        <v>-1106.0246266777149</v>
      </c>
      <c r="EH195">
        <f t="shared" si="228"/>
        <v>-3031.9838478188126</v>
      </c>
      <c r="EI195">
        <f t="shared" si="229"/>
        <v>-12074.71866227704</v>
      </c>
      <c r="EJ195">
        <f t="shared" si="230"/>
        <v>-17287.008984451099</v>
      </c>
      <c r="EK195">
        <f t="shared" si="231"/>
        <v>-2475.1696417886101</v>
      </c>
      <c r="EL195">
        <f t="shared" si="232"/>
        <v>-88601.577765777765</v>
      </c>
      <c r="EM195">
        <f t="shared" si="159"/>
        <v>-10763.986297311936</v>
      </c>
      <c r="EN195">
        <f t="shared" si="152"/>
        <v>-5.0967424098344303</v>
      </c>
      <c r="EO195">
        <v>44</v>
      </c>
      <c r="EP195">
        <f t="shared" si="243"/>
        <v>209931.32507676299</v>
      </c>
      <c r="EQ195" s="98">
        <f t="shared" si="160"/>
        <v>327847.67254404933</v>
      </c>
      <c r="ES195" s="99">
        <f t="shared" si="161"/>
        <v>0.35966809388113985</v>
      </c>
    </row>
    <row r="196" spans="2:149" x14ac:dyDescent="0.35">
      <c r="B196" s="87">
        <f t="shared" si="154"/>
        <v>-3.6434928352690679E-4</v>
      </c>
      <c r="C196" s="87">
        <f t="shared" si="247"/>
        <v>-4.9305329807419859E-4</v>
      </c>
      <c r="D196" s="87">
        <f t="shared" si="247"/>
        <v>-1.3102717670211512E-3</v>
      </c>
      <c r="E196" s="87">
        <f t="shared" si="247"/>
        <v>-7.9731871400788113E-4</v>
      </c>
      <c r="F196" s="87">
        <f t="shared" si="247"/>
        <v>-2.3958198197668113E-3</v>
      </c>
      <c r="G196" s="87">
        <f t="shared" si="247"/>
        <v>-7.0873388174205331E-4</v>
      </c>
      <c r="H196" s="87">
        <f t="shared" si="247"/>
        <v>-9.4460783349077605E-4</v>
      </c>
      <c r="I196" s="87">
        <f t="shared" si="247"/>
        <v>-9.9532073648761444E-4</v>
      </c>
      <c r="J196" s="87">
        <f t="shared" si="247"/>
        <v>-1.2245745595225947E-3</v>
      </c>
      <c r="K196" s="87">
        <f t="shared" si="247"/>
        <v>-7.6879943632151247E-3</v>
      </c>
      <c r="L196" s="87">
        <f t="shared" si="247"/>
        <v>-8.4671399668751694E-4</v>
      </c>
      <c r="M196" s="87">
        <f t="shared" si="247"/>
        <v>-6.9134339713658162E-4</v>
      </c>
      <c r="N196" s="87">
        <f t="shared" si="247"/>
        <v>-2.0166489624700154E-3</v>
      </c>
      <c r="O196" s="87">
        <f t="shared" si="247"/>
        <v>-1.571070435708786E-3</v>
      </c>
      <c r="P196" s="87">
        <f t="shared" si="247"/>
        <v>-3.0039912748923026E-3</v>
      </c>
      <c r="Q196" s="87">
        <f t="shared" si="247"/>
        <v>-2.5412096488168128E-3</v>
      </c>
      <c r="R196" s="87">
        <f t="shared" si="247"/>
        <v>-2.1559103520680126E-4</v>
      </c>
      <c r="S196" s="87">
        <f t="shared" si="247"/>
        <v>-2.0269523747392299E-3</v>
      </c>
      <c r="T196" s="87">
        <f t="shared" si="247"/>
        <v>-1.3052306921752961E-3</v>
      </c>
      <c r="U196" s="87">
        <f t="shared" si="247"/>
        <v>-5.0479309750199304E-4</v>
      </c>
      <c r="V196" s="87">
        <f t="shared" si="247"/>
        <v>-4.9422492290735994E-4</v>
      </c>
      <c r="W196" s="87">
        <f t="shared" si="247"/>
        <v>-1.6833303564136085E-4</v>
      </c>
      <c r="X196" s="87">
        <f t="shared" si="247"/>
        <v>-8.6093141283721667E-4</v>
      </c>
      <c r="Y196" s="87">
        <f t="shared" si="247"/>
        <v>-9.7219253401475996E-5</v>
      </c>
      <c r="Z196" s="87">
        <f t="shared" si="247"/>
        <v>-1.3911534508852491E-4</v>
      </c>
      <c r="AA196" s="87">
        <f t="shared" si="247"/>
        <v>-4.100495620056091E-4</v>
      </c>
      <c r="AB196" s="87">
        <f t="shared" si="247"/>
        <v>-3.9397240965599698E-4</v>
      </c>
      <c r="AC196" s="87">
        <f t="shared" si="247"/>
        <v>-5.4159830583918999E-5</v>
      </c>
      <c r="AD196" s="87">
        <f t="shared" si="247"/>
        <v>-9.567115802344791E-5</v>
      </c>
      <c r="AE196" s="87">
        <f t="shared" si="247"/>
        <v>-1.8220678513574751E-4</v>
      </c>
      <c r="AF196" s="87">
        <f t="shared" si="247"/>
        <v>-1.7525160372311411E-4</v>
      </c>
      <c r="AG196" s="87">
        <f t="shared" si="247"/>
        <v>-8.7187595130312534E-5</v>
      </c>
      <c r="AH196" s="87">
        <f t="shared" si="247"/>
        <v>-2.5773487222672154E-4</v>
      </c>
      <c r="AI196" s="87">
        <f t="shared" si="247"/>
        <v>-2.8795840149836905E-4</v>
      </c>
      <c r="AJ196" s="87">
        <f t="shared" si="247"/>
        <v>0</v>
      </c>
      <c r="AK196" s="87">
        <f t="shared" si="247"/>
        <v>-4.3523862314978744E-3</v>
      </c>
      <c r="AL196" s="87">
        <f t="shared" si="247"/>
        <v>-4.5868013933059726E-3</v>
      </c>
      <c r="AM196" s="87">
        <f t="shared" si="247"/>
        <v>-1.9318907163568457E-2</v>
      </c>
      <c r="AN196" s="87">
        <f t="shared" si="247"/>
        <v>-9.9616221954441225E-3</v>
      </c>
      <c r="AO196" s="87">
        <f t="shared" si="247"/>
        <v>-3.8199444029359687E-2</v>
      </c>
      <c r="AP196" s="87">
        <f t="shared" si="247"/>
        <v>-6.9642697179288244E-3</v>
      </c>
      <c r="AQ196" s="87">
        <f t="shared" si="247"/>
        <v>-1.9018405641133478E-2</v>
      </c>
      <c r="AR196" s="87">
        <f t="shared" si="247"/>
        <v>-1.7293765227537076E-3</v>
      </c>
      <c r="AS196" s="87">
        <f t="shared" si="247"/>
        <v>-1.8114181350579045E-2</v>
      </c>
      <c r="AT196" s="87">
        <f t="shared" si="247"/>
        <v>0.8201231672797652</v>
      </c>
      <c r="AU196" s="87">
        <f t="shared" si="247"/>
        <v>-1.290065570632009E-2</v>
      </c>
      <c r="AV196" s="87">
        <f t="shared" si="247"/>
        <v>-5.9450875184867153E-3</v>
      </c>
      <c r="AW196" s="87">
        <f t="shared" si="247"/>
        <v>-2.1638119087366337E-2</v>
      </c>
      <c r="AX196" s="87">
        <f t="shared" si="247"/>
        <v>-2.3613770005143642E-2</v>
      </c>
      <c r="AY196" s="87">
        <f t="shared" si="247"/>
        <v>-3.0503250706789272E-2</v>
      </c>
      <c r="AZ196" s="87">
        <f t="shared" si="247"/>
        <v>-3.3563194132107795E-2</v>
      </c>
      <c r="BA196" s="87">
        <f t="shared" si="247"/>
        <v>-2.2064998378095477E-3</v>
      </c>
      <c r="BB196" s="87">
        <f t="shared" si="247"/>
        <v>-1.5382851862242744E-2</v>
      </c>
      <c r="BC196" s="87">
        <f t="shared" si="247"/>
        <v>-1.496524322682277E-2</v>
      </c>
      <c r="BD196" s="87">
        <f t="shared" si="247"/>
        <v>-3.0991570998633263E-3</v>
      </c>
      <c r="BE196" s="87">
        <f t="shared" si="247"/>
        <v>-3.8291111124789268E-3</v>
      </c>
      <c r="BF196" s="87">
        <f t="shared" si="247"/>
        <v>-4.8134067251751787E-3</v>
      </c>
      <c r="BG196" s="87">
        <f t="shared" si="247"/>
        <v>-1.1426781198284249E-2</v>
      </c>
      <c r="BH196" s="87">
        <f t="shared" si="247"/>
        <v>-3.816778776799765E-3</v>
      </c>
      <c r="BI196" s="87">
        <f t="shared" si="247"/>
        <v>-4.6114243221886762E-3</v>
      </c>
      <c r="BJ196" s="87">
        <f t="shared" si="247"/>
        <v>-8.6075166192544714E-3</v>
      </c>
      <c r="BK196" s="87">
        <f t="shared" si="247"/>
        <v>-2.0935347434422121E-3</v>
      </c>
      <c r="BL196" s="87">
        <f t="shared" si="247"/>
        <v>-5.3747642735047104E-4</v>
      </c>
      <c r="BM196" s="87">
        <f t="shared" si="247"/>
        <v>-1.1180459509902963E-3</v>
      </c>
      <c r="BN196" s="87">
        <f t="shared" si="247"/>
        <v>-2.9353467998156999E-3</v>
      </c>
      <c r="BO196" s="87">
        <f t="shared" si="246"/>
        <v>-3.0590134965381077E-3</v>
      </c>
      <c r="BP196" s="87">
        <f t="shared" si="246"/>
        <v>-1.6979716940825655E-3</v>
      </c>
      <c r="BQ196" s="87">
        <f t="shared" si="246"/>
        <v>-5.6799277512313553E-3</v>
      </c>
      <c r="BR196" s="87">
        <f t="shared" si="246"/>
        <v>-4.954703934725458E-3</v>
      </c>
      <c r="BS196" s="87">
        <f t="shared" si="246"/>
        <v>-1.808120749541286E-4</v>
      </c>
      <c r="BU196" s="97">
        <v>90098.262971174816</v>
      </c>
      <c r="BV196" s="98">
        <v>851714.56531545753</v>
      </c>
      <c r="BW196">
        <f t="shared" si="155"/>
        <v>-84.774053536763248</v>
      </c>
      <c r="BX196">
        <f t="shared" si="190"/>
        <v>-17.177837183988053</v>
      </c>
      <c r="BY196">
        <f t="shared" si="191"/>
        <v>-486.23407435387168</v>
      </c>
      <c r="BZ196">
        <f t="shared" si="192"/>
        <v>-60.739561460617786</v>
      </c>
      <c r="CA196">
        <f t="shared" si="193"/>
        <v>-35.964600127161724</v>
      </c>
      <c r="CB196">
        <f t="shared" si="194"/>
        <v>-36.536065167609564</v>
      </c>
      <c r="CC196">
        <f t="shared" si="195"/>
        <v>-167.92164163062094</v>
      </c>
      <c r="CD196">
        <f t="shared" si="196"/>
        <v>-127.65889931524035</v>
      </c>
      <c r="CE196">
        <f t="shared" si="165"/>
        <v>-341.46967257393965</v>
      </c>
      <c r="CF196">
        <f t="shared" si="166"/>
        <v>-917.11986021247537</v>
      </c>
      <c r="CG196">
        <f t="shared" si="167"/>
        <v>-70.929267332667095</v>
      </c>
      <c r="CH196">
        <f t="shared" si="168"/>
        <v>-207.46667288412706</v>
      </c>
      <c r="CI196">
        <f t="shared" si="169"/>
        <v>-481.98778455826988</v>
      </c>
      <c r="CJ196">
        <f t="shared" si="170"/>
        <v>-586.80822766857204</v>
      </c>
      <c r="CK196">
        <f t="shared" si="171"/>
        <v>-1008.7557747896317</v>
      </c>
      <c r="CL196">
        <f t="shared" si="172"/>
        <v>-199.80348057844105</v>
      </c>
      <c r="CM196">
        <f t="shared" si="173"/>
        <v>-52.557093845164019</v>
      </c>
      <c r="CN196">
        <f t="shared" si="174"/>
        <v>-1112.5162181662743</v>
      </c>
      <c r="CO196">
        <f t="shared" si="175"/>
        <v>-187.70123006329112</v>
      </c>
      <c r="CP196">
        <f t="shared" si="176"/>
        <v>-234.83229666751708</v>
      </c>
      <c r="CQ196">
        <f t="shared" si="177"/>
        <v>-169.19316234745244</v>
      </c>
      <c r="CR196">
        <f t="shared" si="178"/>
        <v>-36.507618861958804</v>
      </c>
      <c r="CS196">
        <f t="shared" si="179"/>
        <v>-174.12977287939941</v>
      </c>
      <c r="CT196">
        <f t="shared" si="180"/>
        <v>-4.3976494771747596</v>
      </c>
      <c r="CU196">
        <f t="shared" si="181"/>
        <v>-6.4782339652632457</v>
      </c>
      <c r="CV196">
        <f t="shared" si="182"/>
        <v>-71.692162516110216</v>
      </c>
      <c r="CW196">
        <f t="shared" si="183"/>
        <v>-110.6272614204108</v>
      </c>
      <c r="CX196">
        <f t="shared" si="184"/>
        <v>-28.976784628757258</v>
      </c>
      <c r="CY196">
        <f t="shared" si="185"/>
        <v>-53.536364512686241</v>
      </c>
      <c r="CZ196">
        <f t="shared" si="186"/>
        <v>-163.08170139202713</v>
      </c>
      <c r="DA196">
        <f t="shared" si="187"/>
        <v>-69.518537339301545</v>
      </c>
      <c r="DB196">
        <f t="shared" si="188"/>
        <v>-20.422820364859685</v>
      </c>
      <c r="DC196">
        <f t="shared" si="156"/>
        <v>-121.92401285664208</v>
      </c>
      <c r="DD196">
        <f t="shared" si="219"/>
        <v>-82.869380513963634</v>
      </c>
      <c r="DE196">
        <f t="shared" si="220"/>
        <v>0</v>
      </c>
      <c r="DF196">
        <f t="shared" si="221"/>
        <v>-5598.5181549031704</v>
      </c>
      <c r="DG196">
        <f t="shared" si="222"/>
        <v>-4096.6740930636788</v>
      </c>
      <c r="DH196">
        <f t="shared" si="223"/>
        <v>-31365.181276095595</v>
      </c>
      <c r="DI196">
        <f t="shared" si="224"/>
        <v>-7200.5760792889159</v>
      </c>
      <c r="DJ196">
        <f t="shared" si="225"/>
        <v>-4122.7227928897955</v>
      </c>
      <c r="DK196">
        <f t="shared" si="226"/>
        <v>-1687.4552150926256</v>
      </c>
      <c r="DL196">
        <f t="shared" si="227"/>
        <v>-12539.081677152264</v>
      </c>
      <c r="DM196">
        <f t="shared" si="157"/>
        <v>-907.11513230102378</v>
      </c>
      <c r="DN196">
        <f t="shared" si="211"/>
        <v>-19479.073213802196</v>
      </c>
      <c r="DO196">
        <f t="shared" si="212"/>
        <v>419106.50815489289</v>
      </c>
      <c r="DP196">
        <f t="shared" si="213"/>
        <v>-5257.7859926989586</v>
      </c>
      <c r="DQ196">
        <f t="shared" si="214"/>
        <v>-9331.7073160152813</v>
      </c>
      <c r="DR196">
        <f t="shared" si="215"/>
        <v>-20715.189520440326</v>
      </c>
      <c r="DS196">
        <f t="shared" si="216"/>
        <v>-72804.187653440546</v>
      </c>
      <c r="DT196">
        <f t="shared" si="217"/>
        <v>-43447.173640228146</v>
      </c>
      <c r="DU196">
        <f t="shared" si="218"/>
        <v>-9613.5730827238185</v>
      </c>
      <c r="DV196">
        <f t="shared" si="199"/>
        <v>-1811.7581280540717</v>
      </c>
      <c r="DW196">
        <f t="shared" si="200"/>
        <v>-35367.279241472243</v>
      </c>
      <c r="DX196">
        <f t="shared" si="201"/>
        <v>-4385.0336343558847</v>
      </c>
      <c r="DY196">
        <f t="shared" si="202"/>
        <v>-5935.1712337098443</v>
      </c>
      <c r="DZ196">
        <f t="shared" si="203"/>
        <v>-5454.9471500410773</v>
      </c>
      <c r="EA196">
        <f t="shared" si="204"/>
        <v>-4302.2583669980686</v>
      </c>
      <c r="EB196">
        <f t="shared" si="205"/>
        <v>-9976.0954219985015</v>
      </c>
      <c r="EC196">
        <f t="shared" si="206"/>
        <v>-659.03548329236605</v>
      </c>
      <c r="ED196">
        <f t="shared" si="207"/>
        <v>-729.87601605298653</v>
      </c>
      <c r="EE196">
        <f t="shared" si="208"/>
        <v>-2925.6051783676153</v>
      </c>
      <c r="EF196">
        <f t="shared" si="209"/>
        <v>-2232.0385514124778</v>
      </c>
      <c r="EG196">
        <f t="shared" si="158"/>
        <v>-1290.3025977815757</v>
      </c>
      <c r="EH196">
        <f t="shared" si="228"/>
        <v>-2289.9449192733086</v>
      </c>
      <c r="EI196">
        <f t="shared" si="229"/>
        <v>-7653.2953139443744</v>
      </c>
      <c r="EJ196">
        <f t="shared" si="230"/>
        <v>-6802.2097446206417</v>
      </c>
      <c r="EK196">
        <f t="shared" si="231"/>
        <v>-971.59034172681322</v>
      </c>
      <c r="EL196">
        <f t="shared" si="232"/>
        <v>-7563.4202544363934</v>
      </c>
      <c r="EM196">
        <f t="shared" si="159"/>
        <v>-5230.7217336774393</v>
      </c>
      <c r="EN196">
        <f t="shared" si="152"/>
        <v>-2.4886546512193104</v>
      </c>
      <c r="EO196">
        <v>45</v>
      </c>
      <c r="EP196">
        <f t="shared" si="243"/>
        <v>57825.111573697359</v>
      </c>
      <c r="EQ196" s="98">
        <f t="shared" si="160"/>
        <v>90098.262971174816</v>
      </c>
      <c r="ES196" s="99">
        <f t="shared" si="161"/>
        <v>0.35819948502006771</v>
      </c>
    </row>
    <row r="197" spans="2:149" x14ac:dyDescent="0.35">
      <c r="B197" s="87">
        <f t="shared" si="154"/>
        <v>-1.730144203894396E-4</v>
      </c>
      <c r="C197" s="87">
        <f t="shared" si="247"/>
        <v>-6.4197981663031002E-4</v>
      </c>
      <c r="D197" s="87">
        <f t="shared" si="247"/>
        <v>-3.070587447387587E-4</v>
      </c>
      <c r="E197" s="87">
        <f t="shared" si="247"/>
        <v>-1.3215152678826663E-4</v>
      </c>
      <c r="F197" s="87">
        <f t="shared" si="247"/>
        <v>-5.8755848087612476E-5</v>
      </c>
      <c r="G197" s="87">
        <f t="shared" si="247"/>
        <v>-5.6961522415565052E-4</v>
      </c>
      <c r="H197" s="87">
        <f t="shared" si="247"/>
        <v>-6.1833330795091476E-5</v>
      </c>
      <c r="I197" s="87">
        <f t="shared" si="247"/>
        <v>-1.7895350254341138E-4</v>
      </c>
      <c r="J197" s="87">
        <f t="shared" si="247"/>
        <v>-3.108321028429415E-4</v>
      </c>
      <c r="K197" s="87">
        <f t="shared" si="247"/>
        <v>-3.8727306275127666E-4</v>
      </c>
      <c r="L197" s="87">
        <f t="shared" si="247"/>
        <v>-5.9331714178876283E-3</v>
      </c>
      <c r="M197" s="87">
        <f t="shared" si="247"/>
        <v>-4.9960730139637921E-4</v>
      </c>
      <c r="N197" s="87">
        <f t="shared" si="247"/>
        <v>-2.5231079005705629E-4</v>
      </c>
      <c r="O197" s="87">
        <f t="shared" si="247"/>
        <v>-4.4270500089819395E-4</v>
      </c>
      <c r="P197" s="87">
        <f t="shared" si="247"/>
        <v>-3.8108955053822979E-4</v>
      </c>
      <c r="Q197" s="87">
        <f t="shared" si="247"/>
        <v>-3.5812384379639231E-4</v>
      </c>
      <c r="R197" s="87">
        <f t="shared" si="247"/>
        <v>-1.8169522056582071E-4</v>
      </c>
      <c r="S197" s="87">
        <f t="shared" si="247"/>
        <v>-3.3974063872247947E-3</v>
      </c>
      <c r="T197" s="87">
        <f t="shared" si="247"/>
        <v>-1.5607818203117399E-4</v>
      </c>
      <c r="U197" s="87">
        <f t="shared" si="247"/>
        <v>-1.0318424080270709E-4</v>
      </c>
      <c r="V197" s="87">
        <f t="shared" si="247"/>
        <v>-6.5201689404361318E-5</v>
      </c>
      <c r="W197" s="87">
        <f t="shared" si="247"/>
        <v>-1.2658340276057515E-4</v>
      </c>
      <c r="X197" s="87">
        <f t="shared" si="247"/>
        <v>-8.2577924163498745E-5</v>
      </c>
      <c r="Y197" s="87">
        <f t="shared" si="247"/>
        <v>-2.7278511246355674E-5</v>
      </c>
      <c r="Z197" s="87">
        <f t="shared" si="247"/>
        <v>-3.6189394163896538E-5</v>
      </c>
      <c r="AA197" s="87">
        <f t="shared" si="247"/>
        <v>-5.299434665799494E-5</v>
      </c>
      <c r="AB197" s="87">
        <f t="shared" si="247"/>
        <v>-5.6513796993848765E-5</v>
      </c>
      <c r="AC197" s="87">
        <f t="shared" si="247"/>
        <v>-6.3418303954936663E-6</v>
      </c>
      <c r="AD197" s="87">
        <f t="shared" si="247"/>
        <v>-1.3198164659978317E-4</v>
      </c>
      <c r="AE197" s="87">
        <f t="shared" si="247"/>
        <v>-3.9058243219218689E-5</v>
      </c>
      <c r="AF197" s="87">
        <f t="shared" si="247"/>
        <v>-7.2637142215710958E-5</v>
      </c>
      <c r="AG197" s="87">
        <f t="shared" si="247"/>
        <v>-7.8397028006914037E-5</v>
      </c>
      <c r="AH197" s="87">
        <f t="shared" si="247"/>
        <v>-6.8823832275388027E-5</v>
      </c>
      <c r="AI197" s="87">
        <f t="shared" si="247"/>
        <v>-1.277440617168248E-4</v>
      </c>
      <c r="AJ197" s="87">
        <f t="shared" si="247"/>
        <v>0</v>
      </c>
      <c r="AK197" s="87">
        <f t="shared" si="247"/>
        <v>-8.0896840170091404E-4</v>
      </c>
      <c r="AL197" s="87">
        <f t="shared" si="247"/>
        <v>-2.9269234918253523E-3</v>
      </c>
      <c r="AM197" s="87">
        <f t="shared" si="247"/>
        <v>-4.0237076179015707E-3</v>
      </c>
      <c r="AN197" s="87">
        <f t="shared" si="247"/>
        <v>-1.6922903728700145E-3</v>
      </c>
      <c r="AO197" s="87">
        <f t="shared" si="247"/>
        <v>-1.4740895886395039E-3</v>
      </c>
      <c r="AP197" s="87">
        <f t="shared" si="247"/>
        <v>-4.4289971844003739E-3</v>
      </c>
      <c r="AQ197" s="87">
        <f t="shared" si="247"/>
        <v>-1.0760101244961862E-3</v>
      </c>
      <c r="AR197" s="87">
        <f t="shared" si="247"/>
        <v>-1.9131699612059186E-3</v>
      </c>
      <c r="AS197" s="87">
        <f t="shared" si="247"/>
        <v>-5.0279523367807392E-3</v>
      </c>
      <c r="AT197" s="87">
        <f t="shared" si="247"/>
        <v>-4.1032952715786171E-3</v>
      </c>
      <c r="AU197" s="87">
        <f t="shared" si="247"/>
        <v>0.8572962211190428</v>
      </c>
      <c r="AV197" s="87">
        <f t="shared" si="247"/>
        <v>-1.1156781962321357E-2</v>
      </c>
      <c r="AW197" s="87">
        <f t="shared" si="247"/>
        <v>-4.9367383116181874E-3</v>
      </c>
      <c r="AX197" s="87">
        <f t="shared" si="247"/>
        <v>-9.7772062343806313E-3</v>
      </c>
      <c r="AY197" s="87">
        <f t="shared" si="247"/>
        <v>-5.5754226225621199E-3</v>
      </c>
      <c r="AZ197" s="87">
        <f t="shared" si="247"/>
        <v>-7.121846004401652E-3</v>
      </c>
      <c r="BA197" s="87">
        <f t="shared" si="247"/>
        <v>-1.1460870656325257E-3</v>
      </c>
      <c r="BB197" s="87">
        <f t="shared" si="247"/>
        <v>-9.6798298306704833E-2</v>
      </c>
      <c r="BC197" s="87">
        <f t="shared" si="247"/>
        <v>-2.8893105340332837E-3</v>
      </c>
      <c r="BD197" s="87">
        <f t="shared" si="247"/>
        <v>-3.8490021299622659E-4</v>
      </c>
      <c r="BE197" s="87">
        <f t="shared" si="247"/>
        <v>-6.0311381954898419E-4</v>
      </c>
      <c r="BF197" s="87">
        <f t="shared" si="247"/>
        <v>-2.7556975895305972E-3</v>
      </c>
      <c r="BG197" s="87">
        <f t="shared" si="247"/>
        <v>-1.2735926574681377E-3</v>
      </c>
      <c r="BH197" s="87">
        <f t="shared" si="247"/>
        <v>-3.8600523210312223E-4</v>
      </c>
      <c r="BI197" s="87">
        <f t="shared" si="247"/>
        <v>-6.4712329944989272E-4</v>
      </c>
      <c r="BJ197" s="87">
        <f t="shared" si="247"/>
        <v>-1.3717700050370801E-3</v>
      </c>
      <c r="BK197" s="87">
        <f t="shared" si="247"/>
        <v>-4.9734071626008009E-4</v>
      </c>
      <c r="BL197" s="87">
        <f t="shared" si="247"/>
        <v>-6.2388850995566766E-5</v>
      </c>
      <c r="BM197" s="87">
        <f t="shared" si="247"/>
        <v>-1.0209544040329114E-3</v>
      </c>
      <c r="BN197" s="87">
        <f t="shared" ref="BN197:BS200" si="248">BN124-BN47</f>
        <v>-7.7823298659491147E-4</v>
      </c>
      <c r="BO197" s="87">
        <f t="shared" si="248"/>
        <v>-1.2982423146240352E-3</v>
      </c>
      <c r="BP197" s="87">
        <f t="shared" si="248"/>
        <v>-1.8218102157369568E-3</v>
      </c>
      <c r="BQ197" s="87">
        <f t="shared" si="248"/>
        <v>-1.8398313275965299E-3</v>
      </c>
      <c r="BR197" s="87">
        <f t="shared" si="248"/>
        <v>-1.3286507373531592E-3</v>
      </c>
      <c r="BS197" s="87">
        <f t="shared" si="248"/>
        <v>-6.9255460268054112E-5</v>
      </c>
      <c r="BU197" s="97">
        <v>28122.018647087345</v>
      </c>
      <c r="BV197" s="98">
        <v>679265.98879816965</v>
      </c>
      <c r="BW197">
        <f t="shared" si="155"/>
        <v>-40.255695289828296</v>
      </c>
      <c r="BX197">
        <f t="shared" si="190"/>
        <v>-22.3663948878452</v>
      </c>
      <c r="BY197">
        <f t="shared" si="191"/>
        <v>-113.94767732784551</v>
      </c>
      <c r="BZ197">
        <f t="shared" si="192"/>
        <v>-10.067273779542891</v>
      </c>
      <c r="CA197">
        <f t="shared" si="193"/>
        <v>-0.88200730462648769</v>
      </c>
      <c r="CB197">
        <f t="shared" si="194"/>
        <v>-29.364334747280797</v>
      </c>
      <c r="CC197">
        <f t="shared" si="195"/>
        <v>-10.99202658126419</v>
      </c>
      <c r="CD197">
        <f t="shared" si="196"/>
        <v>-22.952407526358453</v>
      </c>
      <c r="CE197">
        <f t="shared" si="165"/>
        <v>-86.674784771477988</v>
      </c>
      <c r="CF197">
        <f t="shared" si="166"/>
        <v>-46.198761392688283</v>
      </c>
      <c r="CG197">
        <f t="shared" si="167"/>
        <v>-497.02202074876294</v>
      </c>
      <c r="CH197">
        <f t="shared" si="168"/>
        <v>-149.92819053256488</v>
      </c>
      <c r="CI197">
        <f t="shared" si="169"/>
        <v>-60.303365128454018</v>
      </c>
      <c r="CJ197">
        <f t="shared" si="170"/>
        <v>-165.35409937867115</v>
      </c>
      <c r="CK197">
        <f t="shared" si="171"/>
        <v>-127.97183801114959</v>
      </c>
      <c r="CL197">
        <f t="shared" si="172"/>
        <v>-28.157610097995988</v>
      </c>
      <c r="CM197">
        <f t="shared" si="173"/>
        <v>-44.293923211304104</v>
      </c>
      <c r="CN197">
        <f t="shared" si="174"/>
        <v>-1864.7057289520837</v>
      </c>
      <c r="CO197">
        <f t="shared" si="175"/>
        <v>-22.445125546709928</v>
      </c>
      <c r="CP197">
        <f t="shared" si="176"/>
        <v>-48.001829596131039</v>
      </c>
      <c r="CQ197">
        <f t="shared" si="177"/>
        <v>-22.321173031551282</v>
      </c>
      <c r="CR197">
        <f t="shared" si="178"/>
        <v>-27.453070068068204</v>
      </c>
      <c r="CS197">
        <f t="shared" si="179"/>
        <v>-16.701998515834283</v>
      </c>
      <c r="CT197">
        <f t="shared" si="180"/>
        <v>-1.2339256528256834</v>
      </c>
      <c r="CU197">
        <f t="shared" si="181"/>
        <v>-1.6852444444979664</v>
      </c>
      <c r="CV197">
        <f t="shared" si="182"/>
        <v>-9.2654148792581434</v>
      </c>
      <c r="CW197">
        <f t="shared" si="183"/>
        <v>-15.869046767405703</v>
      </c>
      <c r="CX197">
        <f t="shared" si="184"/>
        <v>-3.3930285885511933</v>
      </c>
      <c r="CY197">
        <f t="shared" si="185"/>
        <v>-73.855252589487591</v>
      </c>
      <c r="CZ197">
        <f t="shared" si="186"/>
        <v>-34.958548622809268</v>
      </c>
      <c r="DA197">
        <f t="shared" si="187"/>
        <v>-28.813590153052953</v>
      </c>
      <c r="DB197">
        <f t="shared" si="188"/>
        <v>-18.363718115301339</v>
      </c>
      <c r="DC197">
        <f t="shared" si="156"/>
        <v>-32.557789866348529</v>
      </c>
      <c r="DD197">
        <f t="shared" si="219"/>
        <v>-36.762501818759283</v>
      </c>
      <c r="DE197">
        <f t="shared" si="220"/>
        <v>0</v>
      </c>
      <c r="DF197">
        <f t="shared" si="221"/>
        <v>-1040.5841859551385</v>
      </c>
      <c r="DG197">
        <f t="shared" si="222"/>
        <v>-2614.1641229201</v>
      </c>
      <c r="DH197">
        <f t="shared" si="223"/>
        <v>-6532.6841611147292</v>
      </c>
      <c r="DI197">
        <f t="shared" si="224"/>
        <v>-1223.2410885519914</v>
      </c>
      <c r="DJ197">
        <f t="shared" si="225"/>
        <v>-159.09296326864614</v>
      </c>
      <c r="DK197">
        <f t="shared" si="226"/>
        <v>-1073.1540705849711</v>
      </c>
      <c r="DL197">
        <f t="shared" si="227"/>
        <v>-709.42744050632916</v>
      </c>
      <c r="DM197">
        <f t="shared" si="157"/>
        <v>-1003.5208641032366</v>
      </c>
      <c r="DN197">
        <f t="shared" si="211"/>
        <v>-5406.8052973605172</v>
      </c>
      <c r="DO197">
        <f t="shared" si="212"/>
        <v>-2096.9018091561325</v>
      </c>
      <c r="DP197">
        <f t="shared" si="213"/>
        <v>349399.29919881653</v>
      </c>
      <c r="DQ197">
        <f t="shared" si="214"/>
        <v>-17512.244106960188</v>
      </c>
      <c r="DR197">
        <f t="shared" si="215"/>
        <v>-4726.1718694254814</v>
      </c>
      <c r="DS197">
        <f t="shared" si="216"/>
        <v>-30144.341935200715</v>
      </c>
      <c r="DT197">
        <f t="shared" si="217"/>
        <v>-7941.3291759817839</v>
      </c>
      <c r="DU197">
        <f t="shared" si="218"/>
        <v>-2039.9246501310322</v>
      </c>
      <c r="DV197">
        <f t="shared" si="199"/>
        <v>-941.05266677866598</v>
      </c>
      <c r="DW197">
        <f t="shared" si="200"/>
        <v>-222552.51997294027</v>
      </c>
      <c r="DX197">
        <f t="shared" si="201"/>
        <v>-846.60995346378922</v>
      </c>
      <c r="DY197">
        <f t="shared" si="202"/>
        <v>-737.11935162136206</v>
      </c>
      <c r="DZ197">
        <f t="shared" si="203"/>
        <v>-859.19523211987382</v>
      </c>
      <c r="EA197">
        <f t="shared" si="204"/>
        <v>-2463.0627928170652</v>
      </c>
      <c r="EB197">
        <f t="shared" si="205"/>
        <v>-1111.9038388139036</v>
      </c>
      <c r="EC197">
        <f t="shared" si="206"/>
        <v>-66.650743878260911</v>
      </c>
      <c r="ED197">
        <f t="shared" si="207"/>
        <v>-102.42383756031778</v>
      </c>
      <c r="EE197">
        <f t="shared" si="208"/>
        <v>-466.25032605669884</v>
      </c>
      <c r="EF197">
        <f t="shared" si="209"/>
        <v>-530.24372074875726</v>
      </c>
      <c r="EG197">
        <f t="shared" si="158"/>
        <v>-149.77493414738291</v>
      </c>
      <c r="EH197">
        <f t="shared" si="228"/>
        <v>-2091.085208308371</v>
      </c>
      <c r="EI197">
        <f t="shared" si="229"/>
        <v>-2029.0777463970287</v>
      </c>
      <c r="EJ197">
        <f t="shared" si="230"/>
        <v>-2886.8511150436038</v>
      </c>
      <c r="EK197">
        <f t="shared" si="231"/>
        <v>-1042.4515415880653</v>
      </c>
      <c r="EL197">
        <f t="shared" si="232"/>
        <v>-2449.9286148267397</v>
      </c>
      <c r="EM197">
        <f t="shared" si="159"/>
        <v>-1402.6675215912403</v>
      </c>
      <c r="EN197">
        <f t="shared" si="152"/>
        <v>-0.95321578142473262</v>
      </c>
      <c r="EO197">
        <v>46</v>
      </c>
      <c r="EP197">
        <f t="shared" si="243"/>
        <v>18730.769725186372</v>
      </c>
      <c r="EQ197" s="98">
        <f t="shared" si="160"/>
        <v>28122.018647087345</v>
      </c>
      <c r="ES197" s="99">
        <f t="shared" si="161"/>
        <v>0.33394647232671698</v>
      </c>
    </row>
    <row r="198" spans="2:149" x14ac:dyDescent="0.35">
      <c r="B198" s="87">
        <f t="shared" si="154"/>
        <v>-5.3908018131607321E-4</v>
      </c>
      <c r="C198" s="87">
        <f t="shared" ref="C198:BN201" si="249">C125-C48</f>
        <v>-3.1197542055245359E-3</v>
      </c>
      <c r="D198" s="87">
        <f t="shared" si="249"/>
        <v>-6.9220281008616454E-4</v>
      </c>
      <c r="E198" s="87">
        <f t="shared" si="249"/>
        <v>-5.5176528215567975E-4</v>
      </c>
      <c r="F198" s="87">
        <f t="shared" si="249"/>
        <v>-6.9681241048889092E-4</v>
      </c>
      <c r="G198" s="87">
        <f t="shared" si="249"/>
        <v>-1.4833152590363384E-3</v>
      </c>
      <c r="H198" s="87">
        <f t="shared" si="249"/>
        <v>-5.0608699547078099E-4</v>
      </c>
      <c r="I198" s="87">
        <f t="shared" si="249"/>
        <v>-1.1771282925584704E-3</v>
      </c>
      <c r="J198" s="87">
        <f t="shared" si="249"/>
        <v>-1.4350881032257352E-3</v>
      </c>
      <c r="K198" s="87">
        <f t="shared" si="249"/>
        <v>-2.349815740448302E-3</v>
      </c>
      <c r="L198" s="87">
        <f t="shared" si="249"/>
        <v>-2.3386489046871863E-3</v>
      </c>
      <c r="M198" s="87">
        <f t="shared" si="249"/>
        <v>-3.6340234192316898E-2</v>
      </c>
      <c r="N198" s="87">
        <f t="shared" si="249"/>
        <v>-1.4110284801039652E-2</v>
      </c>
      <c r="O198" s="87">
        <f t="shared" si="249"/>
        <v>-5.9509836434896764E-3</v>
      </c>
      <c r="P198" s="87">
        <f t="shared" si="249"/>
        <v>-9.2816273245111113E-3</v>
      </c>
      <c r="Q198" s="87">
        <f t="shared" si="249"/>
        <v>-1.1104684348791253E-2</v>
      </c>
      <c r="R198" s="87">
        <f t="shared" si="249"/>
        <v>-8.4031820057897189E-4</v>
      </c>
      <c r="S198" s="87">
        <f t="shared" si="249"/>
        <v>-4.228776054679145E-3</v>
      </c>
      <c r="T198" s="87">
        <f t="shared" si="249"/>
        <v>-1.057602161971925E-3</v>
      </c>
      <c r="U198" s="87">
        <f t="shared" si="249"/>
        <v>-4.574893603576098E-4</v>
      </c>
      <c r="V198" s="87">
        <f t="shared" si="249"/>
        <v>-3.1328739187319815E-4</v>
      </c>
      <c r="W198" s="87">
        <f t="shared" si="249"/>
        <v>-1.0977027065131252E-4</v>
      </c>
      <c r="X198" s="87">
        <f t="shared" si="249"/>
        <v>-5.0972536585197571E-4</v>
      </c>
      <c r="Y198" s="87">
        <f t="shared" si="249"/>
        <v>-1.7617020523446998E-4</v>
      </c>
      <c r="Z198" s="87">
        <f t="shared" si="249"/>
        <v>-2.2131930497529536E-4</v>
      </c>
      <c r="AA198" s="87">
        <f t="shared" si="249"/>
        <v>-3.4911051195753894E-4</v>
      </c>
      <c r="AB198" s="87">
        <f t="shared" si="249"/>
        <v>-1.8800723821134628E-4</v>
      </c>
      <c r="AC198" s="87">
        <f t="shared" si="249"/>
        <v>-3.0411272124148553E-5</v>
      </c>
      <c r="AD198" s="87">
        <f t="shared" si="249"/>
        <v>-1.7189911649001809E-4</v>
      </c>
      <c r="AE198" s="87">
        <f t="shared" si="249"/>
        <v>-1.9537783928665333E-4</v>
      </c>
      <c r="AF198" s="87">
        <f t="shared" si="249"/>
        <v>-3.4589858164176229E-4</v>
      </c>
      <c r="AG198" s="87">
        <f t="shared" si="249"/>
        <v>-1.4091268129297238E-4</v>
      </c>
      <c r="AH198" s="87">
        <f t="shared" si="249"/>
        <v>-1.3687903654276053E-4</v>
      </c>
      <c r="AI198" s="87">
        <f t="shared" si="249"/>
        <v>-3.7273741302071121E-4</v>
      </c>
      <c r="AJ198" s="87">
        <f t="shared" si="249"/>
        <v>0</v>
      </c>
      <c r="AK198" s="87">
        <f t="shared" si="249"/>
        <v>-3.0430782638569344E-3</v>
      </c>
      <c r="AL198" s="87">
        <f t="shared" si="249"/>
        <v>-1.5201674861828426E-2</v>
      </c>
      <c r="AM198" s="87">
        <f t="shared" si="249"/>
        <v>-9.9214442656989157E-3</v>
      </c>
      <c r="AN198" s="87">
        <f t="shared" si="249"/>
        <v>-4.2402997826553029E-3</v>
      </c>
      <c r="AO198" s="87">
        <f t="shared" si="249"/>
        <v>-8.0399142304965199E-3</v>
      </c>
      <c r="AP198" s="87">
        <f t="shared" si="249"/>
        <v>-1.9031290030668179E-2</v>
      </c>
      <c r="AQ198" s="87">
        <f t="shared" si="249"/>
        <v>-1.0064855541752364E-2</v>
      </c>
      <c r="AR198" s="87">
        <f t="shared" si="249"/>
        <v>-4.3520662215201901E-3</v>
      </c>
      <c r="AS198" s="87">
        <f t="shared" si="249"/>
        <v>-1.1728381780997735E-2</v>
      </c>
      <c r="AT198" s="87">
        <f t="shared" si="249"/>
        <v>-2.088332385171528E-2</v>
      </c>
      <c r="AU198" s="87">
        <f t="shared" si="249"/>
        <v>-3.8637607887677401E-2</v>
      </c>
      <c r="AV198" s="87">
        <f t="shared" si="249"/>
        <v>0.66200626451742495</v>
      </c>
      <c r="AW198" s="87">
        <f t="shared" si="249"/>
        <v>-0.16366775027193159</v>
      </c>
      <c r="AX198" s="87">
        <f t="shared" si="249"/>
        <v>-6.6164963130299501E-2</v>
      </c>
      <c r="AY198" s="87">
        <f t="shared" si="249"/>
        <v>-8.4296470946635269E-2</v>
      </c>
      <c r="AZ198" s="87">
        <f t="shared" si="249"/>
        <v>-5.8362923693892843E-2</v>
      </c>
      <c r="BA198" s="87">
        <f t="shared" si="249"/>
        <v>-4.8260498179013029E-3</v>
      </c>
      <c r="BB198" s="87">
        <f t="shared" si="249"/>
        <v>-0.10922936338077617</v>
      </c>
      <c r="BC198" s="87">
        <f t="shared" si="249"/>
        <v>-1.4174939763337833E-2</v>
      </c>
      <c r="BD198" s="87">
        <f t="shared" si="249"/>
        <v>-1.9701057822337528E-3</v>
      </c>
      <c r="BE198" s="87">
        <f t="shared" si="249"/>
        <v>-2.1234832697016866E-3</v>
      </c>
      <c r="BF198" s="87">
        <f t="shared" si="249"/>
        <v>-4.8046264775778239E-3</v>
      </c>
      <c r="BG198" s="87">
        <f t="shared" si="249"/>
        <v>-6.5310868728566699E-3</v>
      </c>
      <c r="BH198" s="87">
        <f t="shared" si="249"/>
        <v>-5.1987595152461156E-3</v>
      </c>
      <c r="BI198" s="87">
        <f t="shared" si="249"/>
        <v>-4.3441772025766294E-3</v>
      </c>
      <c r="BJ198" s="87">
        <f t="shared" si="249"/>
        <v>-1.2338664728660147E-2</v>
      </c>
      <c r="BK198" s="87">
        <f t="shared" si="249"/>
        <v>-2.9575467432367462E-3</v>
      </c>
      <c r="BL198" s="87">
        <f t="shared" si="249"/>
        <v>-4.1881345007813825E-4</v>
      </c>
      <c r="BM198" s="87">
        <f t="shared" si="249"/>
        <v>-2.2639564741667767E-3</v>
      </c>
      <c r="BN198" s="87">
        <f t="shared" si="249"/>
        <v>-4.0123016529020547E-3</v>
      </c>
      <c r="BO198" s="87">
        <f t="shared" si="248"/>
        <v>-4.0899700243398644E-3</v>
      </c>
      <c r="BP198" s="87">
        <f t="shared" si="248"/>
        <v>-1.9318185325946304E-3</v>
      </c>
      <c r="BQ198" s="87">
        <f t="shared" si="248"/>
        <v>-2.2207688608546078E-3</v>
      </c>
      <c r="BR198" s="87">
        <f t="shared" si="248"/>
        <v>-4.2369756494951014E-3</v>
      </c>
      <c r="BS198" s="87">
        <f t="shared" si="248"/>
        <v>-3.914523658548716E-4</v>
      </c>
      <c r="BU198" s="97">
        <v>156119.64799496322</v>
      </c>
      <c r="BV198" s="98">
        <v>2616083.5275055827</v>
      </c>
      <c r="BW198">
        <f t="shared" si="155"/>
        <v>-125.42912589018975</v>
      </c>
      <c r="BX198">
        <f t="shared" si="190"/>
        <v>-108.69135244785997</v>
      </c>
      <c r="BY198">
        <f t="shared" si="191"/>
        <v>-256.87235358247773</v>
      </c>
      <c r="BZ198">
        <f t="shared" si="192"/>
        <v>-42.033355894614999</v>
      </c>
      <c r="CA198">
        <f t="shared" si="193"/>
        <v>-10.460127051338869</v>
      </c>
      <c r="CB198">
        <f t="shared" si="194"/>
        <v>-76.466646176209821</v>
      </c>
      <c r="CC198">
        <f t="shared" si="195"/>
        <v>-89.966392479839641</v>
      </c>
      <c r="CD198">
        <f t="shared" si="196"/>
        <v>-150.97736505634685</v>
      </c>
      <c r="CE198">
        <f t="shared" si="165"/>
        <v>-400.17086825182093</v>
      </c>
      <c r="CF198">
        <f t="shared" si="166"/>
        <v>-280.31533083796023</v>
      </c>
      <c r="CG198">
        <f t="shared" si="167"/>
        <v>-195.90871770958179</v>
      </c>
      <c r="CH198">
        <f t="shared" si="168"/>
        <v>-10905.416195391101</v>
      </c>
      <c r="CI198">
        <f t="shared" si="169"/>
        <v>-3372.4188182009639</v>
      </c>
      <c r="CJ198">
        <f t="shared" si="170"/>
        <v>-2222.7432235687061</v>
      </c>
      <c r="CK198">
        <f t="shared" si="171"/>
        <v>-3116.8183613920432</v>
      </c>
      <c r="CL198">
        <f t="shared" si="172"/>
        <v>-873.1096171645986</v>
      </c>
      <c r="CM198">
        <f t="shared" si="173"/>
        <v>-204.85398423577456</v>
      </c>
      <c r="CN198">
        <f t="shared" si="174"/>
        <v>-2321.0125716096268</v>
      </c>
      <c r="CO198">
        <f t="shared" si="175"/>
        <v>-152.09052921432948</v>
      </c>
      <c r="CP198">
        <f t="shared" si="176"/>
        <v>-212.82635940422438</v>
      </c>
      <c r="CQ198">
        <f t="shared" si="177"/>
        <v>-107.25093393266147</v>
      </c>
      <c r="CR198">
        <f t="shared" si="178"/>
        <v>-23.806682913092523</v>
      </c>
      <c r="CS198">
        <f t="shared" si="179"/>
        <v>-103.0957412672031</v>
      </c>
      <c r="CT198">
        <f t="shared" si="180"/>
        <v>-7.9689442557617376</v>
      </c>
      <c r="CU198">
        <f t="shared" si="181"/>
        <v>-10.306255127693161</v>
      </c>
      <c r="CV198">
        <f t="shared" si="182"/>
        <v>-61.037713189899598</v>
      </c>
      <c r="CW198">
        <f t="shared" si="183"/>
        <v>-52.79234124211078</v>
      </c>
      <c r="CX198">
        <f t="shared" si="184"/>
        <v>-16.270746660895792</v>
      </c>
      <c r="CY198">
        <f t="shared" si="185"/>
        <v>-96.192561582277577</v>
      </c>
      <c r="CZ198">
        <f t="shared" si="186"/>
        <v>-174.87027402095512</v>
      </c>
      <c r="DA198">
        <f t="shared" si="187"/>
        <v>-137.21051877771089</v>
      </c>
      <c r="DB198">
        <f t="shared" si="188"/>
        <v>-33.007383365441186</v>
      </c>
      <c r="DC198">
        <f t="shared" si="156"/>
        <v>-64.751972703808775</v>
      </c>
      <c r="DD198">
        <f t="shared" si="219"/>
        <v>-107.2672939934301</v>
      </c>
      <c r="DE198">
        <f t="shared" si="220"/>
        <v>0</v>
      </c>
      <c r="DF198">
        <f t="shared" si="221"/>
        <v>-3914.3421564246323</v>
      </c>
      <c r="DG198">
        <f t="shared" si="222"/>
        <v>-13577.284525228541</v>
      </c>
      <c r="DH198">
        <f t="shared" si="223"/>
        <v>-16107.945199983305</v>
      </c>
      <c r="DI198">
        <f t="shared" si="224"/>
        <v>-3065.0230037800102</v>
      </c>
      <c r="DJ198">
        <f t="shared" si="225"/>
        <v>-867.71780305156017</v>
      </c>
      <c r="DK198">
        <f t="shared" si="226"/>
        <v>-4611.3161771313708</v>
      </c>
      <c r="DL198">
        <f t="shared" si="227"/>
        <v>-6635.8898894139829</v>
      </c>
      <c r="DM198">
        <f t="shared" si="157"/>
        <v>-2282.802544370692</v>
      </c>
      <c r="DN198">
        <f t="shared" si="211"/>
        <v>-12612.107771802544</v>
      </c>
      <c r="DO198">
        <f t="shared" si="212"/>
        <v>-10671.978658023363</v>
      </c>
      <c r="DP198">
        <f t="shared" si="213"/>
        <v>-15747.127755971489</v>
      </c>
      <c r="DQ198">
        <f t="shared" si="214"/>
        <v>1039118.2102257233</v>
      </c>
      <c r="DR198">
        <f t="shared" si="215"/>
        <v>-156686.83824032979</v>
      </c>
      <c r="DS198">
        <f t="shared" si="216"/>
        <v>-203994.80433543748</v>
      </c>
      <c r="DT198">
        <f t="shared" si="217"/>
        <v>-120067.31497839146</v>
      </c>
      <c r="DU198">
        <f t="shared" si="218"/>
        <v>-16717.009413473141</v>
      </c>
      <c r="DV198">
        <f t="shared" si="199"/>
        <v>-3962.6719359547296</v>
      </c>
      <c r="DW198">
        <f t="shared" si="200"/>
        <v>-251133.2378840789</v>
      </c>
      <c r="DX198">
        <f t="shared" si="201"/>
        <v>-4153.4632404635868</v>
      </c>
      <c r="DY198">
        <f t="shared" si="202"/>
        <v>-3772.9339911793631</v>
      </c>
      <c r="DZ198">
        <f t="shared" si="203"/>
        <v>-3025.1117478594379</v>
      </c>
      <c r="EA198">
        <f t="shared" si="204"/>
        <v>-4294.4105170558505</v>
      </c>
      <c r="EB198">
        <f t="shared" si="205"/>
        <v>-5701.933442355843</v>
      </c>
      <c r="EC198">
        <f t="shared" si="206"/>
        <v>-897.65930644891375</v>
      </c>
      <c r="ED198">
        <f t="shared" si="207"/>
        <v>-687.57731410410611</v>
      </c>
      <c r="EE198">
        <f t="shared" si="208"/>
        <v>-4193.7835291030269</v>
      </c>
      <c r="EF198">
        <f t="shared" si="209"/>
        <v>-3153.2117483060324</v>
      </c>
      <c r="EG198">
        <f t="shared" si="158"/>
        <v>-1005.4321550167467</v>
      </c>
      <c r="EH198">
        <f t="shared" si="228"/>
        <v>-4636.9611382091753</v>
      </c>
      <c r="EI198">
        <f t="shared" si="229"/>
        <v>-10461.22708233813</v>
      </c>
      <c r="EJ198">
        <f t="shared" si="230"/>
        <v>-9094.7078155280615</v>
      </c>
      <c r="EK198">
        <f t="shared" si="231"/>
        <v>-1105.3990091701376</v>
      </c>
      <c r="EL198">
        <f t="shared" si="232"/>
        <v>-2957.1869429092703</v>
      </c>
      <c r="EM198">
        <f t="shared" si="159"/>
        <v>-4473.0100742344639</v>
      </c>
      <c r="EN198">
        <f t="shared" si="152"/>
        <v>-5.3878578145993732</v>
      </c>
      <c r="EO198">
        <v>47</v>
      </c>
      <c r="EP198">
        <f t="shared" si="243"/>
        <v>106728.99038218707</v>
      </c>
      <c r="EQ198" s="98">
        <f t="shared" si="160"/>
        <v>156119.64799496322</v>
      </c>
      <c r="ES198" s="99">
        <f t="shared" si="161"/>
        <v>0.31636413639857558</v>
      </c>
    </row>
    <row r="199" spans="2:149" x14ac:dyDescent="0.35">
      <c r="B199" s="87">
        <f t="shared" si="154"/>
        <v>-1.8092561123486161E-3</v>
      </c>
      <c r="C199" s="87">
        <f t="shared" si="249"/>
        <v>-4.6113061410105677E-3</v>
      </c>
      <c r="D199" s="87">
        <f t="shared" si="249"/>
        <v>-7.0921897214659105E-4</v>
      </c>
      <c r="E199" s="87">
        <f t="shared" si="249"/>
        <v>-1.0476268044900905E-3</v>
      </c>
      <c r="F199" s="87">
        <f t="shared" si="249"/>
        <v>-5.851479413916923E-4</v>
      </c>
      <c r="G199" s="87">
        <f t="shared" si="249"/>
        <v>-1.1693832604036665E-3</v>
      </c>
      <c r="H199" s="87">
        <f t="shared" si="249"/>
        <v>-9.2922304371683903E-4</v>
      </c>
      <c r="I199" s="87">
        <f t="shared" si="249"/>
        <v>-1.2345760695925412E-3</v>
      </c>
      <c r="J199" s="87">
        <f t="shared" si="249"/>
        <v>-1.0203972588025206E-3</v>
      </c>
      <c r="K199" s="87">
        <f t="shared" si="249"/>
        <v>-1.7374105443931744E-3</v>
      </c>
      <c r="L199" s="87">
        <f t="shared" si="249"/>
        <v>-1.8230027299705777E-3</v>
      </c>
      <c r="M199" s="87">
        <f t="shared" si="249"/>
        <v>-2.4017211515502466E-3</v>
      </c>
      <c r="N199" s="87">
        <f t="shared" si="249"/>
        <v>-1.8627851048712115E-2</v>
      </c>
      <c r="O199" s="87">
        <f t="shared" si="249"/>
        <v>-2.4205793961889011E-3</v>
      </c>
      <c r="P199" s="87">
        <f t="shared" si="249"/>
        <v>-4.2366548801179996E-3</v>
      </c>
      <c r="Q199" s="87">
        <f t="shared" si="249"/>
        <v>-2.5513257207253671E-3</v>
      </c>
      <c r="R199" s="87">
        <f t="shared" si="249"/>
        <v>-1.3861523167278016E-3</v>
      </c>
      <c r="S199" s="87">
        <f t="shared" si="249"/>
        <v>-1.9095609388295408E-3</v>
      </c>
      <c r="T199" s="87">
        <f t="shared" si="249"/>
        <v>-1.1483338004862165E-3</v>
      </c>
      <c r="U199" s="87">
        <f t="shared" si="249"/>
        <v>-4.7594445352183435E-4</v>
      </c>
      <c r="V199" s="87">
        <f t="shared" si="249"/>
        <v>-4.6000149181125809E-4</v>
      </c>
      <c r="W199" s="87">
        <f t="shared" si="249"/>
        <v>-2.9792901964847452E-4</v>
      </c>
      <c r="X199" s="87">
        <f t="shared" si="249"/>
        <v>-5.1421699623632007E-4</v>
      </c>
      <c r="Y199" s="87">
        <f t="shared" si="249"/>
        <v>-3.3576628890222428E-4</v>
      </c>
      <c r="Z199" s="87">
        <f t="shared" si="249"/>
        <v>-4.2596724599248519E-4</v>
      </c>
      <c r="AA199" s="87">
        <f t="shared" si="249"/>
        <v>-4.7591290137399974E-4</v>
      </c>
      <c r="AB199" s="87">
        <f t="shared" si="249"/>
        <v>-4.1083660337690224E-4</v>
      </c>
      <c r="AC199" s="87">
        <f t="shared" si="249"/>
        <v>-6.7299910869123705E-5</v>
      </c>
      <c r="AD199" s="87">
        <f t="shared" si="249"/>
        <v>-1.6265045206318899E-4</v>
      </c>
      <c r="AE199" s="87">
        <f t="shared" si="249"/>
        <v>-3.2794720014219013E-4</v>
      </c>
      <c r="AF199" s="87">
        <f t="shared" si="249"/>
        <v>-2.544313434490617E-3</v>
      </c>
      <c r="AG199" s="87">
        <f t="shared" si="249"/>
        <v>-1.0699527673273242E-4</v>
      </c>
      <c r="AH199" s="87">
        <f t="shared" si="249"/>
        <v>-2.6355808705102036E-4</v>
      </c>
      <c r="AI199" s="87">
        <f t="shared" si="249"/>
        <v>-5.0917840068591608E-4</v>
      </c>
      <c r="AJ199" s="87">
        <f t="shared" si="249"/>
        <v>0</v>
      </c>
      <c r="AK199" s="87">
        <f t="shared" si="249"/>
        <v>-4.5151368580842038E-3</v>
      </c>
      <c r="AL199" s="87">
        <f t="shared" si="249"/>
        <v>-1.2265511354015244E-2</v>
      </c>
      <c r="AM199" s="87">
        <f t="shared" si="249"/>
        <v>-2.8909715125596787E-3</v>
      </c>
      <c r="AN199" s="87">
        <f t="shared" si="249"/>
        <v>-9.412397863515649E-3</v>
      </c>
      <c r="AO199" s="87">
        <f t="shared" si="249"/>
        <v>-7.4932913797763631E-3</v>
      </c>
      <c r="AP199" s="87">
        <f t="shared" si="249"/>
        <v>-9.6771824078445562E-3</v>
      </c>
      <c r="AQ199" s="87">
        <f t="shared" si="249"/>
        <v>-6.8184691538916552E-3</v>
      </c>
      <c r="AR199" s="87">
        <f t="shared" si="249"/>
        <v>-6.8357487144248292E-3</v>
      </c>
      <c r="AS199" s="87">
        <f t="shared" si="249"/>
        <v>-8.2177028360111461E-3</v>
      </c>
      <c r="AT199" s="87">
        <f t="shared" si="249"/>
        <v>-1.2581401788905532E-2</v>
      </c>
      <c r="AU199" s="87">
        <f t="shared" si="249"/>
        <v>-2.4201124673328529E-2</v>
      </c>
      <c r="AV199" s="87">
        <f t="shared" si="249"/>
        <v>-2.7039025401502097E-2</v>
      </c>
      <c r="AW199" s="87">
        <f t="shared" si="249"/>
        <v>0.82859359075110139</v>
      </c>
      <c r="AX199" s="87">
        <f t="shared" si="249"/>
        <v>-1.6389687644281521E-2</v>
      </c>
      <c r="AY199" s="87">
        <f t="shared" si="249"/>
        <v>-4.3455309755220738E-2</v>
      </c>
      <c r="AZ199" s="87">
        <f t="shared" si="249"/>
        <v>-1.5619835279513194E-2</v>
      </c>
      <c r="BA199" s="87">
        <f t="shared" si="249"/>
        <v>-6.2548919069923634E-3</v>
      </c>
      <c r="BB199" s="87">
        <f t="shared" si="249"/>
        <v>-1.8898263608071106E-2</v>
      </c>
      <c r="BC199" s="87">
        <f t="shared" si="249"/>
        <v>-2.8313681416712179E-2</v>
      </c>
      <c r="BD199" s="87">
        <f t="shared" si="249"/>
        <v>-1.7832280320846973E-3</v>
      </c>
      <c r="BE199" s="87">
        <f t="shared" si="249"/>
        <v>-1.5306385843496047E-3</v>
      </c>
      <c r="BF199" s="87">
        <f t="shared" si="249"/>
        <v>-1.7954090416791107E-3</v>
      </c>
      <c r="BG199" s="87">
        <f t="shared" si="249"/>
        <v>-5.4009536892039257E-3</v>
      </c>
      <c r="BH199" s="87">
        <f t="shared" si="249"/>
        <v>-1.1648248462638825E-2</v>
      </c>
      <c r="BI199" s="87">
        <f t="shared" si="249"/>
        <v>-9.1688472206043932E-3</v>
      </c>
      <c r="BJ199" s="87">
        <f t="shared" si="249"/>
        <v>-1.018838108033557E-2</v>
      </c>
      <c r="BK199" s="87">
        <f t="shared" si="249"/>
        <v>-2.0948143269429709E-3</v>
      </c>
      <c r="BL199" s="87">
        <f t="shared" si="249"/>
        <v>-7.1612970509840731E-4</v>
      </c>
      <c r="BM199" s="87">
        <f t="shared" si="249"/>
        <v>-1.1199725226529586E-3</v>
      </c>
      <c r="BN199" s="87">
        <f t="shared" si="249"/>
        <v>-2.6859047478187052E-3</v>
      </c>
      <c r="BO199" s="87">
        <f t="shared" si="248"/>
        <v>-3.5251485353941766E-3</v>
      </c>
      <c r="BP199" s="87">
        <f t="shared" si="248"/>
        <v>-2.7249334478367314E-3</v>
      </c>
      <c r="BQ199" s="87">
        <f t="shared" si="248"/>
        <v>-5.1997888580955923E-3</v>
      </c>
      <c r="BR199" s="87">
        <f t="shared" si="248"/>
        <v>-3.2573238273789461E-3</v>
      </c>
      <c r="BS199" s="87">
        <f t="shared" si="248"/>
        <v>-9.9103137393513358E-4</v>
      </c>
      <c r="BU199" s="97">
        <v>733262.28940701741</v>
      </c>
      <c r="BV199" s="98">
        <v>1595578.4201020757</v>
      </c>
      <c r="BW199">
        <f t="shared" si="155"/>
        <v>-420.96411730320017</v>
      </c>
      <c r="BX199">
        <f t="shared" si="190"/>
        <v>-160.65659920579881</v>
      </c>
      <c r="BY199">
        <f t="shared" si="191"/>
        <v>-263.18695030718408</v>
      </c>
      <c r="BZ199">
        <f t="shared" si="192"/>
        <v>-79.807975858556716</v>
      </c>
      <c r="CA199">
        <f t="shared" si="193"/>
        <v>-8.7838874834220135</v>
      </c>
      <c r="CB199">
        <f t="shared" si="194"/>
        <v>-60.283082421576573</v>
      </c>
      <c r="CC199">
        <f t="shared" si="195"/>
        <v>-165.18670861039132</v>
      </c>
      <c r="CD199">
        <f t="shared" si="196"/>
        <v>-158.34556277938108</v>
      </c>
      <c r="CE199">
        <f t="shared" si="165"/>
        <v>-284.53532302229183</v>
      </c>
      <c r="CF199">
        <f t="shared" si="166"/>
        <v>-207.26000050540907</v>
      </c>
      <c r="CG199">
        <f t="shared" si="167"/>
        <v>-152.71301583311993</v>
      </c>
      <c r="CH199">
        <f t="shared" si="168"/>
        <v>-720.73747803383515</v>
      </c>
      <c r="CI199">
        <f t="shared" si="169"/>
        <v>-4452.1366014307969</v>
      </c>
      <c r="CJ199">
        <f t="shared" si="170"/>
        <v>-904.10708083107227</v>
      </c>
      <c r="CK199">
        <f t="shared" si="171"/>
        <v>-1422.6905756452061</v>
      </c>
      <c r="CL199">
        <f t="shared" si="172"/>
        <v>-200.59886020327917</v>
      </c>
      <c r="CM199">
        <f t="shared" si="173"/>
        <v>-337.91821317650187</v>
      </c>
      <c r="CN199">
        <f t="shared" si="174"/>
        <v>-1048.0845729283551</v>
      </c>
      <c r="CO199">
        <f t="shared" si="175"/>
        <v>-165.13836838704114</v>
      </c>
      <c r="CP199">
        <f t="shared" si="176"/>
        <v>-221.41176188776515</v>
      </c>
      <c r="CQ199">
        <f t="shared" si="177"/>
        <v>-157.47709894161125</v>
      </c>
      <c r="CR199">
        <f t="shared" si="178"/>
        <v>-64.61404949897458</v>
      </c>
      <c r="CS199">
        <f t="shared" si="179"/>
        <v>-104.00420687436055</v>
      </c>
      <c r="CT199">
        <f t="shared" si="180"/>
        <v>-15.188168939603871</v>
      </c>
      <c r="CU199">
        <f t="shared" si="181"/>
        <v>-19.83616889511482</v>
      </c>
      <c r="CV199">
        <f t="shared" si="182"/>
        <v>-83.207563744091019</v>
      </c>
      <c r="CW199">
        <f t="shared" si="183"/>
        <v>-115.36271883235509</v>
      </c>
      <c r="CX199">
        <f t="shared" si="184"/>
        <v>-36.007036982279381</v>
      </c>
      <c r="CY199">
        <f t="shared" si="185"/>
        <v>-91.017126474772311</v>
      </c>
      <c r="CZ199">
        <f t="shared" si="186"/>
        <v>-293.52467486924132</v>
      </c>
      <c r="DA199">
        <f t="shared" si="187"/>
        <v>-1009.2743503675797</v>
      </c>
      <c r="DB199">
        <f t="shared" si="188"/>
        <v>-25.06257126756482</v>
      </c>
      <c r="DC199">
        <f t="shared" si="156"/>
        <v>-124.67874182665217</v>
      </c>
      <c r="DD199">
        <f t="shared" si="219"/>
        <v>-146.5326186573223</v>
      </c>
      <c r="DE199">
        <f t="shared" si="220"/>
        <v>0</v>
      </c>
      <c r="DF199">
        <f t="shared" si="221"/>
        <v>-5807.865921668772</v>
      </c>
      <c r="DG199">
        <f t="shared" si="222"/>
        <v>-10954.867737570856</v>
      </c>
      <c r="DH199">
        <f t="shared" si="223"/>
        <v>-4693.6322426383858</v>
      </c>
      <c r="DI199">
        <f t="shared" si="224"/>
        <v>-6803.5793342752104</v>
      </c>
      <c r="DJ199">
        <f t="shared" si="225"/>
        <v>-808.72284794052985</v>
      </c>
      <c r="DK199">
        <f t="shared" si="226"/>
        <v>-2344.7988924783344</v>
      </c>
      <c r="DL199">
        <f t="shared" si="227"/>
        <v>-4495.5052093785926</v>
      </c>
      <c r="DM199">
        <f t="shared" si="157"/>
        <v>-3585.5760835635747</v>
      </c>
      <c r="DN199">
        <f t="shared" si="211"/>
        <v>-8836.9014361675308</v>
      </c>
      <c r="DO199">
        <f t="shared" si="212"/>
        <v>-6429.4578934180763</v>
      </c>
      <c r="DP199">
        <f t="shared" si="213"/>
        <v>-9863.4005287537693</v>
      </c>
      <c r="DQ199">
        <f t="shared" si="214"/>
        <v>-42441.809371604795</v>
      </c>
      <c r="DR199">
        <f t="shared" si="215"/>
        <v>793251.63146240881</v>
      </c>
      <c r="DS199">
        <f t="shared" si="216"/>
        <v>-50531.443923424005</v>
      </c>
      <c r="DT199">
        <f t="shared" si="217"/>
        <v>-61895.383107635498</v>
      </c>
      <c r="DU199">
        <f t="shared" si="218"/>
        <v>-4474.0207802825589</v>
      </c>
      <c r="DV199">
        <f t="shared" si="199"/>
        <v>-5135.8948948951565</v>
      </c>
      <c r="DW199">
        <f t="shared" si="200"/>
        <v>-43449.691396050213</v>
      </c>
      <c r="DX199">
        <f t="shared" si="201"/>
        <v>-8296.3199089333739</v>
      </c>
      <c r="DY199">
        <f t="shared" si="202"/>
        <v>-3415.0458909104213</v>
      </c>
      <c r="DZ199">
        <f t="shared" si="203"/>
        <v>-2180.5459121386975</v>
      </c>
      <c r="EA199">
        <f t="shared" si="204"/>
        <v>-1604.7498191557497</v>
      </c>
      <c r="EB199">
        <f t="shared" si="205"/>
        <v>-4715.2761953106656</v>
      </c>
      <c r="EC199">
        <f t="shared" si="206"/>
        <v>-2011.2795380614921</v>
      </c>
      <c r="ED199">
        <f t="shared" si="207"/>
        <v>-1451.2049236009179</v>
      </c>
      <c r="EE199">
        <f t="shared" si="208"/>
        <v>-3462.9245305359736</v>
      </c>
      <c r="EF199">
        <f t="shared" si="209"/>
        <v>-2233.4027894373739</v>
      </c>
      <c r="EG199">
        <f t="shared" si="158"/>
        <v>-1719.1898505987917</v>
      </c>
      <c r="EH199">
        <f t="shared" si="228"/>
        <v>-2293.8908599447291</v>
      </c>
      <c r="EI199">
        <f t="shared" si="229"/>
        <v>-7002.9279748043682</v>
      </c>
      <c r="EJ199">
        <f t="shared" si="230"/>
        <v>-7838.736163089935</v>
      </c>
      <c r="EK199">
        <f t="shared" si="231"/>
        <v>-1559.2244729362226</v>
      </c>
      <c r="EL199">
        <f t="shared" si="232"/>
        <v>-6924.0648984640529</v>
      </c>
      <c r="EM199">
        <f t="shared" si="159"/>
        <v>-3438.7835806057142</v>
      </c>
      <c r="EN199">
        <f t="shared" si="152"/>
        <v>-13.640321526500012</v>
      </c>
      <c r="EO199">
        <v>48</v>
      </c>
      <c r="EP199">
        <f t="shared" si="243"/>
        <v>446817.53839858226</v>
      </c>
      <c r="EQ199" s="98">
        <f t="shared" si="160"/>
        <v>733262.28940701741</v>
      </c>
      <c r="ES199" s="99">
        <f t="shared" si="161"/>
        <v>0.39064432352041512</v>
      </c>
    </row>
    <row r="200" spans="2:149" x14ac:dyDescent="0.35">
      <c r="B200" s="87">
        <f t="shared" si="154"/>
        <v>-5.3949133969805182E-4</v>
      </c>
      <c r="C200" s="87">
        <f t="shared" si="249"/>
        <v>-2.7699477478745375E-3</v>
      </c>
      <c r="D200" s="87">
        <f t="shared" si="249"/>
        <v>-6.014446784630554E-4</v>
      </c>
      <c r="E200" s="87">
        <f t="shared" si="249"/>
        <v>-8.0594155511747208E-4</v>
      </c>
      <c r="F200" s="87">
        <f t="shared" si="249"/>
        <v>-4.977637385881464E-4</v>
      </c>
      <c r="G200" s="87">
        <f t="shared" si="249"/>
        <v>-9.5304233797022047E-4</v>
      </c>
      <c r="H200" s="87">
        <f t="shared" si="249"/>
        <v>-1.0738766504007004E-3</v>
      </c>
      <c r="I200" s="87">
        <f t="shared" si="249"/>
        <v>-3.0103220299100672E-3</v>
      </c>
      <c r="J200" s="87">
        <f t="shared" si="249"/>
        <v>-1.8885001879619021E-3</v>
      </c>
      <c r="K200" s="87">
        <f t="shared" si="249"/>
        <v>-2.2413238288065468E-3</v>
      </c>
      <c r="L200" s="87">
        <f t="shared" si="249"/>
        <v>-1.7533711918642767E-3</v>
      </c>
      <c r="M200" s="87">
        <f t="shared" si="249"/>
        <v>-3.6258048464665295E-3</v>
      </c>
      <c r="N200" s="87">
        <f t="shared" si="249"/>
        <v>-2.0300274447785378E-2</v>
      </c>
      <c r="O200" s="87">
        <f t="shared" si="249"/>
        <v>-0.10519442894029289</v>
      </c>
      <c r="P200" s="87">
        <f t="shared" si="249"/>
        <v>-1.49034337992184E-2</v>
      </c>
      <c r="Q200" s="87">
        <f t="shared" si="249"/>
        <v>-4.2216568070083628E-3</v>
      </c>
      <c r="R200" s="87">
        <f t="shared" si="249"/>
        <v>-4.6637654833859522E-3</v>
      </c>
      <c r="S200" s="87">
        <f t="shared" si="249"/>
        <v>-6.6480336375676812E-3</v>
      </c>
      <c r="T200" s="87">
        <f t="shared" si="249"/>
        <v>-2.6829730882606245E-3</v>
      </c>
      <c r="U200" s="87">
        <f t="shared" si="249"/>
        <v>-2.414149289781801E-3</v>
      </c>
      <c r="V200" s="87">
        <f t="shared" si="249"/>
        <v>-2.0680746430407236E-3</v>
      </c>
      <c r="W200" s="87">
        <f t="shared" si="249"/>
        <v>-8.8004884708046385E-4</v>
      </c>
      <c r="X200" s="87">
        <f t="shared" si="249"/>
        <v>-1.9322767630838536E-3</v>
      </c>
      <c r="Y200" s="87">
        <f t="shared" si="249"/>
        <v>-5.7432437707057222E-4</v>
      </c>
      <c r="Z200" s="87">
        <f t="shared" si="249"/>
        <v>-1.2788010706476028E-3</v>
      </c>
      <c r="AA200" s="87">
        <f t="shared" si="249"/>
        <v>-1.6933040024318842E-3</v>
      </c>
      <c r="AB200" s="87">
        <f t="shared" si="249"/>
        <v>-1.8522268748249079E-2</v>
      </c>
      <c r="AC200" s="87">
        <f t="shared" si="249"/>
        <v>-7.4994868327279355E-4</v>
      </c>
      <c r="AD200" s="87">
        <f t="shared" si="249"/>
        <v>-4.0448844879143874E-4</v>
      </c>
      <c r="AE200" s="87">
        <f t="shared" si="249"/>
        <v>-3.224753814113255E-3</v>
      </c>
      <c r="AF200" s="87">
        <f t="shared" si="249"/>
        <v>-6.2004136924095708E-3</v>
      </c>
      <c r="AG200" s="87">
        <f t="shared" si="249"/>
        <v>-2.3924912984563704E-3</v>
      </c>
      <c r="AH200" s="87">
        <f t="shared" si="249"/>
        <v>-8.2322571137472406E-3</v>
      </c>
      <c r="AI200" s="87">
        <f t="shared" si="249"/>
        <v>-4.2914071746739738E-3</v>
      </c>
      <c r="AJ200" s="87">
        <f t="shared" si="249"/>
        <v>0</v>
      </c>
      <c r="AK200" s="87">
        <f t="shared" si="249"/>
        <v>-1.6101064310513869E-3</v>
      </c>
      <c r="AL200" s="87">
        <f t="shared" si="249"/>
        <v>-7.6421220605520776E-3</v>
      </c>
      <c r="AM200" s="87">
        <f t="shared" si="249"/>
        <v>-3.8931527750961513E-3</v>
      </c>
      <c r="AN200" s="87">
        <f t="shared" si="249"/>
        <v>-6.7590175471554164E-3</v>
      </c>
      <c r="AO200" s="87">
        <f t="shared" si="249"/>
        <v>-4.8485511158157437E-3</v>
      </c>
      <c r="AP200" s="87">
        <f t="shared" si="249"/>
        <v>-7.949575450282291E-3</v>
      </c>
      <c r="AQ200" s="87">
        <f t="shared" si="249"/>
        <v>-1.184939169180004E-2</v>
      </c>
      <c r="AR200" s="87">
        <f t="shared" si="249"/>
        <v>-3.1203783336564922E-3</v>
      </c>
      <c r="AS200" s="87">
        <f t="shared" si="249"/>
        <v>-1.0925092725046203E-2</v>
      </c>
      <c r="AT200" s="87">
        <f t="shared" si="249"/>
        <v>-1.3523069663744919E-2</v>
      </c>
      <c r="AU200" s="87">
        <f t="shared" si="249"/>
        <v>-1.2831345908242555E-2</v>
      </c>
      <c r="AV200" s="87">
        <f t="shared" si="249"/>
        <v>-1.8490366139013423E-2</v>
      </c>
      <c r="AW200" s="87">
        <f t="shared" si="249"/>
        <v>-0.12030398140030371</v>
      </c>
      <c r="AX200" s="87">
        <f t="shared" si="249"/>
        <v>0.58270753258441854</v>
      </c>
      <c r="AY200" s="87">
        <f t="shared" si="249"/>
        <v>-7.4186965199603855E-2</v>
      </c>
      <c r="AZ200" s="87">
        <f t="shared" si="249"/>
        <v>-4.808729414100868E-2</v>
      </c>
      <c r="BA200" s="87">
        <f t="shared" si="249"/>
        <v>-3.1161589615291831E-2</v>
      </c>
      <c r="BB200" s="87">
        <f t="shared" si="249"/>
        <v>-4.5466265929931068E-2</v>
      </c>
      <c r="BC200" s="87">
        <f t="shared" si="249"/>
        <v>-4.5984415035954081E-2</v>
      </c>
      <c r="BD200" s="87">
        <f t="shared" si="249"/>
        <v>-8.2779903362086484E-3</v>
      </c>
      <c r="BE200" s="87">
        <f t="shared" si="249"/>
        <v>-7.9421496751492879E-3</v>
      </c>
      <c r="BF200" s="87">
        <f t="shared" si="249"/>
        <v>-6.3501682582813709E-3</v>
      </c>
      <c r="BG200" s="87">
        <f t="shared" si="249"/>
        <v>-9.3719098674107972E-3</v>
      </c>
      <c r="BH200" s="87">
        <f t="shared" si="249"/>
        <v>-4.2207876076708921E-3</v>
      </c>
      <c r="BI200" s="87">
        <f t="shared" si="249"/>
        <v>-6.9778727195787624E-3</v>
      </c>
      <c r="BJ200" s="87">
        <f t="shared" si="249"/>
        <v>-1.3302747951773192E-2</v>
      </c>
      <c r="BK200" s="87">
        <f t="shared" si="249"/>
        <v>-3.9910419470218644E-2</v>
      </c>
      <c r="BL200" s="87">
        <f t="shared" si="249"/>
        <v>-4.4791143671776643E-3</v>
      </c>
      <c r="BM200" s="87">
        <f t="shared" si="249"/>
        <v>-2.5995962035857303E-3</v>
      </c>
      <c r="BN200" s="87">
        <f t="shared" si="249"/>
        <v>-2.7154296457287098E-2</v>
      </c>
      <c r="BO200" s="87">
        <f t="shared" si="248"/>
        <v>-2.1415754535816209E-2</v>
      </c>
      <c r="BP200" s="87">
        <f t="shared" si="248"/>
        <v>-1.6331940609306025E-2</v>
      </c>
      <c r="BQ200" s="87">
        <f t="shared" si="248"/>
        <v>-2.6919636534515286E-2</v>
      </c>
      <c r="BR200" s="87">
        <f t="shared" si="248"/>
        <v>-1.9501787636714119E-2</v>
      </c>
      <c r="BS200" s="87">
        <f t="shared" si="248"/>
        <v>-2.6647556613959835E-3</v>
      </c>
      <c r="BU200" s="97">
        <v>1544957.6439467887</v>
      </c>
      <c r="BV200" s="98">
        <v>5138540.4672487043</v>
      </c>
      <c r="BW200">
        <f t="shared" si="155"/>
        <v>-125.52479113302635</v>
      </c>
      <c r="BX200">
        <f t="shared" si="190"/>
        <v>-96.504194591114398</v>
      </c>
      <c r="BY200">
        <f t="shared" si="191"/>
        <v>-223.19254971997341</v>
      </c>
      <c r="BZ200">
        <f t="shared" si="192"/>
        <v>-61.396447569446735</v>
      </c>
      <c r="CA200">
        <f t="shared" si="193"/>
        <v>-7.4721286085137075</v>
      </c>
      <c r="CB200">
        <f t="shared" si="194"/>
        <v>-49.130453424892124</v>
      </c>
      <c r="CC200">
        <f t="shared" si="195"/>
        <v>-190.90158227640708</v>
      </c>
      <c r="CD200">
        <f t="shared" si="196"/>
        <v>-386.10106555086458</v>
      </c>
      <c r="CE200">
        <f t="shared" si="165"/>
        <v>-526.60373827346007</v>
      </c>
      <c r="CF200">
        <f t="shared" si="166"/>
        <v>-267.37306239469098</v>
      </c>
      <c r="CG200">
        <f t="shared" si="167"/>
        <v>-146.87997893937722</v>
      </c>
      <c r="CH200">
        <f t="shared" si="168"/>
        <v>-1088.0752910046856</v>
      </c>
      <c r="CI200">
        <f t="shared" si="169"/>
        <v>-4851.852994300395</v>
      </c>
      <c r="CJ200">
        <f t="shared" si="170"/>
        <v>-39291.017769812395</v>
      </c>
      <c r="CK200">
        <f t="shared" si="171"/>
        <v>-5004.6499917665469</v>
      </c>
      <c r="CL200">
        <f t="shared" si="172"/>
        <v>-331.92921498652157</v>
      </c>
      <c r="CM200">
        <f t="shared" si="173"/>
        <v>-1136.9394833464744</v>
      </c>
      <c r="CN200">
        <f t="shared" si="174"/>
        <v>-3648.8500336178281</v>
      </c>
      <c r="CO200">
        <f t="shared" si="175"/>
        <v>-385.83014628159816</v>
      </c>
      <c r="CP200">
        <f t="shared" si="176"/>
        <v>-1123.0744339079977</v>
      </c>
      <c r="CQ200">
        <f t="shared" si="177"/>
        <v>-707.98551956520157</v>
      </c>
      <c r="CR200">
        <f t="shared" si="178"/>
        <v>-190.86264182611581</v>
      </c>
      <c r="CS200">
        <f t="shared" si="179"/>
        <v>-390.8173274652612</v>
      </c>
      <c r="CT200">
        <f t="shared" si="180"/>
        <v>-25.979188362238297</v>
      </c>
      <c r="CU200">
        <f t="shared" si="181"/>
        <v>-59.550386231027296</v>
      </c>
      <c r="CV200">
        <f t="shared" si="182"/>
        <v>-296.05354322964973</v>
      </c>
      <c r="CW200">
        <f t="shared" si="183"/>
        <v>-5201.0440748905003</v>
      </c>
      <c r="CX200">
        <f t="shared" si="184"/>
        <v>-401.2402041055899</v>
      </c>
      <c r="CY200">
        <f t="shared" si="185"/>
        <v>-226.34659685379927</v>
      </c>
      <c r="CZ200">
        <f t="shared" si="186"/>
        <v>-2886.2719803997097</v>
      </c>
      <c r="DA200">
        <f t="shared" si="187"/>
        <v>-2459.5705924375548</v>
      </c>
      <c r="DB200">
        <f t="shared" si="188"/>
        <v>-560.41710910634686</v>
      </c>
      <c r="DC200">
        <f t="shared" si="156"/>
        <v>-3894.350087374939</v>
      </c>
      <c r="DD200">
        <f t="shared" si="219"/>
        <v>-1234.9917635600755</v>
      </c>
      <c r="DE200">
        <f t="shared" si="220"/>
        <v>0</v>
      </c>
      <c r="DF200">
        <f t="shared" si="221"/>
        <v>-2071.0960852537432</v>
      </c>
      <c r="DG200">
        <f t="shared" si="222"/>
        <v>-6825.5153814124806</v>
      </c>
      <c r="DH200">
        <f t="shared" si="223"/>
        <v>-6320.7220518507929</v>
      </c>
      <c r="DI200">
        <f t="shared" si="224"/>
        <v>-4885.6319899182363</v>
      </c>
      <c r="DJ200">
        <f t="shared" si="225"/>
        <v>-523.28594579285777</v>
      </c>
      <c r="DK200">
        <f t="shared" si="226"/>
        <v>-1926.1965855252158</v>
      </c>
      <c r="DL200">
        <f t="shared" si="227"/>
        <v>-7812.4577344536492</v>
      </c>
      <c r="DM200">
        <f t="shared" si="157"/>
        <v>-1636.7415468650802</v>
      </c>
      <c r="DN200">
        <f t="shared" si="211"/>
        <v>-11748.291404400119</v>
      </c>
      <c r="DO200">
        <f t="shared" si="212"/>
        <v>-6910.6772402322922</v>
      </c>
      <c r="DP200">
        <f t="shared" si="213"/>
        <v>-5229.5381195842365</v>
      </c>
      <c r="DQ200">
        <f t="shared" si="214"/>
        <v>-29023.405364292008</v>
      </c>
      <c r="DR200">
        <f t="shared" si="215"/>
        <v>-115172.66194481164</v>
      </c>
      <c r="DS200">
        <f t="shared" si="216"/>
        <v>1796559.7420534065</v>
      </c>
      <c r="DT200">
        <f t="shared" si="217"/>
        <v>-105667.88405116912</v>
      </c>
      <c r="DU200">
        <f t="shared" si="218"/>
        <v>-13773.740209451025</v>
      </c>
      <c r="DV200">
        <f t="shared" si="199"/>
        <v>-25586.796926591658</v>
      </c>
      <c r="DW200">
        <f t="shared" si="200"/>
        <v>-104533.16053558268</v>
      </c>
      <c r="DX200">
        <f t="shared" si="201"/>
        <v>-13474.101525288033</v>
      </c>
      <c r="DY200">
        <f t="shared" si="202"/>
        <v>-15853.113776826724</v>
      </c>
      <c r="DZ200">
        <f t="shared" si="203"/>
        <v>-11314.377008926169</v>
      </c>
      <c r="EA200">
        <f t="shared" si="204"/>
        <v>-5675.8271388425619</v>
      </c>
      <c r="EB200">
        <f t="shared" si="205"/>
        <v>-8182.1000596124031</v>
      </c>
      <c r="EC200">
        <f t="shared" si="206"/>
        <v>-728.7948722110981</v>
      </c>
      <c r="ED200">
        <f t="shared" si="207"/>
        <v>-1104.4270891718184</v>
      </c>
      <c r="EE200">
        <f t="shared" si="208"/>
        <v>-4521.4653675101144</v>
      </c>
      <c r="EF200">
        <f t="shared" si="209"/>
        <v>-42550.807976610064</v>
      </c>
      <c r="EG200">
        <f t="shared" si="158"/>
        <v>-10752.867678718772</v>
      </c>
      <c r="EH200">
        <f t="shared" si="228"/>
        <v>-5324.4073853052141</v>
      </c>
      <c r="EI200">
        <f t="shared" si="229"/>
        <v>-70799.078951441086</v>
      </c>
      <c r="EJ200">
        <f t="shared" si="230"/>
        <v>-47621.38328477231</v>
      </c>
      <c r="EK200">
        <f t="shared" si="231"/>
        <v>-9345.2416273825493</v>
      </c>
      <c r="EL200">
        <f t="shared" si="232"/>
        <v>-35846.322897871243</v>
      </c>
      <c r="EM200">
        <f t="shared" si="159"/>
        <v>-20588.197757284332</v>
      </c>
      <c r="EN200">
        <f t="shared" si="152"/>
        <v>-36.677066909267715</v>
      </c>
      <c r="EO200">
        <v>49</v>
      </c>
      <c r="EP200">
        <f t="shared" si="243"/>
        <v>965713.96710462205</v>
      </c>
      <c r="EQ200" s="98">
        <f t="shared" si="160"/>
        <v>1544957.6439467887</v>
      </c>
      <c r="ES200" s="99">
        <f t="shared" si="161"/>
        <v>0.37492527973933049</v>
      </c>
    </row>
    <row r="201" spans="2:149" x14ac:dyDescent="0.35">
      <c r="B201" s="87">
        <f t="shared" si="154"/>
        <v>-4.8484617280916513E-4</v>
      </c>
      <c r="C201" s="87">
        <f t="shared" si="249"/>
        <v>-2.2799476862607948E-3</v>
      </c>
      <c r="D201" s="87">
        <f t="shared" si="249"/>
        <v>-1.7836379627812589E-4</v>
      </c>
      <c r="E201" s="87">
        <f t="shared" si="249"/>
        <v>-1.2337845579872713E-3</v>
      </c>
      <c r="F201" s="87">
        <f t="shared" si="249"/>
        <v>-3.4449730970507688E-4</v>
      </c>
      <c r="G201" s="87">
        <f t="shared" si="249"/>
        <v>-1.8716649279273444E-4</v>
      </c>
      <c r="H201" s="87">
        <f t="shared" si="249"/>
        <v>-1.8055037374731562E-4</v>
      </c>
      <c r="I201" s="87">
        <f t="shared" si="249"/>
        <v>-1.9079000683688003E-4</v>
      </c>
      <c r="J201" s="87">
        <f t="shared" si="249"/>
        <v>-5.7806341299123504E-4</v>
      </c>
      <c r="K201" s="87">
        <f t="shared" si="249"/>
        <v>-5.8075242514155935E-4</v>
      </c>
      <c r="L201" s="87">
        <f t="shared" si="249"/>
        <v>-2.9721091057178828E-4</v>
      </c>
      <c r="M201" s="87">
        <f t="shared" si="249"/>
        <v>-8.4628969728192812E-4</v>
      </c>
      <c r="N201" s="87">
        <f t="shared" si="249"/>
        <v>-1.9452786293334928E-3</v>
      </c>
      <c r="O201" s="87">
        <f t="shared" si="249"/>
        <v>-1.3662208361953092E-3</v>
      </c>
      <c r="P201" s="87">
        <f t="shared" si="249"/>
        <v>-3.5696631310202183E-2</v>
      </c>
      <c r="Q201" s="87">
        <f t="shared" si="249"/>
        <v>-9.738999300759728E-4</v>
      </c>
      <c r="R201" s="87">
        <f t="shared" si="249"/>
        <v>-1.2108674274851155E-4</v>
      </c>
      <c r="S201" s="87">
        <f t="shared" si="249"/>
        <v>-2.2474492641813511E-4</v>
      </c>
      <c r="T201" s="87">
        <f t="shared" si="249"/>
        <v>-6.5470366776384566E-3</v>
      </c>
      <c r="U201" s="87">
        <f t="shared" si="249"/>
        <v>-4.8484649842058349E-4</v>
      </c>
      <c r="V201" s="87">
        <f t="shared" si="249"/>
        <v>-1.6306367406069655E-4</v>
      </c>
      <c r="W201" s="87">
        <f t="shared" si="249"/>
        <v>-1.1495371481475163E-4</v>
      </c>
      <c r="X201" s="87">
        <f t="shared" si="249"/>
        <v>-3.765223535909711E-3</v>
      </c>
      <c r="Y201" s="87">
        <f t="shared" si="249"/>
        <v>-8.0795863761951355E-3</v>
      </c>
      <c r="Z201" s="87">
        <f t="shared" si="249"/>
        <v>-2.9312134883639571E-2</v>
      </c>
      <c r="AA201" s="87">
        <f t="shared" si="249"/>
        <v>-9.4090966429856947E-4</v>
      </c>
      <c r="AB201" s="87">
        <f t="shared" si="249"/>
        <v>-1.8271104933486172E-4</v>
      </c>
      <c r="AC201" s="87">
        <f t="shared" si="249"/>
        <v>-7.037739054128103E-5</v>
      </c>
      <c r="AD201" s="87">
        <f t="shared" si="249"/>
        <v>-2.7974436348797156E-5</v>
      </c>
      <c r="AE201" s="87">
        <f t="shared" si="249"/>
        <v>-2.6168282427036421E-4</v>
      </c>
      <c r="AF201" s="87">
        <f t="shared" si="249"/>
        <v>-7.4853967900273101E-3</v>
      </c>
      <c r="AG201" s="87">
        <f t="shared" si="249"/>
        <v>-4.1151883975768303E-5</v>
      </c>
      <c r="AH201" s="87">
        <f t="shared" si="249"/>
        <v>-3.2248374110610604E-4</v>
      </c>
      <c r="AI201" s="87">
        <f t="shared" si="249"/>
        <v>-3.9432919889959277E-4</v>
      </c>
      <c r="AJ201" s="87">
        <f t="shared" si="249"/>
        <v>0</v>
      </c>
      <c r="AK201" s="87">
        <f t="shared" si="249"/>
        <v>-3.7317682142264655E-3</v>
      </c>
      <c r="AL201" s="87">
        <f t="shared" si="249"/>
        <v>-3.7449625947267246E-3</v>
      </c>
      <c r="AM201" s="87">
        <f t="shared" si="249"/>
        <v>-1.7060704133338531E-3</v>
      </c>
      <c r="AN201" s="87">
        <f t="shared" si="249"/>
        <v>-2.7658268370909797E-3</v>
      </c>
      <c r="AO201" s="87">
        <f t="shared" si="249"/>
        <v>-2.3797172473930175E-3</v>
      </c>
      <c r="AP201" s="87">
        <f t="shared" si="249"/>
        <v>-4.6826699919898353E-3</v>
      </c>
      <c r="AQ201" s="87">
        <f t="shared" si="249"/>
        <v>-5.4771449139133684E-3</v>
      </c>
      <c r="AR201" s="87">
        <f t="shared" si="249"/>
        <v>-1.4244308452831598E-3</v>
      </c>
      <c r="AS201" s="87">
        <f t="shared" si="249"/>
        <v>-2.3268089239852183E-3</v>
      </c>
      <c r="AT201" s="87">
        <f t="shared" si="249"/>
        <v>-5.2211502727918593E-3</v>
      </c>
      <c r="AU201" s="87">
        <f t="shared" si="249"/>
        <v>-7.57541390813326E-3</v>
      </c>
      <c r="AV201" s="87">
        <f t="shared" si="249"/>
        <v>-8.6478375090793553E-3</v>
      </c>
      <c r="AW201" s="87">
        <f t="shared" si="249"/>
        <v>-1.7245848143601247E-2</v>
      </c>
      <c r="AX201" s="87">
        <f t="shared" si="249"/>
        <v>-3.6874781377464689E-3</v>
      </c>
      <c r="AY201" s="87">
        <f t="shared" si="249"/>
        <v>0.68435679734238941</v>
      </c>
      <c r="AZ201" s="87">
        <f t="shared" si="249"/>
        <v>-1.0137775952734953E-2</v>
      </c>
      <c r="BA201" s="87">
        <f t="shared" si="249"/>
        <v>-4.5004090224772661E-3</v>
      </c>
      <c r="BB201" s="87">
        <f t="shared" si="249"/>
        <v>-5.6479820996789771E-3</v>
      </c>
      <c r="BC201" s="87">
        <f t="shared" si="249"/>
        <v>-6.6043493114589583E-2</v>
      </c>
      <c r="BD201" s="87">
        <f t="shared" si="249"/>
        <v>-4.9024297598332118E-3</v>
      </c>
      <c r="BE201" s="87">
        <f t="shared" si="249"/>
        <v>-3.7000221831209679E-3</v>
      </c>
      <c r="BF201" s="87">
        <f t="shared" si="249"/>
        <v>-2.1464743022114275E-3</v>
      </c>
      <c r="BG201" s="87">
        <f t="shared" si="249"/>
        <v>-4.2286166897116985E-2</v>
      </c>
      <c r="BH201" s="87">
        <f t="shared" si="249"/>
        <v>-4.538673625949112E-2</v>
      </c>
      <c r="BI201" s="87">
        <f t="shared" si="249"/>
        <v>-4.9522839623830611E-2</v>
      </c>
      <c r="BJ201" s="87">
        <f t="shared" si="249"/>
        <v>-1.7046705094994872E-2</v>
      </c>
      <c r="BK201" s="87">
        <f t="shared" si="249"/>
        <v>-3.706190101435428E-3</v>
      </c>
      <c r="BL201" s="87">
        <f t="shared" si="249"/>
        <v>-9.3433452378130966E-4</v>
      </c>
      <c r="BM201" s="87">
        <f t="shared" si="249"/>
        <v>-9.0824073963915628E-4</v>
      </c>
      <c r="BN201" s="87">
        <f t="shared" ref="BN201:BS204" si="250">BN128-BN51</f>
        <v>-4.9358727987358613E-3</v>
      </c>
      <c r="BO201" s="87">
        <f t="shared" si="250"/>
        <v>-1.6661766868128956E-2</v>
      </c>
      <c r="BP201" s="87">
        <f t="shared" si="250"/>
        <v>-3.8026338333998831E-3</v>
      </c>
      <c r="BQ201" s="87">
        <f t="shared" si="250"/>
        <v>-1.1472441507722404E-3</v>
      </c>
      <c r="BR201" s="87">
        <f t="shared" si="250"/>
        <v>-1.0100341782074564E-2</v>
      </c>
      <c r="BS201" s="87">
        <f t="shared" si="250"/>
        <v>-6.9264362934281533E-4</v>
      </c>
      <c r="BU201" s="97">
        <v>1146191.3026938834</v>
      </c>
      <c r="BV201" s="98">
        <v>2373909.4814222469</v>
      </c>
      <c r="BW201">
        <f t="shared" si="155"/>
        <v>-112.81036431016769</v>
      </c>
      <c r="BX201">
        <f t="shared" si="190"/>
        <v>-79.432731300185736</v>
      </c>
      <c r="BY201">
        <f t="shared" si="191"/>
        <v>-66.189745947671852</v>
      </c>
      <c r="BZ201">
        <f t="shared" si="192"/>
        <v>-93.989431920305165</v>
      </c>
      <c r="CA201">
        <f t="shared" si="193"/>
        <v>-5.1713855466944043</v>
      </c>
      <c r="CB201">
        <f t="shared" si="194"/>
        <v>-9.6486528357580461</v>
      </c>
      <c r="CC201">
        <f t="shared" si="195"/>
        <v>-32.096192813297748</v>
      </c>
      <c r="CD201">
        <f t="shared" si="196"/>
        <v>-24.470546408078746</v>
      </c>
      <c r="CE201">
        <f t="shared" si="165"/>
        <v>-161.19159329754882</v>
      </c>
      <c r="CF201">
        <f t="shared" si="166"/>
        <v>-69.279393012086061</v>
      </c>
      <c r="CG201">
        <f t="shared" si="167"/>
        <v>-24.89737055558772</v>
      </c>
      <c r="CH201">
        <f t="shared" si="168"/>
        <v>-253.96482922727583</v>
      </c>
      <c r="CI201">
        <f t="shared" si="169"/>
        <v>-464.9299676591279</v>
      </c>
      <c r="CJ201">
        <f t="shared" si="170"/>
        <v>-510.29515244487038</v>
      </c>
      <c r="CK201">
        <f t="shared" si="171"/>
        <v>-11987.113037135505</v>
      </c>
      <c r="CL201">
        <f t="shared" si="172"/>
        <v>-76.573216166907045</v>
      </c>
      <c r="CM201">
        <f t="shared" si="173"/>
        <v>-29.518700979074804</v>
      </c>
      <c r="CN201">
        <f t="shared" si="174"/>
        <v>-123.3538482239516</v>
      </c>
      <c r="CO201">
        <f t="shared" si="175"/>
        <v>-941.5093017879924</v>
      </c>
      <c r="CP201">
        <f t="shared" si="176"/>
        <v>-225.55303810361585</v>
      </c>
      <c r="CQ201">
        <f t="shared" si="177"/>
        <v>-55.823284904421897</v>
      </c>
      <c r="CR201">
        <f t="shared" si="178"/>
        <v>-24.930854429337568</v>
      </c>
      <c r="CS201">
        <f t="shared" si="179"/>
        <v>-761.54442661984024</v>
      </c>
      <c r="CT201">
        <f t="shared" si="180"/>
        <v>-365.47481656059915</v>
      </c>
      <c r="CU201">
        <f t="shared" si="181"/>
        <v>-1364.9886551101606</v>
      </c>
      <c r="CV201">
        <f t="shared" si="182"/>
        <v>-164.50657387837671</v>
      </c>
      <c r="CW201">
        <f t="shared" si="183"/>
        <v>-51.305173976051925</v>
      </c>
      <c r="CX201">
        <f t="shared" si="184"/>
        <v>-37.653561070298942</v>
      </c>
      <c r="CY201">
        <f t="shared" si="185"/>
        <v>-15.654139161136602</v>
      </c>
      <c r="CZ201">
        <f t="shared" si="186"/>
        <v>-234.21564776134792</v>
      </c>
      <c r="DA201">
        <f t="shared" si="187"/>
        <v>-2969.2957165125722</v>
      </c>
      <c r="DB201">
        <f t="shared" si="188"/>
        <v>-9.6394163969831617</v>
      </c>
      <c r="DC201">
        <f t="shared" si="156"/>
        <v>-152.55410126298938</v>
      </c>
      <c r="DD201">
        <f t="shared" si="219"/>
        <v>-113.48103150087073</v>
      </c>
      <c r="DE201">
        <f t="shared" si="220"/>
        <v>0</v>
      </c>
      <c r="DF201">
        <f t="shared" si="221"/>
        <v>-4800.2109615274976</v>
      </c>
      <c r="DG201">
        <f t="shared" si="222"/>
        <v>-3344.7908304247981</v>
      </c>
      <c r="DH201">
        <f t="shared" si="223"/>
        <v>-2769.8879305611517</v>
      </c>
      <c r="DI201">
        <f t="shared" si="224"/>
        <v>-1999.2272515334766</v>
      </c>
      <c r="DJ201">
        <f t="shared" si="225"/>
        <v>-256.83396148173239</v>
      </c>
      <c r="DK201">
        <f t="shared" si="226"/>
        <v>-1134.6194530919156</v>
      </c>
      <c r="DL201">
        <f t="shared" si="227"/>
        <v>-3611.1527290499876</v>
      </c>
      <c r="DM201">
        <f t="shared" si="157"/>
        <v>-747.16104773715188</v>
      </c>
      <c r="DN201">
        <f t="shared" si="211"/>
        <v>-2502.1324733169645</v>
      </c>
      <c r="DO201">
        <f t="shared" si="212"/>
        <v>-2668.1578410225607</v>
      </c>
      <c r="DP201">
        <f t="shared" si="213"/>
        <v>-3087.4326113181273</v>
      </c>
      <c r="DQ201">
        <f t="shared" si="214"/>
        <v>-13574.079153628445</v>
      </c>
      <c r="DR201">
        <f t="shared" si="215"/>
        <v>-16510.261880572554</v>
      </c>
      <c r="DS201">
        <f t="shared" si="216"/>
        <v>-11368.953379743072</v>
      </c>
      <c r="DT201">
        <f t="shared" si="217"/>
        <v>974760.65393211681</v>
      </c>
      <c r="DU201">
        <f t="shared" si="218"/>
        <v>-2903.7835205518618</v>
      </c>
      <c r="DV201">
        <f t="shared" si="199"/>
        <v>-3695.2881148341339</v>
      </c>
      <c r="DW201">
        <f t="shared" si="200"/>
        <v>-12985.482916888726</v>
      </c>
      <c r="DX201">
        <f t="shared" si="201"/>
        <v>-19351.702758747037</v>
      </c>
      <c r="DY201">
        <f t="shared" si="202"/>
        <v>-9388.604432840244</v>
      </c>
      <c r="DZ201">
        <f t="shared" si="203"/>
        <v>-5271.0472143593524</v>
      </c>
      <c r="EA201">
        <f t="shared" si="204"/>
        <v>-1918.534533542741</v>
      </c>
      <c r="EB201">
        <f t="shared" si="205"/>
        <v>-36917.731133202673</v>
      </c>
      <c r="EC201">
        <f t="shared" si="206"/>
        <v>-7836.8360900698053</v>
      </c>
      <c r="ED201">
        <f t="shared" si="207"/>
        <v>-7838.257848958272</v>
      </c>
      <c r="EE201">
        <f t="shared" si="208"/>
        <v>-5793.9973753245222</v>
      </c>
      <c r="EF201">
        <f t="shared" si="209"/>
        <v>-3951.3837595385194</v>
      </c>
      <c r="EG201">
        <f t="shared" si="158"/>
        <v>-2243.0272322360274</v>
      </c>
      <c r="EH201">
        <f t="shared" si="228"/>
        <v>-1860.2287905712105</v>
      </c>
      <c r="EI201">
        <f t="shared" si="229"/>
        <v>-12869.243308205514</v>
      </c>
      <c r="EJ201">
        <f t="shared" si="230"/>
        <v>-37050.125173114691</v>
      </c>
      <c r="EK201">
        <f t="shared" si="231"/>
        <v>-2175.8915761261687</v>
      </c>
      <c r="EL201">
        <f t="shared" si="232"/>
        <v>-1527.676059762086</v>
      </c>
      <c r="EM201">
        <f t="shared" si="159"/>
        <v>-10663.013970782329</v>
      </c>
      <c r="EN201">
        <f t="shared" si="152"/>
        <v>-9.533383156178763</v>
      </c>
      <c r="EO201">
        <v>50</v>
      </c>
      <c r="EP201">
        <f t="shared" si="243"/>
        <v>698521.30733547453</v>
      </c>
      <c r="EQ201" s="98">
        <f t="shared" si="160"/>
        <v>1146191.3026938834</v>
      </c>
      <c r="ES201" s="99">
        <f t="shared" si="161"/>
        <v>0.39057179574321843</v>
      </c>
    </row>
    <row r="202" spans="2:149" x14ac:dyDescent="0.35">
      <c r="B202" s="87">
        <f t="shared" si="154"/>
        <v>-5.5873479940738246E-5</v>
      </c>
      <c r="C202" s="87">
        <f t="shared" ref="C202:BN205" si="251">C129-C52</f>
        <v>-1.0500672627107081E-4</v>
      </c>
      <c r="D202" s="87">
        <f t="shared" si="251"/>
        <v>-6.8893225563710172E-5</v>
      </c>
      <c r="E202" s="87">
        <f t="shared" si="251"/>
        <v>-3.0479023574261639E-4</v>
      </c>
      <c r="F202" s="87">
        <f t="shared" si="251"/>
        <v>-2.5440332504153145E-4</v>
      </c>
      <c r="G202" s="87">
        <f t="shared" si="251"/>
        <v>-2.6537352534540065E-4</v>
      </c>
      <c r="H202" s="87">
        <f t="shared" si="251"/>
        <v>-1.1843015371900863E-4</v>
      </c>
      <c r="I202" s="87">
        <f t="shared" si="251"/>
        <v>-1.4076182521358563E-4</v>
      </c>
      <c r="J202" s="87">
        <f t="shared" si="251"/>
        <v>-2.0194845225535114E-4</v>
      </c>
      <c r="K202" s="87">
        <f t="shared" si="251"/>
        <v>-2.3668598256408875E-4</v>
      </c>
      <c r="L202" s="87">
        <f t="shared" si="251"/>
        <v>-1.4574983518450416E-4</v>
      </c>
      <c r="M202" s="87">
        <f t="shared" si="251"/>
        <v>-6.302984400454203E-4</v>
      </c>
      <c r="N202" s="87">
        <f t="shared" si="251"/>
        <v>-4.3382948509648061E-4</v>
      </c>
      <c r="O202" s="87">
        <f t="shared" si="251"/>
        <v>-6.8684780647157852E-4</v>
      </c>
      <c r="P202" s="87">
        <f t="shared" si="251"/>
        <v>-1.2577334767230914E-3</v>
      </c>
      <c r="Q202" s="87">
        <f t="shared" si="251"/>
        <v>-5.8461486730598143E-3</v>
      </c>
      <c r="R202" s="87">
        <f t="shared" si="251"/>
        <v>-1.0674762590067421E-4</v>
      </c>
      <c r="S202" s="87">
        <f t="shared" si="251"/>
        <v>-2.6639396941844154E-4</v>
      </c>
      <c r="T202" s="87">
        <f t="shared" si="251"/>
        <v>-1.9524050342117531E-4</v>
      </c>
      <c r="U202" s="87">
        <f t="shared" si="251"/>
        <v>-1.4662617468637692E-4</v>
      </c>
      <c r="V202" s="87">
        <f t="shared" si="251"/>
        <v>-2.4968549236545188E-4</v>
      </c>
      <c r="W202" s="87">
        <f t="shared" si="251"/>
        <v>-1.9360643728902715E-4</v>
      </c>
      <c r="X202" s="87">
        <f t="shared" si="251"/>
        <v>-1.1190799571041056E-4</v>
      </c>
      <c r="Y202" s="87">
        <f t="shared" si="251"/>
        <v>-9.834098805126858E-5</v>
      </c>
      <c r="Z202" s="87">
        <f t="shared" si="251"/>
        <v>-3.1636901419102498E-4</v>
      </c>
      <c r="AA202" s="87">
        <f t="shared" si="251"/>
        <v>-9.5920280359672343E-5</v>
      </c>
      <c r="AB202" s="87">
        <f t="shared" si="251"/>
        <v>-1.1124885792833707E-4</v>
      </c>
      <c r="AC202" s="87">
        <f t="shared" si="251"/>
        <v>-5.8593921710931347E-5</v>
      </c>
      <c r="AD202" s="87">
        <f t="shared" si="251"/>
        <v>-4.3193968997681741E-5</v>
      </c>
      <c r="AE202" s="87">
        <f t="shared" si="251"/>
        <v>-1.3777931988392795E-4</v>
      </c>
      <c r="AF202" s="87">
        <f t="shared" si="251"/>
        <v>-3.1361762917998988E-4</v>
      </c>
      <c r="AG202" s="87">
        <f t="shared" si="251"/>
        <v>-2.8669734226461171E-4</v>
      </c>
      <c r="AH202" s="87">
        <f t="shared" si="251"/>
        <v>-6.8724359884766019E-4</v>
      </c>
      <c r="AI202" s="87">
        <f t="shared" si="251"/>
        <v>-4.3503075662332659E-4</v>
      </c>
      <c r="AJ202" s="87">
        <f t="shared" si="251"/>
        <v>0</v>
      </c>
      <c r="AK202" s="87">
        <f t="shared" si="251"/>
        <v>-5.7066283903680574E-4</v>
      </c>
      <c r="AL202" s="87">
        <f t="shared" si="251"/>
        <v>-6.6782746060802195E-4</v>
      </c>
      <c r="AM202" s="87">
        <f t="shared" si="251"/>
        <v>-8.1355180697162204E-4</v>
      </c>
      <c r="AN202" s="87">
        <f t="shared" si="251"/>
        <v>-5.0249369754907869E-3</v>
      </c>
      <c r="AO202" s="87">
        <f t="shared" si="251"/>
        <v>-3.1244048796054734E-3</v>
      </c>
      <c r="AP202" s="87">
        <f t="shared" si="251"/>
        <v>-3.2809129696543577E-3</v>
      </c>
      <c r="AQ202" s="87">
        <f t="shared" si="251"/>
        <v>-4.3413975867887108E-3</v>
      </c>
      <c r="AR202" s="87">
        <f t="shared" si="251"/>
        <v>-5.6365785245672789E-4</v>
      </c>
      <c r="AS202" s="87">
        <f t="shared" si="251"/>
        <v>-1.7078508933163511E-3</v>
      </c>
      <c r="AT202" s="87">
        <f t="shared" si="251"/>
        <v>-2.241433648253752E-3</v>
      </c>
      <c r="AU202" s="87">
        <f t="shared" si="251"/>
        <v>-3.2844505524048545E-3</v>
      </c>
      <c r="AV202" s="87">
        <f t="shared" si="251"/>
        <v>-4.6712729229593346E-3</v>
      </c>
      <c r="AW202" s="87">
        <f t="shared" si="251"/>
        <v>-3.6537625540391757E-3</v>
      </c>
      <c r="AX202" s="87">
        <f t="shared" si="251"/>
        <v>-1.8979817467565392E-3</v>
      </c>
      <c r="AY202" s="87">
        <f t="shared" si="251"/>
        <v>-5.1043833384884687E-3</v>
      </c>
      <c r="AZ202" s="87">
        <f t="shared" si="251"/>
        <v>0.93447962592815448</v>
      </c>
      <c r="BA202" s="87">
        <f t="shared" si="251"/>
        <v>-2.209963552987442E-3</v>
      </c>
      <c r="BB202" s="87">
        <f t="shared" si="251"/>
        <v>-4.3309355838464557E-3</v>
      </c>
      <c r="BC202" s="87">
        <f t="shared" si="251"/>
        <v>-1.047961447241622E-3</v>
      </c>
      <c r="BD202" s="87">
        <f t="shared" si="251"/>
        <v>-7.3597596698573285E-4</v>
      </c>
      <c r="BE202" s="87">
        <f t="shared" si="251"/>
        <v>-1.0512473747966485E-3</v>
      </c>
      <c r="BF202" s="87">
        <f t="shared" si="251"/>
        <v>-2.1698972488989302E-3</v>
      </c>
      <c r="BG202" s="87">
        <f t="shared" si="251"/>
        <v>-4.6536039150501564E-3</v>
      </c>
      <c r="BH202" s="87">
        <f t="shared" si="251"/>
        <v>-4.7044164507220815E-4</v>
      </c>
      <c r="BI202" s="87">
        <f t="shared" si="251"/>
        <v>-1.952056522711058E-3</v>
      </c>
      <c r="BJ202" s="87">
        <f t="shared" si="251"/>
        <v>-1.4980991641696511E-3</v>
      </c>
      <c r="BK202" s="87">
        <f t="shared" si="251"/>
        <v>-1.7253508887115168E-3</v>
      </c>
      <c r="BL202" s="87">
        <f t="shared" si="251"/>
        <v>-8.6999630280995219E-4</v>
      </c>
      <c r="BM202" s="87">
        <f t="shared" si="251"/>
        <v>-1.3810447156634455E-3</v>
      </c>
      <c r="BN202" s="87">
        <f t="shared" si="251"/>
        <v>-1.8101301815345733E-3</v>
      </c>
      <c r="BO202" s="87">
        <f t="shared" si="250"/>
        <v>-3.3442851781875405E-3</v>
      </c>
      <c r="BP202" s="87">
        <f t="shared" si="250"/>
        <v>-4.3871654915124897E-3</v>
      </c>
      <c r="BQ202" s="87">
        <f t="shared" si="250"/>
        <v>-3.1476674900071783E-3</v>
      </c>
      <c r="BR202" s="87">
        <f t="shared" si="250"/>
        <v>-4.0509968684489285E-3</v>
      </c>
      <c r="BS202" s="87">
        <f t="shared" si="250"/>
        <v>-4.5783510682189379E-3</v>
      </c>
      <c r="BU202" s="97">
        <v>287568.56073619484</v>
      </c>
      <c r="BV202" s="98">
        <v>477386.67963106243</v>
      </c>
      <c r="BW202">
        <f t="shared" si="155"/>
        <v>-13.000221474105404</v>
      </c>
      <c r="BX202">
        <f t="shared" si="190"/>
        <v>-3.6584045865901635</v>
      </c>
      <c r="BY202">
        <f t="shared" si="191"/>
        <v>-25.565867024197551</v>
      </c>
      <c r="BZ202">
        <f t="shared" si="192"/>
        <v>-23.218852049046273</v>
      </c>
      <c r="CA202">
        <f t="shared" si="193"/>
        <v>-3.8189490631351251</v>
      </c>
      <c r="CB202">
        <f t="shared" si="194"/>
        <v>-13.680317345554306</v>
      </c>
      <c r="CC202">
        <f t="shared" si="195"/>
        <v>-21.053166325723584</v>
      </c>
      <c r="CD202">
        <f t="shared" si="196"/>
        <v>-18.053978997547187</v>
      </c>
      <c r="CE202">
        <f t="shared" si="165"/>
        <v>-56.312840514449917</v>
      </c>
      <c r="CF202">
        <f t="shared" si="166"/>
        <v>-28.234856191108193</v>
      </c>
      <c r="CG202">
        <f t="shared" si="167"/>
        <v>-12.209469861059963</v>
      </c>
      <c r="CH202">
        <f t="shared" si="168"/>
        <v>-189.1475651924751</v>
      </c>
      <c r="CI202">
        <f t="shared" si="169"/>
        <v>-103.68711475774091</v>
      </c>
      <c r="CJ202">
        <f t="shared" si="170"/>
        <v>-256.54352270450488</v>
      </c>
      <c r="CK202">
        <f t="shared" si="171"/>
        <v>-422.35339309903475</v>
      </c>
      <c r="CL202">
        <f t="shared" si="172"/>
        <v>-459.65544535069904</v>
      </c>
      <c r="CM202">
        <f t="shared" si="173"/>
        <v>-26.023090370286443</v>
      </c>
      <c r="CN202">
        <f t="shared" si="174"/>
        <v>-146.21340643873526</v>
      </c>
      <c r="CO202">
        <f t="shared" si="175"/>
        <v>-28.076939095919624</v>
      </c>
      <c r="CP202">
        <f t="shared" si="176"/>
        <v>-68.211236491874772</v>
      </c>
      <c r="CQ202">
        <f t="shared" si="177"/>
        <v>-85.477433628959531</v>
      </c>
      <c r="CR202">
        <f t="shared" si="178"/>
        <v>-41.988846662448218</v>
      </c>
      <c r="CS202">
        <f t="shared" si="179"/>
        <v>-22.63422333751814</v>
      </c>
      <c r="CT202">
        <f t="shared" si="180"/>
        <v>-4.4483904119546009</v>
      </c>
      <c r="CU202">
        <f t="shared" si="181"/>
        <v>-14.732468887490143</v>
      </c>
      <c r="CV202">
        <f t="shared" si="182"/>
        <v>-16.770490607285218</v>
      </c>
      <c r="CW202">
        <f t="shared" si="183"/>
        <v>-31.23862531263666</v>
      </c>
      <c r="CX202">
        <f t="shared" si="184"/>
        <v>-31.349127788373234</v>
      </c>
      <c r="CY202">
        <f t="shared" si="185"/>
        <v>-24.17079626487644</v>
      </c>
      <c r="CZ202">
        <f t="shared" si="186"/>
        <v>-123.31750371736858</v>
      </c>
      <c r="DA202">
        <f t="shared" si="187"/>
        <v>-124.4053600722447</v>
      </c>
      <c r="DB202">
        <f t="shared" si="188"/>
        <v>-67.155979143610907</v>
      </c>
      <c r="DC202">
        <f t="shared" si="156"/>
        <v>-325.10733474916913</v>
      </c>
      <c r="DD202">
        <f t="shared" si="219"/>
        <v>-125.19422638238301</v>
      </c>
      <c r="DE202">
        <f t="shared" si="220"/>
        <v>0</v>
      </c>
      <c r="DF202">
        <f t="shared" si="221"/>
        <v>-734.04934551882104</v>
      </c>
      <c r="DG202">
        <f t="shared" si="222"/>
        <v>-596.46608211599221</v>
      </c>
      <c r="DH202">
        <f t="shared" si="223"/>
        <v>-1320.8407539366576</v>
      </c>
      <c r="DI202">
        <f t="shared" si="224"/>
        <v>-3632.1836218804942</v>
      </c>
      <c r="DJ202">
        <f t="shared" si="225"/>
        <v>-337.20530595851972</v>
      </c>
      <c r="DK202">
        <f t="shared" si="226"/>
        <v>-794.97117790475295</v>
      </c>
      <c r="DL202">
        <f t="shared" si="227"/>
        <v>-2862.3397755276287</v>
      </c>
      <c r="DM202">
        <f t="shared" si="157"/>
        <v>-295.65716931882611</v>
      </c>
      <c r="DN202">
        <f t="shared" si="211"/>
        <v>-1836.5363548766311</v>
      </c>
      <c r="DO202">
        <f t="shared" si="212"/>
        <v>-1145.4370112435306</v>
      </c>
      <c r="DP202">
        <f t="shared" si="213"/>
        <v>-1338.6093312827868</v>
      </c>
      <c r="DQ202">
        <f t="shared" si="214"/>
        <v>-7332.2640877420617</v>
      </c>
      <c r="DR202">
        <f t="shared" si="215"/>
        <v>-3497.9188100411716</v>
      </c>
      <c r="DS202">
        <f t="shared" si="216"/>
        <v>-5851.7136070847155</v>
      </c>
      <c r="DT202">
        <f t="shared" si="217"/>
        <v>-7270.4064024309109</v>
      </c>
      <c r="DU202">
        <f t="shared" si="218"/>
        <v>267664.87548283138</v>
      </c>
      <c r="DV202">
        <f t="shared" si="199"/>
        <v>-1814.6021863310229</v>
      </c>
      <c r="DW202">
        <f t="shared" si="200"/>
        <v>-9957.4129389291465</v>
      </c>
      <c r="DX202">
        <f t="shared" si="201"/>
        <v>-307.06792559350924</v>
      </c>
      <c r="DY202">
        <f t="shared" si="202"/>
        <v>-1409.4617495021932</v>
      </c>
      <c r="DZ202">
        <f t="shared" si="203"/>
        <v>-1497.6057635012546</v>
      </c>
      <c r="EA202">
        <f t="shared" si="204"/>
        <v>-1939.4701357304807</v>
      </c>
      <c r="EB202">
        <f t="shared" si="205"/>
        <v>-4062.8061312399095</v>
      </c>
      <c r="EC202">
        <f t="shared" si="206"/>
        <v>-81.230208783799142</v>
      </c>
      <c r="ED202">
        <f t="shared" si="207"/>
        <v>-308.96294471344015</v>
      </c>
      <c r="EE202">
        <f t="shared" si="208"/>
        <v>-509.18829045287885</v>
      </c>
      <c r="EF202">
        <f t="shared" si="209"/>
        <v>-1839.4964355766786</v>
      </c>
      <c r="EG202">
        <f t="shared" si="158"/>
        <v>-2088.5725074675015</v>
      </c>
      <c r="EH202">
        <f t="shared" si="228"/>
        <v>-2828.6103331634945</v>
      </c>
      <c r="EI202">
        <f t="shared" si="229"/>
        <v>-4719.5312107031568</v>
      </c>
      <c r="EJ202">
        <f t="shared" si="230"/>
        <v>-7436.5573259491102</v>
      </c>
      <c r="EK202">
        <f t="shared" si="231"/>
        <v>-2510.3643564646095</v>
      </c>
      <c r="EL202">
        <f t="shared" si="232"/>
        <v>-4191.4498019785715</v>
      </c>
      <c r="EM202">
        <f t="shared" si="159"/>
        <v>-4276.6707440066612</v>
      </c>
      <c r="EN202">
        <f t="shared" si="152"/>
        <v>-63.015341667466402</v>
      </c>
      <c r="EO202">
        <v>51</v>
      </c>
      <c r="EP202">
        <f t="shared" si="243"/>
        <v>174019.4908703129</v>
      </c>
      <c r="EQ202" s="98">
        <f t="shared" si="160"/>
        <v>287568.56073619484</v>
      </c>
      <c r="ES202" s="99">
        <f t="shared" si="161"/>
        <v>0.39485912359539127</v>
      </c>
    </row>
    <row r="203" spans="2:149" x14ac:dyDescent="0.35">
      <c r="B203" s="87">
        <f t="shared" si="154"/>
        <v>-1.8698585367085937E-4</v>
      </c>
      <c r="C203" s="87">
        <f t="shared" si="251"/>
        <v>-9.0783208984456301E-4</v>
      </c>
      <c r="D203" s="87">
        <f t="shared" si="251"/>
        <v>-2.3964604618459612E-4</v>
      </c>
      <c r="E203" s="87">
        <f t="shared" si="251"/>
        <v>-3.1578793097700739E-4</v>
      </c>
      <c r="F203" s="87">
        <f t="shared" si="251"/>
        <v>-1.1139895208237394E-4</v>
      </c>
      <c r="G203" s="87">
        <f t="shared" si="251"/>
        <v>-2.8841848331006848E-4</v>
      </c>
      <c r="H203" s="87">
        <f t="shared" si="251"/>
        <v>-3.7653066537535998E-4</v>
      </c>
      <c r="I203" s="87">
        <f t="shared" si="251"/>
        <v>-1.7940630830556327E-3</v>
      </c>
      <c r="J203" s="87">
        <f t="shared" si="251"/>
        <v>-4.9330942446710224E-4</v>
      </c>
      <c r="K203" s="87">
        <f t="shared" si="251"/>
        <v>-2.9886464377978266E-4</v>
      </c>
      <c r="L203" s="87">
        <f t="shared" si="251"/>
        <v>-6.830287660158326E-4</v>
      </c>
      <c r="M203" s="87">
        <f t="shared" si="251"/>
        <v>-5.5305637456844897E-4</v>
      </c>
      <c r="N203" s="87">
        <f t="shared" si="251"/>
        <v>-2.0973322903606418E-4</v>
      </c>
      <c r="O203" s="87">
        <f t="shared" si="251"/>
        <v>-1.7259150521713106E-4</v>
      </c>
      <c r="P203" s="87">
        <f t="shared" si="251"/>
        <v>-1.759663123184652E-4</v>
      </c>
      <c r="Q203" s="87">
        <f t="shared" si="251"/>
        <v>-2.0494713660199805E-4</v>
      </c>
      <c r="R203" s="87">
        <f t="shared" si="251"/>
        <v>-3.1208662567128688E-3</v>
      </c>
      <c r="S203" s="87">
        <f t="shared" si="251"/>
        <v>-6.9771890766032462E-5</v>
      </c>
      <c r="T203" s="87">
        <f t="shared" si="251"/>
        <v>-1.5275199783213627E-4</v>
      </c>
      <c r="U203" s="87">
        <f t="shared" si="251"/>
        <v>-9.8654118839245229E-5</v>
      </c>
      <c r="V203" s="87">
        <f t="shared" si="251"/>
        <v>-2.5005878780596889E-4</v>
      </c>
      <c r="W203" s="87">
        <f t="shared" si="251"/>
        <v>-2.2294090022622354E-4</v>
      </c>
      <c r="X203" s="87">
        <f t="shared" si="251"/>
        <v>-2.0660667454071158E-4</v>
      </c>
      <c r="Y203" s="87">
        <f t="shared" si="251"/>
        <v>-3.6239497014942037E-5</v>
      </c>
      <c r="Z203" s="87">
        <f t="shared" si="251"/>
        <v>-5.4527108901234826E-5</v>
      </c>
      <c r="AA203" s="87">
        <f t="shared" si="251"/>
        <v>-2.3286476291732762E-4</v>
      </c>
      <c r="AB203" s="87">
        <f t="shared" si="251"/>
        <v>-1.0040440339839765E-4</v>
      </c>
      <c r="AC203" s="87">
        <f t="shared" si="251"/>
        <v>-6.9118393057392716E-5</v>
      </c>
      <c r="AD203" s="87">
        <f t="shared" si="251"/>
        <v>-7.1487173893116664E-5</v>
      </c>
      <c r="AE203" s="87">
        <f t="shared" si="251"/>
        <v>-9.0852858385957302E-5</v>
      </c>
      <c r="AF203" s="87">
        <f t="shared" si="251"/>
        <v>-1.8549108633614792E-4</v>
      </c>
      <c r="AG203" s="87">
        <f t="shared" si="251"/>
        <v>-2.3416363618574459E-4</v>
      </c>
      <c r="AH203" s="87">
        <f t="shared" si="251"/>
        <v>-1.7781127425682273E-4</v>
      </c>
      <c r="AI203" s="87">
        <f t="shared" si="251"/>
        <v>-2.0355568455957148E-4</v>
      </c>
      <c r="AJ203" s="87">
        <f t="shared" si="251"/>
        <v>0</v>
      </c>
      <c r="AK203" s="87">
        <f t="shared" si="251"/>
        <v>-9.061713445298011E-3</v>
      </c>
      <c r="AL203" s="87">
        <f t="shared" si="251"/>
        <v>-2.657564776521467E-2</v>
      </c>
      <c r="AM203" s="87">
        <f t="shared" si="251"/>
        <v>-1.2473550362144384E-2</v>
      </c>
      <c r="AN203" s="87">
        <f t="shared" si="251"/>
        <v>-1.6825521462900502E-2</v>
      </c>
      <c r="AO203" s="87">
        <f t="shared" si="251"/>
        <v>-6.5276238451660853E-3</v>
      </c>
      <c r="AP203" s="87">
        <f t="shared" si="251"/>
        <v>-1.7439092960622991E-2</v>
      </c>
      <c r="AQ203" s="87">
        <f t="shared" si="251"/>
        <v>-2.2422081971987459E-2</v>
      </c>
      <c r="AR203" s="87">
        <f t="shared" si="251"/>
        <v>-2.8931825275498844E-2</v>
      </c>
      <c r="AS203" s="87">
        <f t="shared" si="251"/>
        <v>-2.7147645591188704E-2</v>
      </c>
      <c r="AT203" s="87">
        <f t="shared" si="251"/>
        <v>-2.0427044279988822E-2</v>
      </c>
      <c r="AU203" s="87">
        <f t="shared" si="251"/>
        <v>-4.3417052992163419E-2</v>
      </c>
      <c r="AV203" s="87">
        <f t="shared" si="251"/>
        <v>-3.1919748709319004E-2</v>
      </c>
      <c r="AW203" s="87">
        <f t="shared" si="251"/>
        <v>-1.2124008341837798E-2</v>
      </c>
      <c r="AX203" s="87">
        <f t="shared" si="251"/>
        <v>-6.9063007572367999E-3</v>
      </c>
      <c r="AY203" s="87">
        <f t="shared" si="251"/>
        <v>-7.9014184691187806E-3</v>
      </c>
      <c r="AZ203" s="87">
        <f t="shared" si="251"/>
        <v>-8.4689362671320524E-3</v>
      </c>
      <c r="BA203" s="87">
        <f t="shared" si="251"/>
        <v>0.88618695245396506</v>
      </c>
      <c r="BB203" s="87">
        <f t="shared" si="251"/>
        <v>-8.4427537499682549E-3</v>
      </c>
      <c r="BC203" s="87">
        <f t="shared" si="251"/>
        <v>-1.0379885126949966E-2</v>
      </c>
      <c r="BD203" s="87">
        <f t="shared" si="251"/>
        <v>-5.8051180142739819E-3</v>
      </c>
      <c r="BE203" s="87">
        <f t="shared" si="251"/>
        <v>-1.0749987239947084E-2</v>
      </c>
      <c r="BF203" s="87">
        <f t="shared" si="251"/>
        <v>-2.592478744163948E-2</v>
      </c>
      <c r="BG203" s="87">
        <f t="shared" si="251"/>
        <v>-1.7895685566337614E-2</v>
      </c>
      <c r="BH203" s="87">
        <f t="shared" si="251"/>
        <v>-3.388256029551374E-3</v>
      </c>
      <c r="BI203" s="87">
        <f t="shared" si="251"/>
        <v>-8.3864465674757995E-3</v>
      </c>
      <c r="BJ203" s="87">
        <f t="shared" si="251"/>
        <v>-2.4393418644664443E-2</v>
      </c>
      <c r="BK203" s="87">
        <f t="shared" si="251"/>
        <v>-9.9226673150888921E-3</v>
      </c>
      <c r="BL203" s="87">
        <f t="shared" si="251"/>
        <v>-3.842454068353689E-3</v>
      </c>
      <c r="BM203" s="87">
        <f t="shared" si="251"/>
        <v>-8.7109907181411733E-3</v>
      </c>
      <c r="BN203" s="87">
        <f t="shared" si="251"/>
        <v>-5.8198230140201774E-3</v>
      </c>
      <c r="BO203" s="87">
        <f t="shared" si="250"/>
        <v>-1.4347687439084445E-2</v>
      </c>
      <c r="BP203" s="87">
        <f t="shared" si="250"/>
        <v>-2.4927731513269526E-2</v>
      </c>
      <c r="BQ203" s="87">
        <f t="shared" si="250"/>
        <v>-1.224849309825069E-2</v>
      </c>
      <c r="BR203" s="87">
        <f t="shared" si="250"/>
        <v>-1.5190994702712743E-2</v>
      </c>
      <c r="BS203" s="87">
        <f t="shared" si="250"/>
        <v>-3.6193262617984444E-4</v>
      </c>
      <c r="BU203" s="97">
        <v>396286.1155976553</v>
      </c>
      <c r="BV203" s="98">
        <v>1368500.8393600225</v>
      </c>
      <c r="BW203">
        <f t="shared" si="155"/>
        <v>-43.50646340310476</v>
      </c>
      <c r="BX203">
        <f t="shared" si="190"/>
        <v>-31.628612749696522</v>
      </c>
      <c r="BY203">
        <f t="shared" si="191"/>
        <v>-88.931225087788434</v>
      </c>
      <c r="BZ203">
        <f t="shared" si="192"/>
        <v>-24.056654014406682</v>
      </c>
      <c r="CA203">
        <f t="shared" si="193"/>
        <v>-1.672253786855048</v>
      </c>
      <c r="CB203">
        <f t="shared" si="194"/>
        <v>-14.868312032519711</v>
      </c>
      <c r="CC203">
        <f t="shared" si="195"/>
        <v>-66.935341008600531</v>
      </c>
      <c r="CD203">
        <f t="shared" si="196"/>
        <v>-230.10483966525766</v>
      </c>
      <c r="CE203">
        <f t="shared" si="165"/>
        <v>-137.55814730961828</v>
      </c>
      <c r="CF203">
        <f t="shared" si="166"/>
        <v>-35.65230245709219</v>
      </c>
      <c r="CG203">
        <f t="shared" si="167"/>
        <v>-57.217348632679048</v>
      </c>
      <c r="CH203">
        <f t="shared" si="168"/>
        <v>-165.96783367615717</v>
      </c>
      <c r="CI203">
        <f t="shared" si="169"/>
        <v>-50.127144730002961</v>
      </c>
      <c r="CJ203">
        <f t="shared" si="170"/>
        <v>-64.464401458502607</v>
      </c>
      <c r="CK203">
        <f t="shared" si="171"/>
        <v>-59.090395902049195</v>
      </c>
      <c r="CL203">
        <f t="shared" si="172"/>
        <v>-16.114038936823</v>
      </c>
      <c r="CM203">
        <f t="shared" si="173"/>
        <v>-760.80928214351616</v>
      </c>
      <c r="CN203">
        <f t="shared" si="174"/>
        <v>-38.295107974267545</v>
      </c>
      <c r="CO203">
        <f t="shared" si="175"/>
        <v>-21.966797179686964</v>
      </c>
      <c r="CP203">
        <f t="shared" si="176"/>
        <v>-45.894393995034079</v>
      </c>
      <c r="CQ203">
        <f t="shared" si="177"/>
        <v>-85.605227742820517</v>
      </c>
      <c r="CR203">
        <f t="shared" si="178"/>
        <v>-48.350826581310237</v>
      </c>
      <c r="CS203">
        <f t="shared" si="179"/>
        <v>-41.787734512533632</v>
      </c>
      <c r="CT203">
        <f t="shared" si="180"/>
        <v>-1.6392699956531094</v>
      </c>
      <c r="CU203">
        <f t="shared" si="181"/>
        <v>-2.539183356708826</v>
      </c>
      <c r="CV203">
        <f t="shared" si="182"/>
        <v>-40.71356239399217</v>
      </c>
      <c r="CW203">
        <f t="shared" si="183"/>
        <v>-28.193507743888897</v>
      </c>
      <c r="CX203">
        <f t="shared" si="184"/>
        <v>-36.979967771622505</v>
      </c>
      <c r="CY203">
        <f t="shared" si="185"/>
        <v>-40.003314254706595</v>
      </c>
      <c r="CZ203">
        <f t="shared" si="186"/>
        <v>-81.31661348874735</v>
      </c>
      <c r="DA203">
        <f t="shared" si="187"/>
        <v>-73.58031959547975</v>
      </c>
      <c r="DB203">
        <f t="shared" si="188"/>
        <v>-54.850484987642034</v>
      </c>
      <c r="DC203">
        <f t="shared" si="156"/>
        <v>-84.11536980325269</v>
      </c>
      <c r="DD203">
        <f t="shared" si="219"/>
        <v>-58.579758019815998</v>
      </c>
      <c r="DE203">
        <f t="shared" si="220"/>
        <v>0</v>
      </c>
      <c r="DF203">
        <f t="shared" si="221"/>
        <v>-11656.173082914012</v>
      </c>
      <c r="DG203">
        <f t="shared" si="222"/>
        <v>-23735.880054678018</v>
      </c>
      <c r="DH203">
        <f t="shared" si="223"/>
        <v>-20251.413030389042</v>
      </c>
      <c r="DI203">
        <f t="shared" si="224"/>
        <v>-12162.019899001216</v>
      </c>
      <c r="DJ203">
        <f t="shared" si="225"/>
        <v>-704.50197100233163</v>
      </c>
      <c r="DK203">
        <f t="shared" si="226"/>
        <v>-4225.5239321259614</v>
      </c>
      <c r="DL203">
        <f t="shared" si="227"/>
        <v>-14783.169658053295</v>
      </c>
      <c r="DM203">
        <f t="shared" si="157"/>
        <v>-15175.69839025269</v>
      </c>
      <c r="DN203">
        <f t="shared" si="211"/>
        <v>-29193.203149432698</v>
      </c>
      <c r="DO203">
        <f t="shared" si="212"/>
        <v>-10438.80668376617</v>
      </c>
      <c r="DP203">
        <f t="shared" si="213"/>
        <v>-17695.036458854647</v>
      </c>
      <c r="DQ203">
        <f t="shared" si="214"/>
        <v>-50102.837280340216</v>
      </c>
      <c r="DR203">
        <f t="shared" si="215"/>
        <v>-11606.883645224363</v>
      </c>
      <c r="DS203">
        <f t="shared" si="216"/>
        <v>-21292.983552031001</v>
      </c>
      <c r="DT203">
        <f t="shared" si="217"/>
        <v>-11254.351332315557</v>
      </c>
      <c r="DU203">
        <f t="shared" si="218"/>
        <v>-2425.774418743953</v>
      </c>
      <c r="DV203">
        <f t="shared" si="199"/>
        <v>727648.5529578909</v>
      </c>
      <c r="DW203">
        <f t="shared" si="200"/>
        <v>-19411.044981524003</v>
      </c>
      <c r="DX203">
        <f t="shared" si="201"/>
        <v>-3041.4571091531407</v>
      </c>
      <c r="DY203">
        <f t="shared" si="202"/>
        <v>-11117.335564605355</v>
      </c>
      <c r="DZ203">
        <f t="shared" si="203"/>
        <v>-15314.419074029942</v>
      </c>
      <c r="EA203">
        <f t="shared" si="204"/>
        <v>-23171.765872201606</v>
      </c>
      <c r="EB203">
        <f t="shared" si="205"/>
        <v>-15623.740732750863</v>
      </c>
      <c r="EC203">
        <f t="shared" si="206"/>
        <v>-585.04332593935123</v>
      </c>
      <c r="ED203">
        <f t="shared" si="207"/>
        <v>-1327.3699798255168</v>
      </c>
      <c r="EE203">
        <f t="shared" si="208"/>
        <v>-8291.0687323309121</v>
      </c>
      <c r="EF203">
        <f t="shared" si="209"/>
        <v>-10579.129890007625</v>
      </c>
      <c r="EG203">
        <f t="shared" si="158"/>
        <v>-9224.457509129501</v>
      </c>
      <c r="EH203">
        <f t="shared" si="228"/>
        <v>-17841.564489523793</v>
      </c>
      <c r="EI203">
        <f t="shared" si="229"/>
        <v>-15173.956346140363</v>
      </c>
      <c r="EJ203">
        <f t="shared" si="230"/>
        <v>-31904.39644066984</v>
      </c>
      <c r="EK203">
        <f t="shared" si="231"/>
        <v>-14263.808556913489</v>
      </c>
      <c r="EL203">
        <f t="shared" si="232"/>
        <v>-16310.154784195987</v>
      </c>
      <c r="EM203">
        <f t="shared" si="159"/>
        <v>-16037.258168093003</v>
      </c>
      <c r="EN203">
        <f t="shared" si="152"/>
        <v>-4.9815550969093225</v>
      </c>
      <c r="EO203">
        <v>52</v>
      </c>
      <c r="EP203">
        <f t="shared" si="243"/>
        <v>239088.22727024267</v>
      </c>
      <c r="EQ203" s="98">
        <f t="shared" si="160"/>
        <v>396286.1155976553</v>
      </c>
      <c r="ES203" s="99">
        <f t="shared" si="161"/>
        <v>0.39667775917492354</v>
      </c>
    </row>
    <row r="204" spans="2:149" x14ac:dyDescent="0.35">
      <c r="B204" s="87">
        <f t="shared" si="154"/>
        <v>-5.1744311930705662E-5</v>
      </c>
      <c r="C204" s="87">
        <f t="shared" si="251"/>
        <v>-1.9011815814167637E-4</v>
      </c>
      <c r="D204" s="87">
        <f t="shared" si="251"/>
        <v>-4.6425224950946884E-5</v>
      </c>
      <c r="E204" s="87">
        <f t="shared" si="251"/>
        <v>-5.9462402655515024E-5</v>
      </c>
      <c r="F204" s="87">
        <f t="shared" si="251"/>
        <v>-3.3807819259921151E-5</v>
      </c>
      <c r="G204" s="87">
        <f t="shared" si="251"/>
        <v>-8.6090958107464227E-5</v>
      </c>
      <c r="H204" s="87">
        <f t="shared" si="251"/>
        <v>-7.4542130683424862E-5</v>
      </c>
      <c r="I204" s="87">
        <f t="shared" si="251"/>
        <v>-3.8825071128866423E-5</v>
      </c>
      <c r="J204" s="87">
        <f t="shared" si="251"/>
        <v>-6.6300199995879367E-5</v>
      </c>
      <c r="K204" s="87">
        <f t="shared" si="251"/>
        <v>-4.5467706060122786E-5</v>
      </c>
      <c r="L204" s="87">
        <f t="shared" si="251"/>
        <v>-1.4273831906970477E-4</v>
      </c>
      <c r="M204" s="87">
        <f t="shared" si="251"/>
        <v>-9.0360787343669234E-5</v>
      </c>
      <c r="N204" s="87">
        <f t="shared" si="251"/>
        <v>-7.0423414639516081E-5</v>
      </c>
      <c r="O204" s="87">
        <f t="shared" si="251"/>
        <v>-5.018773476734732E-5</v>
      </c>
      <c r="P204" s="87">
        <f t="shared" si="251"/>
        <v>-5.0873163100830495E-5</v>
      </c>
      <c r="Q204" s="87">
        <f t="shared" si="251"/>
        <v>-6.8584918470625245E-5</v>
      </c>
      <c r="R204" s="87">
        <f t="shared" si="251"/>
        <v>-1.8269089086153924E-4</v>
      </c>
      <c r="S204" s="87">
        <f t="shared" si="251"/>
        <v>-9.512665942794556E-4</v>
      </c>
      <c r="T204" s="87">
        <f t="shared" si="251"/>
        <v>-7.039914641226598E-5</v>
      </c>
      <c r="U204" s="87">
        <f t="shared" si="251"/>
        <v>-5.5105423098743827E-5</v>
      </c>
      <c r="V204" s="87">
        <f t="shared" si="251"/>
        <v>-8.5840995324310348E-5</v>
      </c>
      <c r="W204" s="87">
        <f t="shared" si="251"/>
        <v>-1.0217606896952954E-4</v>
      </c>
      <c r="X204" s="87">
        <f t="shared" si="251"/>
        <v>-8.6534090605667875E-5</v>
      </c>
      <c r="Y204" s="87">
        <f t="shared" si="251"/>
        <v>-2.336930836595356E-5</v>
      </c>
      <c r="Z204" s="87">
        <f t="shared" si="251"/>
        <v>-2.6125401568507994E-5</v>
      </c>
      <c r="AA204" s="87">
        <f t="shared" si="251"/>
        <v>-2.3195276372282343E-4</v>
      </c>
      <c r="AB204" s="87">
        <f t="shared" si="251"/>
        <v>-1.3128085251568077E-4</v>
      </c>
      <c r="AC204" s="87">
        <f t="shared" si="251"/>
        <v>-6.5366567903044886E-5</v>
      </c>
      <c r="AD204" s="87">
        <f t="shared" si="251"/>
        <v>-5.8838808046503841E-4</v>
      </c>
      <c r="AE204" s="87">
        <f t="shared" si="251"/>
        <v>-9.5040538388089927E-5</v>
      </c>
      <c r="AF204" s="87">
        <f t="shared" si="251"/>
        <v>-3.2286548255460482E-4</v>
      </c>
      <c r="AG204" s="87">
        <f t="shared" si="251"/>
        <v>-1.2456755065042507E-4</v>
      </c>
      <c r="AH204" s="87">
        <f t="shared" si="251"/>
        <v>-1.3130306198127362E-4</v>
      </c>
      <c r="AI204" s="87">
        <f t="shared" si="251"/>
        <v>-1.6503902816068487E-4</v>
      </c>
      <c r="AJ204" s="87">
        <f t="shared" si="251"/>
        <v>0</v>
      </c>
      <c r="AK204" s="87">
        <f t="shared" si="251"/>
        <v>-2.9618627565081465E-3</v>
      </c>
      <c r="AL204" s="87">
        <f t="shared" si="251"/>
        <v>-5.7146954915763279E-3</v>
      </c>
      <c r="AM204" s="87">
        <f t="shared" si="251"/>
        <v>-1.6849550729904344E-3</v>
      </c>
      <c r="AN204" s="87">
        <f t="shared" si="251"/>
        <v>-1.6802753534441153E-3</v>
      </c>
      <c r="AO204" s="87">
        <f t="shared" si="251"/>
        <v>-5.7331254470076407E-4</v>
      </c>
      <c r="AP204" s="87">
        <f t="shared" si="251"/>
        <v>-1.8670270256819445E-3</v>
      </c>
      <c r="AQ204" s="87">
        <f t="shared" si="251"/>
        <v>-2.3328350991698291E-3</v>
      </c>
      <c r="AR204" s="87">
        <f t="shared" si="251"/>
        <v>-4.0403619209984209E-3</v>
      </c>
      <c r="AS204" s="87">
        <f t="shared" si="251"/>
        <v>-2.4232513667901924E-3</v>
      </c>
      <c r="AT204" s="87">
        <f t="shared" si="251"/>
        <v>-1.8885320004363763E-3</v>
      </c>
      <c r="AU204" s="87">
        <f t="shared" si="251"/>
        <v>-4.5719743536884461E-3</v>
      </c>
      <c r="AV204" s="87">
        <f t="shared" si="251"/>
        <v>-2.5706913610969535E-3</v>
      </c>
      <c r="AW204" s="87">
        <f t="shared" si="251"/>
        <v>-1.3938873260148962E-3</v>
      </c>
      <c r="AX204" s="87">
        <f t="shared" si="251"/>
        <v>-1.0299678021527855E-3</v>
      </c>
      <c r="AY204" s="87">
        <f t="shared" si="251"/>
        <v>-1.1398584245441064E-3</v>
      </c>
      <c r="AZ204" s="87">
        <f t="shared" si="251"/>
        <v>-1.581772731612717E-3</v>
      </c>
      <c r="BA204" s="87">
        <f t="shared" si="251"/>
        <v>-1.4698464478994437E-2</v>
      </c>
      <c r="BB204" s="87">
        <f t="shared" si="251"/>
        <v>0.98208755526795999</v>
      </c>
      <c r="BC204" s="87">
        <f t="shared" si="251"/>
        <v>-3.422172292865803E-3</v>
      </c>
      <c r="BD204" s="87">
        <f t="shared" si="251"/>
        <v>-2.6175010345868776E-3</v>
      </c>
      <c r="BE204" s="87">
        <f t="shared" si="251"/>
        <v>-3.1109686618698432E-3</v>
      </c>
      <c r="BF204" s="87">
        <f t="shared" si="251"/>
        <v>-5.32551824215484E-3</v>
      </c>
      <c r="BG204" s="87">
        <f t="shared" si="251"/>
        <v>-1.0902840257670245E-2</v>
      </c>
      <c r="BH204" s="87">
        <f t="shared" si="251"/>
        <v>-1.3453720162434767E-3</v>
      </c>
      <c r="BI204" s="87">
        <f t="shared" si="251"/>
        <v>-3.4697341191002786E-3</v>
      </c>
      <c r="BJ204" s="87">
        <f t="shared" si="251"/>
        <v>-7.5073482533512016E-3</v>
      </c>
      <c r="BK204" s="87">
        <f t="shared" si="251"/>
        <v>-8.5253053761078033E-3</v>
      </c>
      <c r="BL204" s="87">
        <f t="shared" si="251"/>
        <v>-4.6526945354072678E-3</v>
      </c>
      <c r="BM204" s="87">
        <f t="shared" si="251"/>
        <v>-2.300629483007521E-2</v>
      </c>
      <c r="BN204" s="87">
        <f t="shared" si="251"/>
        <v>-3.3290179465475739E-3</v>
      </c>
      <c r="BO204" s="87">
        <f t="shared" si="250"/>
        <v>-1.7782380608692278E-2</v>
      </c>
      <c r="BP204" s="87">
        <f t="shared" si="250"/>
        <v>-1.3857786032535849E-2</v>
      </c>
      <c r="BQ204" s="87">
        <f t="shared" si="250"/>
        <v>-7.7095262087805861E-3</v>
      </c>
      <c r="BR204" s="87">
        <f t="shared" si="250"/>
        <v>-7.7308588622692744E-3</v>
      </c>
      <c r="BS204" s="87">
        <f t="shared" si="250"/>
        <v>-1.4474450889101656E-3</v>
      </c>
      <c r="BU204" s="97">
        <v>3400462.5277272491</v>
      </c>
      <c r="BV204" s="98">
        <v>3831894.4972183965</v>
      </c>
      <c r="BW204">
        <f t="shared" si="155"/>
        <v>-12.039477688482062</v>
      </c>
      <c r="BX204">
        <f t="shared" si="190"/>
        <v>-6.6236627541753972</v>
      </c>
      <c r="BY204">
        <f t="shared" si="191"/>
        <v>-17.228125377389382</v>
      </c>
      <c r="BZ204">
        <f t="shared" si="192"/>
        <v>-4.5298325465554754</v>
      </c>
      <c r="CA204">
        <f t="shared" si="193"/>
        <v>-0.50750256376657099</v>
      </c>
      <c r="CB204">
        <f t="shared" si="194"/>
        <v>-4.438090144674427</v>
      </c>
      <c r="CC204">
        <f t="shared" si="195"/>
        <v>-13.251252542282893</v>
      </c>
      <c r="CD204">
        <f t="shared" si="196"/>
        <v>-4.9796670203391065</v>
      </c>
      <c r="CE204">
        <f t="shared" si="165"/>
        <v>-18.487651411773363</v>
      </c>
      <c r="CF204">
        <f t="shared" si="166"/>
        <v>-5.4239550988176113</v>
      </c>
      <c r="CG204">
        <f t="shared" si="167"/>
        <v>-11.957195028685753</v>
      </c>
      <c r="CH204">
        <f t="shared" si="168"/>
        <v>-27.116555950381876</v>
      </c>
      <c r="CI204">
        <f t="shared" si="169"/>
        <v>-16.831499301472242</v>
      </c>
      <c r="CJ204">
        <f t="shared" si="170"/>
        <v>-18.745547634368712</v>
      </c>
      <c r="CK204">
        <f t="shared" si="171"/>
        <v>-17.083470743974583</v>
      </c>
      <c r="CL204">
        <f t="shared" si="172"/>
        <v>-5.3925127476199712</v>
      </c>
      <c r="CM204">
        <f t="shared" si="173"/>
        <v>-44.536649153599079</v>
      </c>
      <c r="CN204">
        <f t="shared" si="174"/>
        <v>-522.11365551785252</v>
      </c>
      <c r="CO204">
        <f t="shared" si="175"/>
        <v>-10.123885728556997</v>
      </c>
      <c r="CP204">
        <f t="shared" si="176"/>
        <v>-25.635320944661224</v>
      </c>
      <c r="CQ204">
        <f t="shared" si="177"/>
        <v>-29.386841465895369</v>
      </c>
      <c r="CR204">
        <f t="shared" si="178"/>
        <v>-22.159672749561331</v>
      </c>
      <c r="CS204">
        <f t="shared" si="179"/>
        <v>-17.502162563487943</v>
      </c>
      <c r="CT204">
        <f t="shared" si="180"/>
        <v>-1.0570954118838267</v>
      </c>
      <c r="CU204">
        <f t="shared" si="181"/>
        <v>-1.2165909065570846</v>
      </c>
      <c r="CV204">
        <f t="shared" si="182"/>
        <v>-40.554110462993492</v>
      </c>
      <c r="CW204">
        <f t="shared" si="183"/>
        <v>-36.863599670412967</v>
      </c>
      <c r="CX204">
        <f t="shared" si="184"/>
        <v>-34.972652972255858</v>
      </c>
      <c r="CY204">
        <f t="shared" si="185"/>
        <v>-329.25449426436052</v>
      </c>
      <c r="CZ204">
        <f t="shared" si="186"/>
        <v>-85.064739438746173</v>
      </c>
      <c r="DA204">
        <f t="shared" si="187"/>
        <v>-128.07378436322745</v>
      </c>
      <c r="DB204">
        <f t="shared" si="188"/>
        <v>-29.178700323387073</v>
      </c>
      <c r="DC204">
        <f t="shared" si="156"/>
        <v>-62.114203168590429</v>
      </c>
      <c r="DD204">
        <f t="shared" si="219"/>
        <v>-47.495339441867323</v>
      </c>
      <c r="DE204">
        <f t="shared" si="220"/>
        <v>0</v>
      </c>
      <c r="DF204">
        <f t="shared" si="221"/>
        <v>-3809.8738330342744</v>
      </c>
      <c r="DG204">
        <f t="shared" si="222"/>
        <v>-5104.0459271367563</v>
      </c>
      <c r="DH204">
        <f t="shared" si="223"/>
        <v>-2735.6061530273414</v>
      </c>
      <c r="DI204">
        <f t="shared" si="224"/>
        <v>-1214.5562519086293</v>
      </c>
      <c r="DJ204">
        <f t="shared" si="225"/>
        <v>-61.875473728644984</v>
      </c>
      <c r="DK204">
        <f t="shared" si="226"/>
        <v>-452.38404295214997</v>
      </c>
      <c r="DL204">
        <f t="shared" si="227"/>
        <v>-1538.0684585122101</v>
      </c>
      <c r="DM204">
        <f t="shared" si="157"/>
        <v>-2119.3033386821739</v>
      </c>
      <c r="DN204">
        <f t="shared" si="211"/>
        <v>-2605.8417918866371</v>
      </c>
      <c r="DO204">
        <f t="shared" si="212"/>
        <v>-965.09412710159972</v>
      </c>
      <c r="DP204">
        <f t="shared" si="213"/>
        <v>-1863.3520080708329</v>
      </c>
      <c r="DQ204">
        <f t="shared" si="214"/>
        <v>-4035.0859944399872</v>
      </c>
      <c r="DR204">
        <f t="shared" si="215"/>
        <v>-1334.4339224658929</v>
      </c>
      <c r="DS204">
        <f t="shared" si="216"/>
        <v>-3175.5187387951773</v>
      </c>
      <c r="DT204">
        <f t="shared" si="217"/>
        <v>-1623.5524329025673</v>
      </c>
      <c r="DU204">
        <f t="shared" si="218"/>
        <v>-453.07033936533037</v>
      </c>
      <c r="DV204">
        <f t="shared" si="199"/>
        <v>-12068.916586084417</v>
      </c>
      <c r="DW204">
        <f t="shared" si="200"/>
        <v>2257953.5392907783</v>
      </c>
      <c r="DX204">
        <f t="shared" si="201"/>
        <v>-1002.7461885738625</v>
      </c>
      <c r="DY204">
        <f t="shared" si="202"/>
        <v>-5012.7555151595589</v>
      </c>
      <c r="DZ204">
        <f t="shared" si="203"/>
        <v>-4431.8822665210391</v>
      </c>
      <c r="EA204">
        <f t="shared" si="204"/>
        <v>-4759.9874110114097</v>
      </c>
      <c r="EB204">
        <f t="shared" si="205"/>
        <v>-9518.6713470681279</v>
      </c>
      <c r="EC204">
        <f t="shared" si="206"/>
        <v>-232.30266902617493</v>
      </c>
      <c r="ED204">
        <f t="shared" si="207"/>
        <v>-549.1742981504824</v>
      </c>
      <c r="EE204">
        <f t="shared" si="208"/>
        <v>-2551.6694184106832</v>
      </c>
      <c r="EF204">
        <f t="shared" si="209"/>
        <v>-9089.32145580221</v>
      </c>
      <c r="EG204">
        <f t="shared" si="158"/>
        <v>-11169.576078553349</v>
      </c>
      <c r="EH204">
        <f t="shared" si="228"/>
        <v>-47120.735879210537</v>
      </c>
      <c r="EI204">
        <f t="shared" si="229"/>
        <v>-8679.7094816697445</v>
      </c>
      <c r="EJ204">
        <f t="shared" si="230"/>
        <v>-39541.990512918579</v>
      </c>
      <c r="EK204">
        <f t="shared" si="231"/>
        <v>-7929.5144399938745</v>
      </c>
      <c r="EL204">
        <f t="shared" si="232"/>
        <v>-10266.043730390436</v>
      </c>
      <c r="EM204">
        <f t="shared" si="159"/>
        <v>-8161.5313454860179</v>
      </c>
      <c r="EN204">
        <f t="shared" si="152"/>
        <v>-19.922291991918655</v>
      </c>
      <c r="EO204">
        <v>53</v>
      </c>
      <c r="EP204">
        <f t="shared" si="243"/>
        <v>2041103.4860436427</v>
      </c>
      <c r="EQ204" s="98">
        <f t="shared" si="160"/>
        <v>3400462.5277272491</v>
      </c>
      <c r="ES204" s="99">
        <f t="shared" si="161"/>
        <v>0.39975710086479166</v>
      </c>
    </row>
    <row r="205" spans="2:149" x14ac:dyDescent="0.35">
      <c r="B205" s="87">
        <f t="shared" si="154"/>
        <v>-1.4713513140658436E-5</v>
      </c>
      <c r="C205" s="87">
        <f t="shared" si="251"/>
        <v>-1.5621289504434225E-5</v>
      </c>
      <c r="D205" s="87">
        <f t="shared" si="251"/>
        <v>-1.8442470083538082E-5</v>
      </c>
      <c r="E205" s="87">
        <f t="shared" si="251"/>
        <v>-1.643523318002999E-5</v>
      </c>
      <c r="F205" s="87">
        <f t="shared" si="251"/>
        <v>-1.8773904419628553E-5</v>
      </c>
      <c r="G205" s="87">
        <f t="shared" si="251"/>
        <v>-1.3337718893565439E-5</v>
      </c>
      <c r="H205" s="87">
        <f t="shared" si="251"/>
        <v>-1.4227014787145698E-5</v>
      </c>
      <c r="I205" s="87">
        <f t="shared" si="251"/>
        <v>-1.1079749168948113E-5</v>
      </c>
      <c r="J205" s="87">
        <f t="shared" si="251"/>
        <v>-1.9250792223732935E-5</v>
      </c>
      <c r="K205" s="87">
        <f t="shared" si="251"/>
        <v>-1.3580950071009129E-5</v>
      </c>
      <c r="L205" s="87">
        <f t="shared" si="251"/>
        <v>-1.857833047134938E-5</v>
      </c>
      <c r="M205" s="87">
        <f t="shared" si="251"/>
        <v>-1.4606752558254199E-5</v>
      </c>
      <c r="N205" s="87">
        <f t="shared" si="251"/>
        <v>-2.3457384152450958E-5</v>
      </c>
      <c r="O205" s="87">
        <f t="shared" si="251"/>
        <v>-1.5135148013277605E-5</v>
      </c>
      <c r="P205" s="87">
        <f t="shared" si="251"/>
        <v>-2.2956009027328678E-5</v>
      </c>
      <c r="Q205" s="87">
        <f t="shared" si="251"/>
        <v>-2.0375315551000413E-5</v>
      </c>
      <c r="R205" s="87">
        <f t="shared" si="251"/>
        <v>-1.3199630170106164E-5</v>
      </c>
      <c r="S205" s="87">
        <f t="shared" si="251"/>
        <v>-2.0944497624387885E-5</v>
      </c>
      <c r="T205" s="87">
        <f t="shared" si="251"/>
        <v>-4.0982215895217971E-5</v>
      </c>
      <c r="U205" s="87">
        <f t="shared" si="251"/>
        <v>-1.3182520058693453E-5</v>
      </c>
      <c r="V205" s="87">
        <f t="shared" si="251"/>
        <v>-1.1149465584528324E-5</v>
      </c>
      <c r="W205" s="87">
        <f t="shared" si="251"/>
        <v>-1.9621604903965792E-5</v>
      </c>
      <c r="X205" s="87">
        <f t="shared" si="251"/>
        <v>-4.6973493288151902E-5</v>
      </c>
      <c r="Y205" s="87">
        <f t="shared" si="251"/>
        <v>-1.6369784874073058E-5</v>
      </c>
      <c r="Z205" s="87">
        <f t="shared" si="251"/>
        <v>-1.4136473063277168E-5</v>
      </c>
      <c r="AA205" s="87">
        <f t="shared" si="251"/>
        <v>-9.7199288125381639E-6</v>
      </c>
      <c r="AB205" s="87">
        <f t="shared" si="251"/>
        <v>-8.5207804240720528E-6</v>
      </c>
      <c r="AC205" s="87">
        <f t="shared" si="251"/>
        <v>-7.4859862525665182E-6</v>
      </c>
      <c r="AD205" s="87">
        <f t="shared" si="251"/>
        <v>-2.936132260456114E-6</v>
      </c>
      <c r="AE205" s="87">
        <f t="shared" si="251"/>
        <v>-1.2732726215391524E-5</v>
      </c>
      <c r="AF205" s="87">
        <f t="shared" si="251"/>
        <v>-1.0583527640331311E-5</v>
      </c>
      <c r="AG205" s="87">
        <f t="shared" si="251"/>
        <v>-6.1663303751638631E-6</v>
      </c>
      <c r="AH205" s="87">
        <f t="shared" si="251"/>
        <v>-1.0768585817229545E-5</v>
      </c>
      <c r="AI205" s="87">
        <f t="shared" si="251"/>
        <v>-1.3611536936391068E-5</v>
      </c>
      <c r="AJ205" s="87">
        <f t="shared" si="251"/>
        <v>0</v>
      </c>
      <c r="AK205" s="87">
        <f t="shared" si="251"/>
        <v>-3.3778547034554198E-3</v>
      </c>
      <c r="AL205" s="87">
        <f t="shared" si="251"/>
        <v>-2.3336547342478393E-3</v>
      </c>
      <c r="AM205" s="87">
        <f t="shared" si="251"/>
        <v>-3.8205993995182692E-3</v>
      </c>
      <c r="AN205" s="87">
        <f t="shared" si="251"/>
        <v>-1.9280823688380415E-3</v>
      </c>
      <c r="AO205" s="87">
        <f t="shared" si="251"/>
        <v>-2.0461629691469712E-3</v>
      </c>
      <c r="AP205" s="87">
        <f t="shared" si="251"/>
        <v>-3.1500684441533103E-3</v>
      </c>
      <c r="AQ205" s="87">
        <f t="shared" si="251"/>
        <v>-2.7958676249188455E-3</v>
      </c>
      <c r="AR205" s="87">
        <f t="shared" si="251"/>
        <v>-2.2660852818692577E-3</v>
      </c>
      <c r="AS205" s="87">
        <f t="shared" si="251"/>
        <v>-2.8271640948745076E-3</v>
      </c>
      <c r="AT205" s="87">
        <f t="shared" si="251"/>
        <v>-3.513299284776283E-3</v>
      </c>
      <c r="AU205" s="87">
        <f t="shared" si="251"/>
        <v>-4.1162112226534233E-3</v>
      </c>
      <c r="AV205" s="87">
        <f t="shared" si="251"/>
        <v>-3.2962292754215266E-3</v>
      </c>
      <c r="AW205" s="87">
        <f t="shared" si="251"/>
        <v>-1.9137687885552928E-3</v>
      </c>
      <c r="AX205" s="87">
        <f t="shared" si="251"/>
        <v>-1.5752939392873354E-3</v>
      </c>
      <c r="AY205" s="87">
        <f t="shared" si="251"/>
        <v>-1.9864671511158113E-3</v>
      </c>
      <c r="AZ205" s="87">
        <f t="shared" si="251"/>
        <v>-2.9764880091579238E-3</v>
      </c>
      <c r="BA205" s="87">
        <f t="shared" si="251"/>
        <v>-7.3972156268422148E-3</v>
      </c>
      <c r="BB205" s="87">
        <f t="shared" si="251"/>
        <v>-4.8472374093631154E-3</v>
      </c>
      <c r="BC205" s="87">
        <f t="shared" si="251"/>
        <v>0.99520596613325407</v>
      </c>
      <c r="BD205" s="87">
        <f t="shared" si="251"/>
        <v>-2.5582433941034426E-3</v>
      </c>
      <c r="BE205" s="87">
        <f t="shared" si="251"/>
        <v>-2.3609184593936937E-3</v>
      </c>
      <c r="BF205" s="87">
        <f t="shared" si="251"/>
        <v>-2.9143379470049444E-3</v>
      </c>
      <c r="BG205" s="87">
        <f t="shared" si="251"/>
        <v>-1.0737297516549468E-2</v>
      </c>
      <c r="BH205" s="87">
        <f t="shared" si="251"/>
        <v>-1.1779355231433647E-3</v>
      </c>
      <c r="BI205" s="87">
        <f t="shared" si="251"/>
        <v>-4.8074158798841965E-3</v>
      </c>
      <c r="BJ205" s="87">
        <f t="shared" si="251"/>
        <v>-6.3155360244268946E-3</v>
      </c>
      <c r="BK205" s="87">
        <f t="shared" si="251"/>
        <v>-2.8668512314559262E-3</v>
      </c>
      <c r="BL205" s="87">
        <f t="shared" si="251"/>
        <v>-2.4513803127063404E-3</v>
      </c>
      <c r="BM205" s="87">
        <f t="shared" si="251"/>
        <v>-2.2299415101876803E-3</v>
      </c>
      <c r="BN205" s="87">
        <f t="shared" ref="BN205:BS208" si="252">BN132-BN55</f>
        <v>-5.7930375319597766E-3</v>
      </c>
      <c r="BO205" s="87">
        <f t="shared" si="252"/>
        <v>-3.522782339314196E-3</v>
      </c>
      <c r="BP205" s="87">
        <f t="shared" si="252"/>
        <v>-2.4342324031088399E-3</v>
      </c>
      <c r="BQ205" s="87">
        <f t="shared" si="252"/>
        <v>-2.8008923144974395E-3</v>
      </c>
      <c r="BR205" s="87">
        <f t="shared" si="252"/>
        <v>-5.2007728921299378E-3</v>
      </c>
      <c r="BS205" s="87">
        <f t="shared" si="252"/>
        <v>-2.5776424965029639E-5</v>
      </c>
      <c r="BU205" s="97">
        <v>272802.02298054384</v>
      </c>
      <c r="BV205" s="98">
        <v>488357.54152622382</v>
      </c>
      <c r="BW205">
        <f t="shared" si="155"/>
        <v>-3.4234296788672958</v>
      </c>
      <c r="BX205">
        <f t="shared" si="190"/>
        <v>-0.54424129959015222</v>
      </c>
      <c r="BY205">
        <f t="shared" si="191"/>
        <v>-6.8438911648497367</v>
      </c>
      <c r="BZ205">
        <f t="shared" si="192"/>
        <v>-1.252032390961977</v>
      </c>
      <c r="CA205">
        <f t="shared" si="193"/>
        <v>-0.28182251424199878</v>
      </c>
      <c r="CB205">
        <f t="shared" si="194"/>
        <v>-0.68757509586640864</v>
      </c>
      <c r="CC205">
        <f t="shared" si="195"/>
        <v>-2.5291169455286475</v>
      </c>
      <c r="CD205">
        <f t="shared" si="196"/>
        <v>-1.4210781828862922</v>
      </c>
      <c r="CE205">
        <f t="shared" si="165"/>
        <v>-5.3680371409885881</v>
      </c>
      <c r="CF205">
        <f t="shared" si="166"/>
        <v>-1.6201051200390917</v>
      </c>
      <c r="CG205">
        <f t="shared" si="167"/>
        <v>-1.5563075297588296</v>
      </c>
      <c r="CH205">
        <f t="shared" si="168"/>
        <v>-4.3833706482974071</v>
      </c>
      <c r="CI205">
        <f t="shared" si="169"/>
        <v>-5.6064158064099434</v>
      </c>
      <c r="CJ205">
        <f t="shared" si="170"/>
        <v>-5.653107065926104</v>
      </c>
      <c r="CK205">
        <f t="shared" si="171"/>
        <v>-7.7087463156067022</v>
      </c>
      <c r="CL205">
        <f t="shared" si="172"/>
        <v>-1.6020161763786014</v>
      </c>
      <c r="CM205">
        <f t="shared" si="173"/>
        <v>-3.2178249012361655</v>
      </c>
      <c r="CN205">
        <f t="shared" si="174"/>
        <v>-11.495629388664961</v>
      </c>
      <c r="CO205">
        <f t="shared" si="175"/>
        <v>-5.8935270066562779</v>
      </c>
      <c r="CP205">
        <f t="shared" si="176"/>
        <v>-6.1325748639745878</v>
      </c>
      <c r="CQ205">
        <f t="shared" si="177"/>
        <v>-3.8169126106253319</v>
      </c>
      <c r="CR205">
        <f t="shared" si="178"/>
        <v>-4.2554812284150039</v>
      </c>
      <c r="CS205">
        <f t="shared" si="179"/>
        <v>-9.5007379166967922</v>
      </c>
      <c r="CT205">
        <f t="shared" si="180"/>
        <v>-0.74047653498887833</v>
      </c>
      <c r="CU205">
        <f t="shared" si="181"/>
        <v>-0.65829819053588468</v>
      </c>
      <c r="CV205">
        <f t="shared" si="182"/>
        <v>-1.6994109508742168</v>
      </c>
      <c r="CW205">
        <f t="shared" si="183"/>
        <v>-2.3926310075946948</v>
      </c>
      <c r="CX205">
        <f t="shared" si="184"/>
        <v>-4.0051789127801465</v>
      </c>
      <c r="CY205">
        <f t="shared" si="185"/>
        <v>-1.64302230892523</v>
      </c>
      <c r="CZ205">
        <f t="shared" si="186"/>
        <v>-11.396253180241905</v>
      </c>
      <c r="DA205">
        <f t="shared" si="187"/>
        <v>-4.1982575098618815</v>
      </c>
      <c r="DB205">
        <f t="shared" si="188"/>
        <v>-1.4444010913952363</v>
      </c>
      <c r="DC205">
        <f t="shared" si="156"/>
        <v>-5.0941852931441387</v>
      </c>
      <c r="DD205">
        <f t="shared" si="219"/>
        <v>-3.9171617424333105</v>
      </c>
      <c r="DE205">
        <f t="shared" si="220"/>
        <v>0</v>
      </c>
      <c r="DF205">
        <f t="shared" si="221"/>
        <v>-4344.9684554791947</v>
      </c>
      <c r="DG205">
        <f t="shared" si="222"/>
        <v>-2084.2896982417465</v>
      </c>
      <c r="DH205">
        <f t="shared" si="223"/>
        <v>-6202.9281332856508</v>
      </c>
      <c r="DI205">
        <f t="shared" si="224"/>
        <v>-1393.6790124708143</v>
      </c>
      <c r="DJ205">
        <f t="shared" si="225"/>
        <v>-220.83469865125892</v>
      </c>
      <c r="DK205">
        <f t="shared" si="226"/>
        <v>-763.26731147427154</v>
      </c>
      <c r="DL205">
        <f t="shared" si="227"/>
        <v>-1843.3518123906058</v>
      </c>
      <c r="DM205">
        <f t="shared" si="157"/>
        <v>-1188.6366116472293</v>
      </c>
      <c r="DN205">
        <f t="shared" si="211"/>
        <v>-3040.1890831093478</v>
      </c>
      <c r="DO205">
        <f t="shared" si="212"/>
        <v>-1795.3969038938037</v>
      </c>
      <c r="DP205">
        <f t="shared" si="213"/>
        <v>-1677.6013717546803</v>
      </c>
      <c r="DQ205">
        <f t="shared" si="214"/>
        <v>-5173.9266661871507</v>
      </c>
      <c r="DR205">
        <f t="shared" si="215"/>
        <v>-1832.1409080502303</v>
      </c>
      <c r="DS205">
        <f t="shared" si="216"/>
        <v>-4856.8269929037579</v>
      </c>
      <c r="DT205">
        <f t="shared" si="217"/>
        <v>-2829.415922740598</v>
      </c>
      <c r="DU205">
        <f t="shared" si="218"/>
        <v>-852.56143659214354</v>
      </c>
      <c r="DV205">
        <f t="shared" si="199"/>
        <v>-6073.8574765563872</v>
      </c>
      <c r="DW205">
        <f t="shared" si="200"/>
        <v>-11144.461413389807</v>
      </c>
      <c r="DX205">
        <f t="shared" si="201"/>
        <v>291609.80335983983</v>
      </c>
      <c r="DY205">
        <f t="shared" si="202"/>
        <v>-4899.2716768635546</v>
      </c>
      <c r="DZ205">
        <f t="shared" si="203"/>
        <v>-3363.3616375293618</v>
      </c>
      <c r="EA205">
        <f t="shared" si="204"/>
        <v>-2604.8567122292538</v>
      </c>
      <c r="EB205">
        <f t="shared" si="205"/>
        <v>-9374.1450668162543</v>
      </c>
      <c r="EC205">
        <f t="shared" si="206"/>
        <v>-203.3917479055296</v>
      </c>
      <c r="ED205">
        <f t="shared" si="207"/>
        <v>-760.89670018793322</v>
      </c>
      <c r="EE205">
        <f t="shared" si="208"/>
        <v>-2146.5848646634254</v>
      </c>
      <c r="EF205">
        <f t="shared" si="209"/>
        <v>-3056.5160142758309</v>
      </c>
      <c r="EG205">
        <f t="shared" si="158"/>
        <v>-5884.9509014338546</v>
      </c>
      <c r="EH205">
        <f t="shared" si="228"/>
        <v>-4567.2928085003614</v>
      </c>
      <c r="EI205">
        <f t="shared" si="229"/>
        <v>-15104.118872644054</v>
      </c>
      <c r="EJ205">
        <f t="shared" si="230"/>
        <v>-7833.4745445808494</v>
      </c>
      <c r="EK205">
        <f t="shared" si="231"/>
        <v>-1392.8834624400961</v>
      </c>
      <c r="EL205">
        <f t="shared" si="232"/>
        <v>-3729.6822406539591</v>
      </c>
      <c r="EM205">
        <f t="shared" si="159"/>
        <v>-5490.498757781359</v>
      </c>
      <c r="EN205">
        <f t="shared" si="152"/>
        <v>-0.3547806190338828</v>
      </c>
      <c r="EO205">
        <v>54</v>
      </c>
      <c r="EP205">
        <f t="shared" si="243"/>
        <v>163747.20540418121</v>
      </c>
      <c r="EQ205" s="98">
        <f t="shared" si="160"/>
        <v>272802.02298054384</v>
      </c>
      <c r="ES205" s="99">
        <f t="shared" si="161"/>
        <v>0.39975809704365861</v>
      </c>
    </row>
    <row r="206" spans="2:149" x14ac:dyDescent="0.35">
      <c r="B206" s="87">
        <f t="shared" si="154"/>
        <v>-6.8852155401658878E-4</v>
      </c>
      <c r="C206" s="87">
        <f t="shared" ref="C206:BN209" si="253">C133-C56</f>
        <v>-2.6292990155075352E-3</v>
      </c>
      <c r="D206" s="87">
        <f t="shared" si="253"/>
        <v>-1.2604786736776698E-3</v>
      </c>
      <c r="E206" s="87">
        <f t="shared" si="253"/>
        <v>-8.9789585889294961E-4</v>
      </c>
      <c r="F206" s="87">
        <f t="shared" si="253"/>
        <v>-1.1619476017317742E-3</v>
      </c>
      <c r="G206" s="87">
        <f t="shared" si="253"/>
        <v>-6.5161617359762731E-4</v>
      </c>
      <c r="H206" s="87">
        <f t="shared" si="253"/>
        <v>-4.9020154816865778E-3</v>
      </c>
      <c r="I206" s="87">
        <f t="shared" si="253"/>
        <v>-2.7550377697051803E-2</v>
      </c>
      <c r="J206" s="87">
        <f t="shared" si="253"/>
        <v>-1.5838575152577695E-3</v>
      </c>
      <c r="K206" s="87">
        <f t="shared" si="253"/>
        <v>-7.5277017165805587E-4</v>
      </c>
      <c r="L206" s="87">
        <f t="shared" si="253"/>
        <v>-1.1383110193566156E-3</v>
      </c>
      <c r="M206" s="87">
        <f t="shared" si="253"/>
        <v>-7.2962717491604785E-4</v>
      </c>
      <c r="N206" s="87">
        <f t="shared" si="253"/>
        <v>-6.0598954506492909E-4</v>
      </c>
      <c r="O206" s="87">
        <f t="shared" si="253"/>
        <v>-1.8536581317893049E-3</v>
      </c>
      <c r="P206" s="87">
        <f t="shared" si="253"/>
        <v>-5.3328627127324302E-4</v>
      </c>
      <c r="Q206" s="87">
        <f t="shared" si="253"/>
        <v>-7.7662062366352772E-4</v>
      </c>
      <c r="R206" s="87">
        <f t="shared" si="253"/>
        <v>-5.4411354997563749E-3</v>
      </c>
      <c r="S206" s="87">
        <f t="shared" si="253"/>
        <v>-4.7756276362557462E-4</v>
      </c>
      <c r="T206" s="87">
        <f t="shared" si="253"/>
        <v>-4.4170059500292839E-4</v>
      </c>
      <c r="U206" s="87">
        <f t="shared" si="253"/>
        <v>-6.6956265306449209E-4</v>
      </c>
      <c r="V206" s="87">
        <f t="shared" si="253"/>
        <v>-2.3509176217477047E-4</v>
      </c>
      <c r="W206" s="87">
        <f t="shared" si="253"/>
        <v>-6.4728482714798469E-4</v>
      </c>
      <c r="X206" s="87">
        <f t="shared" si="253"/>
        <v>-3.5605720152993663E-4</v>
      </c>
      <c r="Y206" s="87">
        <f t="shared" si="253"/>
        <v>-2.841315157396267E-4</v>
      </c>
      <c r="Z206" s="87">
        <f t="shared" si="253"/>
        <v>-1.142579821146968E-3</v>
      </c>
      <c r="AA206" s="87">
        <f t="shared" si="253"/>
        <v>-1.5207510530744584E-4</v>
      </c>
      <c r="AB206" s="87">
        <f t="shared" si="253"/>
        <v>-1.6701176499390528E-4</v>
      </c>
      <c r="AC206" s="87">
        <f t="shared" si="253"/>
        <v>-5.7708279354666682E-5</v>
      </c>
      <c r="AD206" s="87">
        <f t="shared" si="253"/>
        <v>-8.5410176912626283E-5</v>
      </c>
      <c r="AE206" s="87">
        <f t="shared" si="253"/>
        <v>-4.9521153549752963E-4</v>
      </c>
      <c r="AF206" s="87">
        <f t="shared" si="253"/>
        <v>-1.3603095470503327E-4</v>
      </c>
      <c r="AG206" s="87">
        <f t="shared" si="253"/>
        <v>-9.2474697948494283E-5</v>
      </c>
      <c r="AH206" s="87">
        <f t="shared" si="253"/>
        <v>-2.9832925780181728E-4</v>
      </c>
      <c r="AI206" s="87">
        <f t="shared" si="253"/>
        <v>-1.5719041700708243E-4</v>
      </c>
      <c r="AJ206" s="87">
        <f t="shared" si="253"/>
        <v>0</v>
      </c>
      <c r="AK206" s="87">
        <f t="shared" si="253"/>
        <v>-3.091297033184005E-2</v>
      </c>
      <c r="AL206" s="87">
        <f t="shared" si="253"/>
        <v>-1.4515422795653319E-2</v>
      </c>
      <c r="AM206" s="87">
        <f t="shared" si="253"/>
        <v>-6.0973477634425004E-2</v>
      </c>
      <c r="AN206" s="87">
        <f t="shared" si="253"/>
        <v>-3.0602041827394646E-2</v>
      </c>
      <c r="AO206" s="87">
        <f t="shared" si="253"/>
        <v>-3.5526827709522688E-2</v>
      </c>
      <c r="AP206" s="87">
        <f t="shared" si="253"/>
        <v>-4.6678189771610756E-2</v>
      </c>
      <c r="AQ206" s="87">
        <f t="shared" si="253"/>
        <v>-4.2312119550559718E-2</v>
      </c>
      <c r="AR206" s="87">
        <f t="shared" si="253"/>
        <v>-5.3457575480149233E-2</v>
      </c>
      <c r="AS206" s="87">
        <f t="shared" si="253"/>
        <v>-3.7959333546359997E-2</v>
      </c>
      <c r="AT206" s="87">
        <f t="shared" si="253"/>
        <v>-3.8246045973453699E-2</v>
      </c>
      <c r="AU206" s="87">
        <f t="shared" si="253"/>
        <v>-3.3082490416471183E-2</v>
      </c>
      <c r="AV206" s="87">
        <f t="shared" si="253"/>
        <v>-3.4349565452497913E-2</v>
      </c>
      <c r="AW206" s="87">
        <f t="shared" si="253"/>
        <v>-3.3658794314633762E-2</v>
      </c>
      <c r="AX206" s="87">
        <f t="shared" si="253"/>
        <v>-2.8388014271403823E-2</v>
      </c>
      <c r="AY206" s="87">
        <f t="shared" si="253"/>
        <v>-3.7193863380482875E-2</v>
      </c>
      <c r="AZ206" s="87">
        <f t="shared" si="253"/>
        <v>-2.9588373397548339E-2</v>
      </c>
      <c r="BA206" s="87">
        <f t="shared" si="253"/>
        <v>-1.7213219473346014E-2</v>
      </c>
      <c r="BB206" s="87">
        <f t="shared" si="253"/>
        <v>-4.199585446206467E-2</v>
      </c>
      <c r="BC206" s="87">
        <f t="shared" si="253"/>
        <v>-3.0816595089164317E-2</v>
      </c>
      <c r="BD206" s="87">
        <f t="shared" si="253"/>
        <v>0.98714426016071688</v>
      </c>
      <c r="BE206" s="87">
        <f t="shared" si="253"/>
        <v>-1.1708842815181565E-2</v>
      </c>
      <c r="BF206" s="87">
        <f t="shared" si="253"/>
        <v>-4.6818089735592261E-2</v>
      </c>
      <c r="BG206" s="87">
        <f t="shared" si="253"/>
        <v>-2.1818198838161801E-2</v>
      </c>
      <c r="BH206" s="87">
        <f t="shared" si="253"/>
        <v>-1.7861742090486174E-2</v>
      </c>
      <c r="BI206" s="87">
        <f t="shared" si="253"/>
        <v>-2.2159852145150517E-2</v>
      </c>
      <c r="BJ206" s="87">
        <f t="shared" si="253"/>
        <v>-2.8227546397246006E-2</v>
      </c>
      <c r="BK206" s="87">
        <f t="shared" si="253"/>
        <v>-1.1845509697774217E-2</v>
      </c>
      <c r="BL206" s="87">
        <f t="shared" si="253"/>
        <v>-3.6986427352920059E-3</v>
      </c>
      <c r="BM206" s="87">
        <f t="shared" si="253"/>
        <v>-4.0024191257125846E-3</v>
      </c>
      <c r="BN206" s="87">
        <f t="shared" si="253"/>
        <v>-1.3851277430839921E-2</v>
      </c>
      <c r="BO206" s="87">
        <f t="shared" si="252"/>
        <v>-2.0235534199828813E-2</v>
      </c>
      <c r="BP206" s="87">
        <f t="shared" si="252"/>
        <v>-1.381989070158041E-2</v>
      </c>
      <c r="BQ206" s="87">
        <f t="shared" si="252"/>
        <v>-2.8834376079138958E-2</v>
      </c>
      <c r="BR206" s="87">
        <f t="shared" si="252"/>
        <v>-1.7233112948985659E-2</v>
      </c>
      <c r="BS206" s="87">
        <f t="shared" si="252"/>
        <v>-2.0426403017253456E-4</v>
      </c>
      <c r="BU206" s="97">
        <v>1553782.9231997461</v>
      </c>
      <c r="BV206" s="98">
        <v>3191820.1425217558</v>
      </c>
      <c r="BW206">
        <f t="shared" si="155"/>
        <v>-160.20002157382385</v>
      </c>
      <c r="BX206">
        <f t="shared" si="190"/>
        <v>-91.604032612335601</v>
      </c>
      <c r="BY206">
        <f t="shared" si="191"/>
        <v>-467.75615300925892</v>
      </c>
      <c r="BZ206">
        <f t="shared" si="192"/>
        <v>-68.401505882531467</v>
      </c>
      <c r="CA206">
        <f t="shared" si="193"/>
        <v>-17.442455613822084</v>
      </c>
      <c r="CB206">
        <f t="shared" si="194"/>
        <v>-33.59158013486384</v>
      </c>
      <c r="CC206">
        <f t="shared" si="195"/>
        <v>-871.4245825609778</v>
      </c>
      <c r="CD206">
        <f t="shared" si="196"/>
        <v>-3533.5854700828336</v>
      </c>
      <c r="CE206">
        <f t="shared" si="165"/>
        <v>-441.65486121946918</v>
      </c>
      <c r="CF206">
        <f t="shared" si="166"/>
        <v>-89.799815398725087</v>
      </c>
      <c r="CG206">
        <f t="shared" si="167"/>
        <v>-95.356362261085224</v>
      </c>
      <c r="CH206">
        <f t="shared" si="168"/>
        <v>-218.95533110265922</v>
      </c>
      <c r="CI206">
        <f t="shared" si="169"/>
        <v>-144.83411031217676</v>
      </c>
      <c r="CJ206">
        <f t="shared" si="170"/>
        <v>-692.35714599134781</v>
      </c>
      <c r="CK206">
        <f t="shared" si="171"/>
        <v>-179.0802823760533</v>
      </c>
      <c r="CL206">
        <f t="shared" si="172"/>
        <v>-61.062063009724639</v>
      </c>
      <c r="CM206">
        <f t="shared" si="173"/>
        <v>-1326.4478683477637</v>
      </c>
      <c r="CN206">
        <f t="shared" si="174"/>
        <v>-262.11583772120474</v>
      </c>
      <c r="CO206">
        <f t="shared" si="175"/>
        <v>-63.519610363715302</v>
      </c>
      <c r="CP206">
        <f t="shared" si="176"/>
        <v>-311.48392551328379</v>
      </c>
      <c r="CQ206">
        <f t="shared" si="177"/>
        <v>-80.481410063653186</v>
      </c>
      <c r="CR206">
        <f t="shared" si="178"/>
        <v>-140.38140329741202</v>
      </c>
      <c r="CS206">
        <f t="shared" si="179"/>
        <v>-72.015213651177675</v>
      </c>
      <c r="CT206">
        <f t="shared" si="180"/>
        <v>-12.8525036751853</v>
      </c>
      <c r="CU206">
        <f t="shared" si="181"/>
        <v>-53.206922648745582</v>
      </c>
      <c r="CV206">
        <f t="shared" si="182"/>
        <v>-26.588476551541458</v>
      </c>
      <c r="CW206">
        <f t="shared" si="183"/>
        <v>-46.896822552618907</v>
      </c>
      <c r="CX206">
        <f t="shared" si="184"/>
        <v>-30.875288274126191</v>
      </c>
      <c r="CY206">
        <f t="shared" si="185"/>
        <v>-47.794449850462762</v>
      </c>
      <c r="CZ206">
        <f t="shared" si="186"/>
        <v>-443.23234010043961</v>
      </c>
      <c r="DA206">
        <f t="shared" si="187"/>
        <v>-53.960550448962557</v>
      </c>
      <c r="DB206">
        <f t="shared" si="188"/>
        <v>-21.661271212653844</v>
      </c>
      <c r="DC206">
        <f t="shared" si="156"/>
        <v>-141.12758568326211</v>
      </c>
      <c r="DD206">
        <f t="shared" si="219"/>
        <v>-45.23664672510801</v>
      </c>
      <c r="DE206">
        <f t="shared" si="220"/>
        <v>0</v>
      </c>
      <c r="DF206">
        <f t="shared" si="221"/>
        <v>-39763.664440512817</v>
      </c>
      <c r="DG206">
        <f t="shared" si="222"/>
        <v>-12964.36261740103</v>
      </c>
      <c r="DH206">
        <f t="shared" si="223"/>
        <v>-98993.393510590628</v>
      </c>
      <c r="DI206">
        <f t="shared" si="224"/>
        <v>-22120.125220218986</v>
      </c>
      <c r="DJ206">
        <f t="shared" si="225"/>
        <v>-3834.2773325325043</v>
      </c>
      <c r="DK206">
        <f t="shared" si="226"/>
        <v>-11310.210251967848</v>
      </c>
      <c r="DL206">
        <f t="shared" si="227"/>
        <v>-27896.929584381236</v>
      </c>
      <c r="DM206">
        <f t="shared" si="157"/>
        <v>-28040.264809974895</v>
      </c>
      <c r="DN206">
        <f t="shared" si="211"/>
        <v>-40819.544807805949</v>
      </c>
      <c r="DO206">
        <f t="shared" si="212"/>
        <v>-19544.82865278907</v>
      </c>
      <c r="DP206">
        <f t="shared" si="213"/>
        <v>-13483.086338790161</v>
      </c>
      <c r="DQ206">
        <f t="shared" si="214"/>
        <v>-53916.799414352776</v>
      </c>
      <c r="DR206">
        <f t="shared" si="215"/>
        <v>-32223.147513050437</v>
      </c>
      <c r="DS206">
        <f t="shared" si="216"/>
        <v>-87523.776071065367</v>
      </c>
      <c r="DT206">
        <f t="shared" si="217"/>
        <v>-52976.918957791204</v>
      </c>
      <c r="DU206">
        <f t="shared" si="218"/>
        <v>-8475.0571991637953</v>
      </c>
      <c r="DV206">
        <f t="shared" si="199"/>
        <v>-14133.783178417381</v>
      </c>
      <c r="DW206">
        <f t="shared" si="200"/>
        <v>-96554.210171502156</v>
      </c>
      <c r="DX206">
        <f t="shared" si="201"/>
        <v>-9029.7099695720335</v>
      </c>
      <c r="DY206">
        <f t="shared" si="202"/>
        <v>1890472.1598934275</v>
      </c>
      <c r="DZ206">
        <f t="shared" si="203"/>
        <v>-16680.403589438833</v>
      </c>
      <c r="EA206">
        <f t="shared" si="204"/>
        <v>-41846.353277882954</v>
      </c>
      <c r="EB206">
        <f t="shared" si="205"/>
        <v>-19048.271754632096</v>
      </c>
      <c r="EC206">
        <f t="shared" si="206"/>
        <v>-3084.1509344477022</v>
      </c>
      <c r="ED206">
        <f t="shared" si="207"/>
        <v>-3507.3642046345462</v>
      </c>
      <c r="EE206">
        <f t="shared" si="208"/>
        <v>-9594.2487903726906</v>
      </c>
      <c r="EF206">
        <f t="shared" si="209"/>
        <v>-12629.183436951276</v>
      </c>
      <c r="EG206">
        <f t="shared" si="158"/>
        <v>-8879.2142069168749</v>
      </c>
      <c r="EH206">
        <f t="shared" si="228"/>
        <v>-8197.6231241746154</v>
      </c>
      <c r="EI206">
        <f t="shared" si="229"/>
        <v>-36114.273332284451</v>
      </c>
      <c r="EJ206">
        <f t="shared" si="230"/>
        <v>-44996.973069080763</v>
      </c>
      <c r="EK206">
        <f t="shared" si="231"/>
        <v>-7907.830487498577</v>
      </c>
      <c r="EL206">
        <f t="shared" si="232"/>
        <v>-38395.999669840297</v>
      </c>
      <c r="EM206">
        <f t="shared" si="159"/>
        <v>-18193.139212499114</v>
      </c>
      <c r="EN206">
        <f t="shared" si="152"/>
        <v>-2.81144181822284</v>
      </c>
      <c r="EO206">
        <v>55</v>
      </c>
      <c r="EP206">
        <f t="shared" si="243"/>
        <v>937443.24541925103</v>
      </c>
      <c r="EQ206" s="98">
        <f t="shared" si="160"/>
        <v>1553782.9231997461</v>
      </c>
      <c r="ES206" s="99">
        <f t="shared" si="161"/>
        <v>0.39667038978086494</v>
      </c>
    </row>
    <row r="207" spans="2:149" x14ac:dyDescent="0.35">
      <c r="B207" s="87">
        <f t="shared" si="154"/>
        <v>-1.5176745095644918E-4</v>
      </c>
      <c r="C207" s="87">
        <f t="shared" si="253"/>
        <v>-8.9562001510754813E-5</v>
      </c>
      <c r="D207" s="87">
        <f t="shared" si="253"/>
        <v>-2.4356866980133169E-4</v>
      </c>
      <c r="E207" s="87">
        <f t="shared" si="253"/>
        <v>-2.6213782871004483E-4</v>
      </c>
      <c r="F207" s="87">
        <f t="shared" si="253"/>
        <v>-3.5435768546042976E-4</v>
      </c>
      <c r="G207" s="87">
        <f t="shared" si="253"/>
        <v>-2.0182131997207548E-4</v>
      </c>
      <c r="H207" s="87">
        <f t="shared" si="253"/>
        <v>-1.9815711651976643E-4</v>
      </c>
      <c r="I207" s="87">
        <f t="shared" si="253"/>
        <v>-2.9386320465585932E-4</v>
      </c>
      <c r="J207" s="87">
        <f t="shared" si="253"/>
        <v>-2.3956642584390292E-4</v>
      </c>
      <c r="K207" s="87">
        <f t="shared" si="253"/>
        <v>-2.2166003646820461E-4</v>
      </c>
      <c r="L207" s="87">
        <f t="shared" si="253"/>
        <v>-1.8613083069277594E-4</v>
      </c>
      <c r="M207" s="87">
        <f t="shared" si="253"/>
        <v>-1.8099330801843165E-4</v>
      </c>
      <c r="N207" s="87">
        <f t="shared" si="253"/>
        <v>-2.0499154627650213E-4</v>
      </c>
      <c r="O207" s="87">
        <f t="shared" si="253"/>
        <v>-1.9874303561659765E-4</v>
      </c>
      <c r="P207" s="87">
        <f t="shared" si="253"/>
        <v>-2.0726111861618725E-4</v>
      </c>
      <c r="Q207" s="87">
        <f t="shared" si="253"/>
        <v>-2.2675999814837831E-4</v>
      </c>
      <c r="R207" s="87">
        <f t="shared" si="253"/>
        <v>-7.1832744581226888E-5</v>
      </c>
      <c r="S207" s="87">
        <f t="shared" si="253"/>
        <v>-1.2469013452276372E-4</v>
      </c>
      <c r="T207" s="87">
        <f t="shared" si="253"/>
        <v>-9.857594790480399E-5</v>
      </c>
      <c r="U207" s="87">
        <f t="shared" si="253"/>
        <v>-1.8150365466866413E-4</v>
      </c>
      <c r="V207" s="87">
        <f t="shared" si="253"/>
        <v>-7.980664596457705E-5</v>
      </c>
      <c r="W207" s="87">
        <f t="shared" si="253"/>
        <v>-1.6532299532680961E-4</v>
      </c>
      <c r="X207" s="87">
        <f t="shared" si="253"/>
        <v>-9.2694356995108446E-5</v>
      </c>
      <c r="Y207" s="87">
        <f t="shared" si="253"/>
        <v>-9.8093005106268704E-5</v>
      </c>
      <c r="Z207" s="87">
        <f t="shared" si="253"/>
        <v>-1.3367769601843875E-4</v>
      </c>
      <c r="AA207" s="87">
        <f t="shared" si="253"/>
        <v>-7.342443668491839E-5</v>
      </c>
      <c r="AB207" s="87">
        <f t="shared" si="253"/>
        <v>-4.7658596973435857E-5</v>
      </c>
      <c r="AC207" s="87">
        <f t="shared" si="253"/>
        <v>-3.4758351210880116E-5</v>
      </c>
      <c r="AD207" s="87">
        <f t="shared" si="253"/>
        <v>-1.7825911591191262E-5</v>
      </c>
      <c r="AE207" s="87">
        <f t="shared" si="253"/>
        <v>-7.0270133024354366E-5</v>
      </c>
      <c r="AF207" s="87">
        <f t="shared" si="253"/>
        <v>-6.3541815130985056E-5</v>
      </c>
      <c r="AG207" s="87">
        <f t="shared" si="253"/>
        <v>-3.6097138321841486E-5</v>
      </c>
      <c r="AH207" s="87">
        <f t="shared" si="253"/>
        <v>-8.1555731179902216E-5</v>
      </c>
      <c r="AI207" s="87">
        <f t="shared" si="253"/>
        <v>-7.1910385036671513E-5</v>
      </c>
      <c r="AJ207" s="87">
        <f t="shared" si="253"/>
        <v>0</v>
      </c>
      <c r="AK207" s="87">
        <f t="shared" si="253"/>
        <v>-1.2796949840501014E-2</v>
      </c>
      <c r="AL207" s="87">
        <f t="shared" si="253"/>
        <v>-5.4874788197667064E-3</v>
      </c>
      <c r="AM207" s="87">
        <f t="shared" si="253"/>
        <v>-2.0505045126968834E-2</v>
      </c>
      <c r="AN207" s="87">
        <f t="shared" si="253"/>
        <v>-1.3171576114354941E-2</v>
      </c>
      <c r="AO207" s="87">
        <f t="shared" si="253"/>
        <v>-1.5360173748123372E-2</v>
      </c>
      <c r="AP207" s="87">
        <f t="shared" si="253"/>
        <v>-1.2351139024826126E-2</v>
      </c>
      <c r="AQ207" s="87">
        <f t="shared" si="253"/>
        <v>-1.2082559830109019E-2</v>
      </c>
      <c r="AR207" s="87">
        <f t="shared" si="253"/>
        <v>-1.5468533818131056E-2</v>
      </c>
      <c r="AS207" s="87">
        <f t="shared" si="253"/>
        <v>-1.1843755057086456E-2</v>
      </c>
      <c r="AT207" s="87">
        <f t="shared" si="253"/>
        <v>-1.1465123780997051E-2</v>
      </c>
      <c r="AU207" s="87">
        <f t="shared" si="253"/>
        <v>-1.1507751002761669E-2</v>
      </c>
      <c r="AV207" s="87">
        <f t="shared" si="253"/>
        <v>-1.0908816757357602E-2</v>
      </c>
      <c r="AW207" s="87">
        <f t="shared" si="253"/>
        <v>-8.6660055284080995E-3</v>
      </c>
      <c r="AX207" s="87">
        <f t="shared" si="253"/>
        <v>-7.9290287988578734E-3</v>
      </c>
      <c r="AY207" s="87">
        <f t="shared" si="253"/>
        <v>-1.1135976122300875E-2</v>
      </c>
      <c r="AZ207" s="87">
        <f t="shared" si="253"/>
        <v>-1.5776641898646918E-2</v>
      </c>
      <c r="BA207" s="87">
        <f t="shared" si="253"/>
        <v>-6.3286950545842777E-3</v>
      </c>
      <c r="BB207" s="87">
        <f t="shared" si="253"/>
        <v>-2.4209773160062221E-2</v>
      </c>
      <c r="BC207" s="87">
        <f t="shared" si="253"/>
        <v>-1.3040759197872799E-2</v>
      </c>
      <c r="BD207" s="87">
        <f t="shared" si="253"/>
        <v>-4.2338679445202239E-3</v>
      </c>
      <c r="BE207" s="87">
        <f t="shared" si="253"/>
        <v>0.99464814006653457</v>
      </c>
      <c r="BF207" s="87">
        <f t="shared" si="253"/>
        <v>-1.8808201187979733E-2</v>
      </c>
      <c r="BG207" s="87">
        <f t="shared" si="253"/>
        <v>-1.476877211680055E-2</v>
      </c>
      <c r="BH207" s="87">
        <f t="shared" si="253"/>
        <v>-6.19165952203135E-3</v>
      </c>
      <c r="BI207" s="87">
        <f t="shared" si="253"/>
        <v>-8.9292258034635429E-3</v>
      </c>
      <c r="BJ207" s="87">
        <f t="shared" si="253"/>
        <v>-1.2282373865365298E-2</v>
      </c>
      <c r="BK207" s="87">
        <f t="shared" si="253"/>
        <v>-7.5134148359821467E-3</v>
      </c>
      <c r="BL207" s="87">
        <f t="shared" si="253"/>
        <v>-4.9902078428179144E-3</v>
      </c>
      <c r="BM207" s="87">
        <f t="shared" si="253"/>
        <v>-3.2065743567712868E-3</v>
      </c>
      <c r="BN207" s="87">
        <f t="shared" si="253"/>
        <v>-9.1478512180620062E-3</v>
      </c>
      <c r="BO207" s="87">
        <f t="shared" si="252"/>
        <v>-7.5234817449728215E-3</v>
      </c>
      <c r="BP207" s="87">
        <f t="shared" si="252"/>
        <v>-5.9486658085350736E-3</v>
      </c>
      <c r="BQ207" s="87">
        <f t="shared" si="252"/>
        <v>-9.6658627658665723E-3</v>
      </c>
      <c r="BR207" s="87">
        <f t="shared" si="252"/>
        <v>-1.054521949538326E-2</v>
      </c>
      <c r="BS207" s="87">
        <f t="shared" si="252"/>
        <v>-3.2491211823674235E-4</v>
      </c>
      <c r="BU207" s="97">
        <v>1721984.4108638454</v>
      </c>
      <c r="BV207" s="98">
        <v>2374331.3568970845</v>
      </c>
      <c r="BW207">
        <f t="shared" si="155"/>
        <v>-35.312110093857171</v>
      </c>
      <c r="BX207">
        <f t="shared" si="190"/>
        <v>-3.1203147526503616</v>
      </c>
      <c r="BY207">
        <f t="shared" si="191"/>
        <v>-90.386887425425641</v>
      </c>
      <c r="BZ207">
        <f t="shared" si="192"/>
        <v>-19.969601212607788</v>
      </c>
      <c r="CA207">
        <f t="shared" si="193"/>
        <v>-5.3194035521466434</v>
      </c>
      <c r="CB207">
        <f t="shared" si="194"/>
        <v>-10.404126412847919</v>
      </c>
      <c r="CC207">
        <f t="shared" si="195"/>
        <v>-35.226119376781917</v>
      </c>
      <c r="CD207">
        <f t="shared" si="196"/>
        <v>-37.690617587251516</v>
      </c>
      <c r="CE207">
        <f t="shared" si="165"/>
        <v>-66.802522032238201</v>
      </c>
      <c r="CF207">
        <f t="shared" si="166"/>
        <v>-26.442373921746277</v>
      </c>
      <c r="CG207">
        <f t="shared" si="167"/>
        <v>-15.592187563578918</v>
      </c>
      <c r="CH207">
        <f t="shared" si="168"/>
        <v>-54.314656919269929</v>
      </c>
      <c r="CI207">
        <f t="shared" si="169"/>
        <v>-48.993862135515009</v>
      </c>
      <c r="CJ207">
        <f t="shared" si="170"/>
        <v>-74.232221446540549</v>
      </c>
      <c r="CK207">
        <f t="shared" si="171"/>
        <v>-69.599353380589761</v>
      </c>
      <c r="CL207">
        <f t="shared" si="172"/>
        <v>-17.829082660339331</v>
      </c>
      <c r="CM207">
        <f t="shared" si="173"/>
        <v>-17.511490190164171</v>
      </c>
      <c r="CN207">
        <f t="shared" si="174"/>
        <v>-68.437620257237455</v>
      </c>
      <c r="CO207">
        <f t="shared" si="175"/>
        <v>-14.175905291921861</v>
      </c>
      <c r="CP207">
        <f t="shared" si="176"/>
        <v>-84.436416207577039</v>
      </c>
      <c r="CQ207">
        <f t="shared" si="177"/>
        <v>-27.321039836797887</v>
      </c>
      <c r="CR207">
        <f t="shared" si="178"/>
        <v>-35.854809363549407</v>
      </c>
      <c r="CS207">
        <f t="shared" si="179"/>
        <v>-18.748122196596029</v>
      </c>
      <c r="CT207">
        <f t="shared" si="180"/>
        <v>-4.4371730652843535</v>
      </c>
      <c r="CU207">
        <f t="shared" si="181"/>
        <v>-6.2250170187459641</v>
      </c>
      <c r="CV207">
        <f t="shared" si="182"/>
        <v>-12.837366833712185</v>
      </c>
      <c r="CW207">
        <f t="shared" si="183"/>
        <v>-13.382510899466062</v>
      </c>
      <c r="CX207">
        <f t="shared" si="184"/>
        <v>-18.59653633014554</v>
      </c>
      <c r="CY207">
        <f t="shared" si="185"/>
        <v>-9.9751536453968459</v>
      </c>
      <c r="CZ207">
        <f t="shared" si="186"/>
        <v>-62.894325489130573</v>
      </c>
      <c r="DA207">
        <f t="shared" si="187"/>
        <v>-25.205669756777091</v>
      </c>
      <c r="DB207">
        <f t="shared" si="188"/>
        <v>-8.4553928862313228</v>
      </c>
      <c r="DC207">
        <f t="shared" si="156"/>
        <v>-38.580739699687044</v>
      </c>
      <c r="DD207">
        <f t="shared" si="219"/>
        <v>-20.694548342751929</v>
      </c>
      <c r="DE207">
        <f t="shared" si="220"/>
        <v>0</v>
      </c>
      <c r="DF207">
        <f t="shared" si="221"/>
        <v>-16460.845200489912</v>
      </c>
      <c r="DG207">
        <f t="shared" si="222"/>
        <v>-4901.1087225145775</v>
      </c>
      <c r="DH207">
        <f t="shared" si="223"/>
        <v>-33290.933697053952</v>
      </c>
      <c r="DI207">
        <f t="shared" si="224"/>
        <v>-9520.8324542696646</v>
      </c>
      <c r="DJ207">
        <f t="shared" si="225"/>
        <v>-1657.7659707681667</v>
      </c>
      <c r="DK207">
        <f t="shared" si="226"/>
        <v>-2992.7034425621455</v>
      </c>
      <c r="DL207">
        <f t="shared" si="227"/>
        <v>-7966.1885143063173</v>
      </c>
      <c r="DM207">
        <f t="shared" si="157"/>
        <v>-8113.7571351980059</v>
      </c>
      <c r="DN207">
        <f t="shared" si="211"/>
        <v>-12736.174349714805</v>
      </c>
      <c r="DO207">
        <f t="shared" si="212"/>
        <v>-5859.0077504518904</v>
      </c>
      <c r="DP207">
        <f t="shared" si="213"/>
        <v>-4690.0943182404199</v>
      </c>
      <c r="DQ207">
        <f t="shared" si="214"/>
        <v>-17123.025494100053</v>
      </c>
      <c r="DR207">
        <f t="shared" si="215"/>
        <v>-8296.3748457679485</v>
      </c>
      <c r="DS207">
        <f t="shared" si="216"/>
        <v>-24446.181209346942</v>
      </c>
      <c r="DT207">
        <f t="shared" si="217"/>
        <v>-15861.479580973077</v>
      </c>
      <c r="DU207">
        <f t="shared" si="218"/>
        <v>-4518.9352150340119</v>
      </c>
      <c r="DV207">
        <f t="shared" si="199"/>
        <v>-5196.4946965513245</v>
      </c>
      <c r="DW207">
        <f t="shared" si="200"/>
        <v>-55661.577930568834</v>
      </c>
      <c r="DX207">
        <f t="shared" si="201"/>
        <v>-3821.1318609051905</v>
      </c>
      <c r="DY207">
        <f t="shared" si="202"/>
        <v>-8108.2469916581003</v>
      </c>
      <c r="DZ207">
        <f t="shared" si="203"/>
        <v>1416974.5608236019</v>
      </c>
      <c r="EA207">
        <f t="shared" si="204"/>
        <v>-16810.908686762574</v>
      </c>
      <c r="EB207">
        <f t="shared" si="205"/>
        <v>-12893.804243409828</v>
      </c>
      <c r="EC207">
        <f t="shared" si="206"/>
        <v>-1069.1013454295842</v>
      </c>
      <c r="ED207">
        <f t="shared" si="207"/>
        <v>-1413.2786966731114</v>
      </c>
      <c r="EE207">
        <f t="shared" si="208"/>
        <v>-4174.6508514173629</v>
      </c>
      <c r="EF207">
        <f t="shared" si="209"/>
        <v>-8010.4863887249458</v>
      </c>
      <c r="EG207">
        <f t="shared" si="158"/>
        <v>-11979.833561815656</v>
      </c>
      <c r="EH207">
        <f t="shared" si="228"/>
        <v>-6567.6000615686826</v>
      </c>
      <c r="EI207">
        <f t="shared" si="229"/>
        <v>-23851.085283772958</v>
      </c>
      <c r="EJ207">
        <f t="shared" si="230"/>
        <v>-16729.674745484441</v>
      </c>
      <c r="EK207">
        <f t="shared" si="231"/>
        <v>-3403.8648970859463</v>
      </c>
      <c r="EL207">
        <f t="shared" si="232"/>
        <v>-12871.111292587992</v>
      </c>
      <c r="EM207">
        <f t="shared" si="159"/>
        <v>-11132.675035194941</v>
      </c>
      <c r="EN207">
        <f t="shared" si="152"/>
        <v>-4.4720135781447388</v>
      </c>
      <c r="EO207">
        <v>56</v>
      </c>
      <c r="EP207">
        <f t="shared" si="243"/>
        <v>1033740.1490618356</v>
      </c>
      <c r="EQ207" s="98">
        <f t="shared" si="160"/>
        <v>1721984.4108638454</v>
      </c>
      <c r="ES207" s="99">
        <f t="shared" si="161"/>
        <v>0.39968088994298578</v>
      </c>
    </row>
    <row r="208" spans="2:149" x14ac:dyDescent="0.35">
      <c r="B208" s="87">
        <f t="shared" si="154"/>
        <v>-9.3725960069645679E-5</v>
      </c>
      <c r="C208" s="87">
        <f t="shared" si="253"/>
        <v>-7.5595645350908891E-4</v>
      </c>
      <c r="D208" s="87">
        <f t="shared" si="253"/>
        <v>-2.5369499015889113E-4</v>
      </c>
      <c r="E208" s="87">
        <f t="shared" si="253"/>
        <v>-3.1849781059191824E-4</v>
      </c>
      <c r="F208" s="87">
        <f t="shared" si="253"/>
        <v>-3.2527540000102653E-4</v>
      </c>
      <c r="G208" s="87">
        <f t="shared" si="253"/>
        <v>-2.3823137381516184E-4</v>
      </c>
      <c r="H208" s="87">
        <f t="shared" si="253"/>
        <v>-3.4983510287997277E-4</v>
      </c>
      <c r="I208" s="87">
        <f t="shared" si="253"/>
        <v>-1.329749692587313E-4</v>
      </c>
      <c r="J208" s="87">
        <f t="shared" si="253"/>
        <v>-2.3729126493009489E-4</v>
      </c>
      <c r="K208" s="87">
        <f t="shared" si="253"/>
        <v>-2.7047697228652637E-4</v>
      </c>
      <c r="L208" s="87">
        <f t="shared" si="253"/>
        <v>-2.9774505816870816E-4</v>
      </c>
      <c r="M208" s="87">
        <f t="shared" si="253"/>
        <v>-3.0469747787250148E-4</v>
      </c>
      <c r="N208" s="87">
        <f t="shared" si="253"/>
        <v>-3.7031308270515847E-4</v>
      </c>
      <c r="O208" s="87">
        <f t="shared" si="253"/>
        <v>-3.0144488334769826E-4</v>
      </c>
      <c r="P208" s="87">
        <f t="shared" si="253"/>
        <v>-2.3105997363098103E-4</v>
      </c>
      <c r="Q208" s="87">
        <f t="shared" si="253"/>
        <v>-3.1506955140719444E-4</v>
      </c>
      <c r="R208" s="87">
        <f t="shared" si="253"/>
        <v>-2.3413610146393618E-4</v>
      </c>
      <c r="S208" s="87">
        <f t="shared" si="253"/>
        <v>-4.1135965068455813E-4</v>
      </c>
      <c r="T208" s="87">
        <f t="shared" si="253"/>
        <v>-6.1197352859775295E-4</v>
      </c>
      <c r="U208" s="87">
        <f t="shared" si="253"/>
        <v>-8.062763864103656E-4</v>
      </c>
      <c r="V208" s="87">
        <f t="shared" si="253"/>
        <v>-3.1222973027350566E-3</v>
      </c>
      <c r="W208" s="87">
        <f t="shared" si="253"/>
        <v>-1.0547086148148756E-3</v>
      </c>
      <c r="X208" s="87">
        <f t="shared" si="253"/>
        <v>-7.703039723238838E-4</v>
      </c>
      <c r="Y208" s="87">
        <f t="shared" si="253"/>
        <v>-3.0928879916089914E-4</v>
      </c>
      <c r="Z208" s="87">
        <f t="shared" si="253"/>
        <v>-3.6544039019329316E-3</v>
      </c>
      <c r="AA208" s="87">
        <f t="shared" si="253"/>
        <v>-3.2376336611286884E-3</v>
      </c>
      <c r="AB208" s="87">
        <f t="shared" si="253"/>
        <v>-4.2778640329383261E-4</v>
      </c>
      <c r="AC208" s="87">
        <f t="shared" si="253"/>
        <v>-7.910077179809279E-4</v>
      </c>
      <c r="AD208" s="87">
        <f t="shared" si="253"/>
        <v>-1.3908365494747055E-4</v>
      </c>
      <c r="AE208" s="87">
        <f t="shared" si="253"/>
        <v>-6.7632202349408746E-4</v>
      </c>
      <c r="AF208" s="87">
        <f t="shared" si="253"/>
        <v>-1.4981035103741919E-3</v>
      </c>
      <c r="AG208" s="87">
        <f t="shared" si="253"/>
        <v>-9.7154604009939798E-4</v>
      </c>
      <c r="AH208" s="87">
        <f t="shared" si="253"/>
        <v>-1.1820117489023583E-3</v>
      </c>
      <c r="AI208" s="87">
        <f t="shared" si="253"/>
        <v>-1.0480734041441173E-3</v>
      </c>
      <c r="AJ208" s="87">
        <f t="shared" si="253"/>
        <v>0</v>
      </c>
      <c r="AK208" s="87">
        <f t="shared" si="253"/>
        <v>-1.6609680547123782E-3</v>
      </c>
      <c r="AL208" s="87">
        <f t="shared" si="253"/>
        <v>-3.1146008921576389E-3</v>
      </c>
      <c r="AM208" s="87">
        <f t="shared" si="253"/>
        <v>-4.3382137914530208E-3</v>
      </c>
      <c r="AN208" s="87">
        <f t="shared" si="253"/>
        <v>-3.7038387406747495E-3</v>
      </c>
      <c r="AO208" s="87">
        <f t="shared" si="253"/>
        <v>-4.0266775770008605E-3</v>
      </c>
      <c r="AP208" s="87">
        <f t="shared" si="253"/>
        <v>-4.0370192084448319E-3</v>
      </c>
      <c r="AQ208" s="87">
        <f t="shared" si="253"/>
        <v>-5.4846100967712863E-3</v>
      </c>
      <c r="AR208" s="87">
        <f t="shared" si="253"/>
        <v>-9.0309959360323946E-4</v>
      </c>
      <c r="AS208" s="87">
        <f t="shared" si="253"/>
        <v>-4.1382554057673845E-3</v>
      </c>
      <c r="AT208" s="87">
        <f t="shared" si="253"/>
        <v>-4.7532453823121374E-3</v>
      </c>
      <c r="AU208" s="87">
        <f t="shared" si="253"/>
        <v>-6.0960916108617836E-3</v>
      </c>
      <c r="AV208" s="87">
        <f t="shared" si="253"/>
        <v>-4.3725175775772458E-3</v>
      </c>
      <c r="AW208" s="87">
        <f t="shared" si="253"/>
        <v>-5.0970411290695147E-3</v>
      </c>
      <c r="AX208" s="87">
        <f t="shared" si="253"/>
        <v>-3.4277151866578819E-3</v>
      </c>
      <c r="AY208" s="87">
        <f t="shared" si="253"/>
        <v>-2.7785925334656287E-3</v>
      </c>
      <c r="AZ208" s="87">
        <f t="shared" si="253"/>
        <v>-3.4051688522670569E-3</v>
      </c>
      <c r="BA208" s="87">
        <f t="shared" si="253"/>
        <v>-3.4636789977193893E-3</v>
      </c>
      <c r="BB208" s="87">
        <f t="shared" si="253"/>
        <v>-5.8341308272194265E-3</v>
      </c>
      <c r="BC208" s="87">
        <f t="shared" si="253"/>
        <v>-4.4696505369006745E-3</v>
      </c>
      <c r="BD208" s="87">
        <f t="shared" si="253"/>
        <v>-6.9963401247160294E-3</v>
      </c>
      <c r="BE208" s="87">
        <f t="shared" si="253"/>
        <v>-3.9316101937694366E-3</v>
      </c>
      <c r="BF208" s="87">
        <f t="shared" si="253"/>
        <v>0.9896558894057671</v>
      </c>
      <c r="BG208" s="87">
        <f t="shared" si="253"/>
        <v>-8.0651246426198236E-3</v>
      </c>
      <c r="BH208" s="87">
        <f t="shared" si="253"/>
        <v>-4.235950181988214E-3</v>
      </c>
      <c r="BI208" s="87">
        <f t="shared" si="253"/>
        <v>-1.5805536760756016E-2</v>
      </c>
      <c r="BJ208" s="87">
        <f t="shared" si="253"/>
        <v>-2.4674928001549936E-2</v>
      </c>
      <c r="BK208" s="87">
        <f t="shared" si="253"/>
        <v>-8.4248300283880223E-3</v>
      </c>
      <c r="BL208" s="87">
        <f t="shared" si="253"/>
        <v>-1.2231912497746441E-2</v>
      </c>
      <c r="BM208" s="87">
        <f t="shared" si="253"/>
        <v>-2.2236754599857002E-3</v>
      </c>
      <c r="BN208" s="87">
        <f t="shared" si="253"/>
        <v>-1.5418806629839348E-2</v>
      </c>
      <c r="BO208" s="87">
        <f t="shared" si="252"/>
        <v>-1.2029861628172461E-2</v>
      </c>
      <c r="BP208" s="87">
        <f t="shared" si="252"/>
        <v>-1.2607839204322884E-2</v>
      </c>
      <c r="BQ208" s="87">
        <f t="shared" si="252"/>
        <v>-8.7894156697735266E-3</v>
      </c>
      <c r="BR208" s="87">
        <f t="shared" si="252"/>
        <v>-1.2562061342240027E-2</v>
      </c>
      <c r="BS208" s="87">
        <f t="shared" si="252"/>
        <v>-1.0152243702237057E-4</v>
      </c>
      <c r="BU208" s="97">
        <v>1034317.1594565193</v>
      </c>
      <c r="BV208" s="98">
        <v>1489678.9365753187</v>
      </c>
      <c r="BW208">
        <f t="shared" si="155"/>
        <v>-21.807452123456443</v>
      </c>
      <c r="BX208">
        <f t="shared" si="190"/>
        <v>-26.337308618124226</v>
      </c>
      <c r="BY208">
        <f t="shared" si="191"/>
        <v>-94.144704795529449</v>
      </c>
      <c r="BZ208">
        <f t="shared" si="192"/>
        <v>-24.263092037908443</v>
      </c>
      <c r="CA208">
        <f t="shared" si="193"/>
        <v>-4.8828378477051428</v>
      </c>
      <c r="CB208">
        <f t="shared" si="194"/>
        <v>-12.281107511447827</v>
      </c>
      <c r="CC208">
        <f t="shared" si="195"/>
        <v>-62.189707403263697</v>
      </c>
      <c r="CD208">
        <f t="shared" si="196"/>
        <v>-17.055244193898897</v>
      </c>
      <c r="CE208">
        <f t="shared" si="165"/>
        <v>-66.16809887992811</v>
      </c>
      <c r="CF208">
        <f t="shared" si="166"/>
        <v>-32.265866921158079</v>
      </c>
      <c r="CG208">
        <f t="shared" si="167"/>
        <v>-24.94211612238507</v>
      </c>
      <c r="CH208">
        <f t="shared" si="168"/>
        <v>-91.437297632719208</v>
      </c>
      <c r="CI208">
        <f t="shared" si="169"/>
        <v>-88.506421121200219</v>
      </c>
      <c r="CJ208">
        <f t="shared" si="170"/>
        <v>-112.59223884333261</v>
      </c>
      <c r="CK208">
        <f t="shared" si="171"/>
        <v>-77.591131729018912</v>
      </c>
      <c r="CL208">
        <f t="shared" si="172"/>
        <v>-24.772451586100328</v>
      </c>
      <c r="CM208">
        <f t="shared" si="173"/>
        <v>-57.07803687373702</v>
      </c>
      <c r="CN208">
        <f t="shared" si="174"/>
        <v>-225.77949466852212</v>
      </c>
      <c r="CO208">
        <f t="shared" si="175"/>
        <v>-88.006039677577377</v>
      </c>
      <c r="CP208">
        <f t="shared" si="176"/>
        <v>-375.08384426509525</v>
      </c>
      <c r="CQ208">
        <f t="shared" si="177"/>
        <v>-1068.8885362782225</v>
      </c>
      <c r="CR208">
        <f t="shared" si="178"/>
        <v>-228.74238543479942</v>
      </c>
      <c r="CS208">
        <f t="shared" si="179"/>
        <v>-155.79969989342072</v>
      </c>
      <c r="CT208">
        <f t="shared" si="180"/>
        <v>-13.990476971769127</v>
      </c>
      <c r="CU208">
        <f t="shared" si="181"/>
        <v>-170.17593181562859</v>
      </c>
      <c r="CV208">
        <f t="shared" si="182"/>
        <v>-566.06074023337635</v>
      </c>
      <c r="CW208">
        <f t="shared" si="183"/>
        <v>-120.12221442259501</v>
      </c>
      <c r="CX208">
        <f t="shared" si="184"/>
        <v>-423.20775446486925</v>
      </c>
      <c r="CY208">
        <f t="shared" si="185"/>
        <v>-77.829446228711092</v>
      </c>
      <c r="CZ208">
        <f t="shared" si="186"/>
        <v>-605.33281566952564</v>
      </c>
      <c r="DA208">
        <f t="shared" si="187"/>
        <v>-594.26540249315315</v>
      </c>
      <c r="DB208">
        <f t="shared" si="188"/>
        <v>-227.57492305510786</v>
      </c>
      <c r="DC208">
        <f t="shared" si="156"/>
        <v>-559.16226789481163</v>
      </c>
      <c r="DD208">
        <f t="shared" si="219"/>
        <v>-301.61715470932688</v>
      </c>
      <c r="DE208">
        <f t="shared" si="220"/>
        <v>0</v>
      </c>
      <c r="DF208">
        <f t="shared" si="221"/>
        <v>-2136.5199029731361</v>
      </c>
      <c r="DG208">
        <f t="shared" si="222"/>
        <v>-2781.7870648937578</v>
      </c>
      <c r="DH208">
        <f t="shared" si="223"/>
        <v>-7043.300163478204</v>
      </c>
      <c r="DI208">
        <f t="shared" si="224"/>
        <v>-2677.2519690461072</v>
      </c>
      <c r="DJ208">
        <f t="shared" si="225"/>
        <v>-434.58421576922547</v>
      </c>
      <c r="DK208">
        <f t="shared" si="226"/>
        <v>-978.17709431640333</v>
      </c>
      <c r="DL208">
        <f t="shared" si="227"/>
        <v>-3616.0746209980621</v>
      </c>
      <c r="DM208">
        <f t="shared" si="157"/>
        <v>-473.70557918061513</v>
      </c>
      <c r="DN208">
        <f t="shared" si="211"/>
        <v>-4450.0702773288076</v>
      </c>
      <c r="DO208">
        <f t="shared" si="212"/>
        <v>-2429.0449947802126</v>
      </c>
      <c r="DP208">
        <f t="shared" si="213"/>
        <v>-2484.5206175137537</v>
      </c>
      <c r="DQ208">
        <f t="shared" si="214"/>
        <v>-6863.3227250570671</v>
      </c>
      <c r="DR208">
        <f t="shared" si="215"/>
        <v>-4879.637299149621</v>
      </c>
      <c r="DS208">
        <f t="shared" si="216"/>
        <v>-10568.071918106683</v>
      </c>
      <c r="DT208">
        <f t="shared" si="217"/>
        <v>-3957.6762961218706</v>
      </c>
      <c r="DU208">
        <f t="shared" si="218"/>
        <v>-975.34935118013163</v>
      </c>
      <c r="DV208">
        <f t="shared" si="199"/>
        <v>-2844.0285693915994</v>
      </c>
      <c r="DW208">
        <f t="shared" si="200"/>
        <v>-13413.464287724601</v>
      </c>
      <c r="DX208">
        <f t="shared" si="201"/>
        <v>-1309.6725286093078</v>
      </c>
      <c r="DY208">
        <f t="shared" si="202"/>
        <v>-13398.635600401078</v>
      </c>
      <c r="DZ208">
        <f t="shared" si="203"/>
        <v>-5600.9672196977972</v>
      </c>
      <c r="EA208">
        <f t="shared" si="204"/>
        <v>884561.71974329057</v>
      </c>
      <c r="EB208">
        <f t="shared" si="205"/>
        <v>-7041.2176122850678</v>
      </c>
      <c r="EC208">
        <f t="shared" si="206"/>
        <v>-731.41296329720262</v>
      </c>
      <c r="ED208">
        <f t="shared" si="207"/>
        <v>-2501.6310355591754</v>
      </c>
      <c r="EE208">
        <f t="shared" si="208"/>
        <v>-8386.7508284213018</v>
      </c>
      <c r="EF208">
        <f t="shared" si="209"/>
        <v>-8982.1988726783275</v>
      </c>
      <c r="EG208">
        <f t="shared" si="158"/>
        <v>-29364.764050177877</v>
      </c>
      <c r="EH208">
        <f t="shared" si="228"/>
        <v>-4554.4588907072448</v>
      </c>
      <c r="EI208">
        <f t="shared" si="229"/>
        <v>-40201.273844089912</v>
      </c>
      <c r="EJ208">
        <f t="shared" si="230"/>
        <v>-26750.337024076372</v>
      </c>
      <c r="EK208">
        <f t="shared" si="231"/>
        <v>-7214.2868127041538</v>
      </c>
      <c r="EL208">
        <f t="shared" si="232"/>
        <v>-11704.029947742538</v>
      </c>
      <c r="EM208">
        <f t="shared" si="159"/>
        <v>-13261.871576648511</v>
      </c>
      <c r="EN208">
        <f t="shared" si="152"/>
        <v>-1.3973308207592858</v>
      </c>
      <c r="EO208">
        <v>57</v>
      </c>
      <c r="EP208">
        <f t="shared" si="243"/>
        <v>623910.27241594647</v>
      </c>
      <c r="EQ208" s="98">
        <f t="shared" si="160"/>
        <v>1034317.1594565193</v>
      </c>
      <c r="ES208" s="99">
        <f t="shared" si="161"/>
        <v>0.39679017532322547</v>
      </c>
    </row>
    <row r="209" spans="2:149" x14ac:dyDescent="0.35">
      <c r="B209" s="87">
        <f t="shared" si="154"/>
        <v>-3.4833397677710667E-4</v>
      </c>
      <c r="C209" s="87">
        <f t="shared" si="253"/>
        <v>-3.9544539183663631E-3</v>
      </c>
      <c r="D209" s="87">
        <f t="shared" si="253"/>
        <v>-8.8317487790168605E-4</v>
      </c>
      <c r="E209" s="87">
        <f t="shared" si="253"/>
        <v>-6.8572939087515781E-4</v>
      </c>
      <c r="F209" s="87">
        <f t="shared" si="253"/>
        <v>-5.551010796080863E-4</v>
      </c>
      <c r="G209" s="87">
        <f t="shared" si="253"/>
        <v>-1.09380916631169E-3</v>
      </c>
      <c r="H209" s="87">
        <f t="shared" si="253"/>
        <v>-9.2693487126703825E-4</v>
      </c>
      <c r="I209" s="87">
        <f t="shared" si="253"/>
        <v>-3.0439824140147186E-2</v>
      </c>
      <c r="J209" s="87">
        <f t="shared" si="253"/>
        <v>-1.4273523367084912E-3</v>
      </c>
      <c r="K209" s="87">
        <f t="shared" si="253"/>
        <v>-8.1945459807010728E-4</v>
      </c>
      <c r="L209" s="87">
        <f t="shared" si="253"/>
        <v>-1.8844787104281484E-3</v>
      </c>
      <c r="M209" s="87">
        <f t="shared" si="253"/>
        <v>-8.556834213851338E-4</v>
      </c>
      <c r="N209" s="87">
        <f t="shared" si="253"/>
        <v>-5.802423400120963E-4</v>
      </c>
      <c r="O209" s="87">
        <f t="shared" si="253"/>
        <v>-7.3947910199513047E-4</v>
      </c>
      <c r="P209" s="87">
        <f t="shared" si="253"/>
        <v>-7.7212229573921825E-4</v>
      </c>
      <c r="Q209" s="87">
        <f t="shared" si="253"/>
        <v>-8.8688687244294594E-4</v>
      </c>
      <c r="R209" s="87">
        <f t="shared" si="253"/>
        <v>-5.6203636624928728E-3</v>
      </c>
      <c r="S209" s="87">
        <f t="shared" si="253"/>
        <v>-3.367130836021657E-4</v>
      </c>
      <c r="T209" s="87">
        <f t="shared" si="253"/>
        <v>-7.2724253507650612E-4</v>
      </c>
      <c r="U209" s="87">
        <f t="shared" si="253"/>
        <v>-1.8694733638611218E-3</v>
      </c>
      <c r="V209" s="87">
        <f t="shared" si="253"/>
        <v>-7.8155691907100722E-4</v>
      </c>
      <c r="W209" s="87">
        <f t="shared" si="253"/>
        <v>-2.4391454610362776E-4</v>
      </c>
      <c r="X209" s="87">
        <f t="shared" si="253"/>
        <v>-2.6539053311596529E-3</v>
      </c>
      <c r="Y209" s="87">
        <f t="shared" si="253"/>
        <v>-1.1724947795929584E-3</v>
      </c>
      <c r="Z209" s="87">
        <f t="shared" si="253"/>
        <v>-7.7254231175500677E-4</v>
      </c>
      <c r="AA209" s="87">
        <f t="shared" si="253"/>
        <v>-4.1356736723092979E-3</v>
      </c>
      <c r="AB209" s="87">
        <f t="shared" si="253"/>
        <v>-2.7866420458660425E-4</v>
      </c>
      <c r="AC209" s="87">
        <f t="shared" si="253"/>
        <v>-1.0866604057681123E-4</v>
      </c>
      <c r="AD209" s="87">
        <f t="shared" si="253"/>
        <v>-3.5059650143483582E-5</v>
      </c>
      <c r="AE209" s="87">
        <f t="shared" si="253"/>
        <v>-2.4725778502345577E-4</v>
      </c>
      <c r="AF209" s="87">
        <f t="shared" si="253"/>
        <v>-5.3198874944628612E-4</v>
      </c>
      <c r="AG209" s="87">
        <f t="shared" si="253"/>
        <v>-6.0174017399551962E-4</v>
      </c>
      <c r="AH209" s="87">
        <f t="shared" si="253"/>
        <v>-2.7614683993133906E-4</v>
      </c>
      <c r="AI209" s="87">
        <f t="shared" si="253"/>
        <v>-3.2896121694351291E-4</v>
      </c>
      <c r="AJ209" s="87">
        <f t="shared" si="253"/>
        <v>0</v>
      </c>
      <c r="AK209" s="87">
        <f t="shared" si="253"/>
        <v>-1.2871916769623555E-2</v>
      </c>
      <c r="AL209" s="87">
        <f t="shared" si="253"/>
        <v>-1.4624685532554998E-2</v>
      </c>
      <c r="AM209" s="87">
        <f t="shared" si="253"/>
        <v>-2.241673826084347E-2</v>
      </c>
      <c r="AN209" s="87">
        <f t="shared" si="253"/>
        <v>-1.6901082166424251E-2</v>
      </c>
      <c r="AO209" s="87">
        <f t="shared" si="253"/>
        <v>-1.4407124543122046E-2</v>
      </c>
      <c r="AP209" s="87">
        <f t="shared" si="253"/>
        <v>-1.9634157575965455E-2</v>
      </c>
      <c r="AQ209" s="87">
        <f t="shared" si="253"/>
        <v>-1.6332714561149285E-2</v>
      </c>
      <c r="AR209" s="87">
        <f t="shared" si="253"/>
        <v>-4.2360328325771072E-2</v>
      </c>
      <c r="AS209" s="87">
        <f t="shared" si="253"/>
        <v>-1.7456386373875334E-2</v>
      </c>
      <c r="AT209" s="87">
        <f t="shared" si="253"/>
        <v>-1.5234888982819215E-2</v>
      </c>
      <c r="AU209" s="87">
        <f t="shared" si="253"/>
        <v>-3.0354049215028336E-2</v>
      </c>
      <c r="AV209" s="87">
        <f t="shared" si="253"/>
        <v>-1.6448089267434702E-2</v>
      </c>
      <c r="AW209" s="87">
        <f t="shared" si="253"/>
        <v>-1.1679189013753319E-2</v>
      </c>
      <c r="AX209" s="87">
        <f t="shared" si="253"/>
        <v>-6.7401264765189267E-3</v>
      </c>
      <c r="AY209" s="87">
        <f t="shared" si="253"/>
        <v>-1.0022160100877564E-2</v>
      </c>
      <c r="AZ209" s="87">
        <f t="shared" si="253"/>
        <v>-1.7066456769544696E-2</v>
      </c>
      <c r="BA209" s="87">
        <f t="shared" si="253"/>
        <v>-2.014332418309395E-2</v>
      </c>
      <c r="BB209" s="87">
        <f t="shared" si="253"/>
        <v>-2.3071463154272432E-2</v>
      </c>
      <c r="BC209" s="87">
        <f t="shared" si="253"/>
        <v>-1.0887040782732598E-2</v>
      </c>
      <c r="BD209" s="87">
        <f t="shared" si="253"/>
        <v>-1.3630534618954297E-2</v>
      </c>
      <c r="BE209" s="87">
        <f t="shared" si="253"/>
        <v>-9.9072233941398871E-3</v>
      </c>
      <c r="BF209" s="87">
        <f t="shared" si="253"/>
        <v>-9.3000232265940761E-3</v>
      </c>
      <c r="BG209" s="87">
        <f t="shared" si="253"/>
        <v>0.95926159562792712</v>
      </c>
      <c r="BH209" s="87">
        <f t="shared" si="253"/>
        <v>-5.4346503088480592E-3</v>
      </c>
      <c r="BI209" s="87">
        <f t="shared" si="253"/>
        <v>-8.1328335491493917E-3</v>
      </c>
      <c r="BJ209" s="87">
        <f t="shared" si="253"/>
        <v>-3.3071996614309651E-2</v>
      </c>
      <c r="BK209" s="87">
        <f t="shared" si="253"/>
        <v>-9.3139065709475985E-3</v>
      </c>
      <c r="BL209" s="87">
        <f t="shared" si="253"/>
        <v>-5.8859970353514002E-3</v>
      </c>
      <c r="BM209" s="87">
        <f t="shared" si="253"/>
        <v>-1.8840782414990612E-3</v>
      </c>
      <c r="BN209" s="87">
        <f t="shared" ref="BN209:BS212" si="254">BN136-BN59</f>
        <v>-6.0838980852811397E-3</v>
      </c>
      <c r="BO209" s="87">
        <f t="shared" si="254"/>
        <v>-1.0314196689606005E-2</v>
      </c>
      <c r="BP209" s="87">
        <f t="shared" si="254"/>
        <v>-8.4399705156953352E-3</v>
      </c>
      <c r="BQ209" s="87">
        <f t="shared" si="254"/>
        <v>-6.8164586014802016E-3</v>
      </c>
      <c r="BR209" s="87">
        <f t="shared" si="254"/>
        <v>-9.677543348216848E-3</v>
      </c>
      <c r="BS209" s="87">
        <f t="shared" si="254"/>
        <v>-7.566812179313399E-4</v>
      </c>
      <c r="BU209" s="97">
        <v>601910.09466761141</v>
      </c>
      <c r="BV209" s="98">
        <v>1455075.1795113906</v>
      </c>
      <c r="BW209">
        <f t="shared" si="155"/>
        <v>-81.047732302718671</v>
      </c>
      <c r="BX209">
        <f t="shared" si="190"/>
        <v>-137.77205390695607</v>
      </c>
      <c r="BY209">
        <f t="shared" si="191"/>
        <v>-327.74095424906443</v>
      </c>
      <c r="BZ209">
        <f t="shared" si="192"/>
        <v>-52.238711760629691</v>
      </c>
      <c r="CA209">
        <f t="shared" si="193"/>
        <v>-8.3328421417783058</v>
      </c>
      <c r="CB209">
        <f t="shared" si="194"/>
        <v>-56.387148986109104</v>
      </c>
      <c r="CC209">
        <f t="shared" si="195"/>
        <v>-164.77994332591913</v>
      </c>
      <c r="CD209">
        <f t="shared" si="196"/>
        <v>-3904.1831468252826</v>
      </c>
      <c r="CE209">
        <f t="shared" si="165"/>
        <v>-398.01376835193275</v>
      </c>
      <c r="CF209">
        <f t="shared" si="166"/>
        <v>-97.754765537865609</v>
      </c>
      <c r="CG209">
        <f t="shared" si="167"/>
        <v>-157.86286131751208</v>
      </c>
      <c r="CH209">
        <f t="shared" si="168"/>
        <v>-256.78381136228347</v>
      </c>
      <c r="CI209">
        <f t="shared" si="169"/>
        <v>-138.68041745192673</v>
      </c>
      <c r="CJ209">
        <f t="shared" si="170"/>
        <v>-276.2017611539751</v>
      </c>
      <c r="CK209">
        <f t="shared" si="171"/>
        <v>-259.28265211046204</v>
      </c>
      <c r="CL209">
        <f t="shared" si="172"/>
        <v>-69.731784654577496</v>
      </c>
      <c r="CM209">
        <f t="shared" si="173"/>
        <v>-1370.1403686393587</v>
      </c>
      <c r="CN209">
        <f t="shared" si="174"/>
        <v>-184.80886430515099</v>
      </c>
      <c r="CO209">
        <f t="shared" si="175"/>
        <v>-104.58252261959025</v>
      </c>
      <c r="CP209">
        <f t="shared" si="176"/>
        <v>-869.68844416998536</v>
      </c>
      <c r="CQ209">
        <f t="shared" si="177"/>
        <v>-267.5585154918266</v>
      </c>
      <c r="CR209">
        <f t="shared" si="178"/>
        <v>-52.899534842410638</v>
      </c>
      <c r="CS209">
        <f t="shared" si="179"/>
        <v>-536.77206530926662</v>
      </c>
      <c r="CT209">
        <f t="shared" si="180"/>
        <v>-53.037036122608463</v>
      </c>
      <c r="CU209">
        <f t="shared" si="181"/>
        <v>-35.975253775416121</v>
      </c>
      <c r="CV209">
        <f t="shared" si="182"/>
        <v>-723.07207835705663</v>
      </c>
      <c r="CW209">
        <f t="shared" si="183"/>
        <v>-78.248773400733626</v>
      </c>
      <c r="CX209">
        <f t="shared" si="184"/>
        <v>-58.138890397286204</v>
      </c>
      <c r="CY209">
        <f t="shared" si="185"/>
        <v>-19.618934781878217</v>
      </c>
      <c r="CZ209">
        <f t="shared" si="186"/>
        <v>-221.30471285143241</v>
      </c>
      <c r="DA209">
        <f t="shared" si="187"/>
        <v>-211.02848109111051</v>
      </c>
      <c r="DB209">
        <f t="shared" si="188"/>
        <v>-140.95160511609649</v>
      </c>
      <c r="DC209">
        <f t="shared" si="156"/>
        <v>-130.63397502722151</v>
      </c>
      <c r="DD209">
        <f t="shared" si="219"/>
        <v>-94.669272087145231</v>
      </c>
      <c r="DE209">
        <f t="shared" si="220"/>
        <v>0</v>
      </c>
      <c r="DF209">
        <f t="shared" si="221"/>
        <v>-16557.275914904116</v>
      </c>
      <c r="DG209">
        <f t="shared" si="222"/>
        <v>-13061.949974083967</v>
      </c>
      <c r="DH209">
        <f t="shared" si="223"/>
        <v>-36394.660071458748</v>
      </c>
      <c r="DI209">
        <f t="shared" si="224"/>
        <v>-12216.637569060635</v>
      </c>
      <c r="DJ209">
        <f t="shared" si="225"/>
        <v>-1554.9069428413582</v>
      </c>
      <c r="DK209">
        <f t="shared" si="226"/>
        <v>-4757.3920794909545</v>
      </c>
      <c r="DL209">
        <f t="shared" si="227"/>
        <v>-10768.370690807249</v>
      </c>
      <c r="DM209">
        <f t="shared" si="157"/>
        <v>-22219.391976225583</v>
      </c>
      <c r="DN209">
        <f t="shared" si="211"/>
        <v>-18771.713810531495</v>
      </c>
      <c r="DO209">
        <f t="shared" si="212"/>
        <v>-7785.466108578672</v>
      </c>
      <c r="DP209">
        <f t="shared" si="213"/>
        <v>-12371.083952444716</v>
      </c>
      <c r="DQ209">
        <f t="shared" si="214"/>
        <v>-25817.745234886374</v>
      </c>
      <c r="DR209">
        <f t="shared" si="215"/>
        <v>-11181.037172782822</v>
      </c>
      <c r="DS209">
        <f t="shared" si="216"/>
        <v>-20780.647592380155</v>
      </c>
      <c r="DT209">
        <f t="shared" si="217"/>
        <v>-14275.020532682995</v>
      </c>
      <c r="DU209">
        <f t="shared" si="218"/>
        <v>-4888.3794781680062</v>
      </c>
      <c r="DV209">
        <f t="shared" si="199"/>
        <v>-16539.693631239064</v>
      </c>
      <c r="DW209">
        <f t="shared" si="200"/>
        <v>-53044.447622180116</v>
      </c>
      <c r="DX209">
        <f t="shared" si="201"/>
        <v>-3190.0610826906163</v>
      </c>
      <c r="DY209">
        <f t="shared" si="202"/>
        <v>-26103.728970071057</v>
      </c>
      <c r="DZ209">
        <f t="shared" si="203"/>
        <v>-14113.818698694418</v>
      </c>
      <c r="EA209">
        <f t="shared" si="204"/>
        <v>-8312.4292261910559</v>
      </c>
      <c r="EB209">
        <f t="shared" si="205"/>
        <v>837478.64307401341</v>
      </c>
      <c r="EC209">
        <f t="shared" si="206"/>
        <v>-938.39009339172549</v>
      </c>
      <c r="ED209">
        <f t="shared" si="207"/>
        <v>-1287.2292236290893</v>
      </c>
      <c r="EE209">
        <f t="shared" si="208"/>
        <v>-11240.826922987797</v>
      </c>
      <c r="EF209">
        <f t="shared" si="209"/>
        <v>-9930.0948292014236</v>
      </c>
      <c r="EG209">
        <f t="shared" si="158"/>
        <v>-14130.326240887016</v>
      </c>
      <c r="EH209">
        <f t="shared" si="228"/>
        <v>-3858.907044753128</v>
      </c>
      <c r="EI209">
        <f t="shared" si="229"/>
        <v>-15862.476184933497</v>
      </c>
      <c r="EJ209">
        <f t="shared" si="230"/>
        <v>-22935.279399509483</v>
      </c>
      <c r="EK209">
        <f t="shared" si="231"/>
        <v>-4829.4054995653632</v>
      </c>
      <c r="EL209">
        <f t="shared" si="232"/>
        <v>-9076.8304295394828</v>
      </c>
      <c r="EM209">
        <f t="shared" si="159"/>
        <v>-10216.66218345462</v>
      </c>
      <c r="EN209">
        <f t="shared" si="152"/>
        <v>-10.414781385440449</v>
      </c>
      <c r="EO209">
        <v>58</v>
      </c>
      <c r="EP209">
        <f t="shared" si="243"/>
        <v>366916.01822455664</v>
      </c>
      <c r="EQ209" s="98">
        <f t="shared" si="160"/>
        <v>601910.09466761141</v>
      </c>
      <c r="ES209" s="99">
        <f t="shared" si="161"/>
        <v>0.39041391484358456</v>
      </c>
    </row>
    <row r="210" spans="2:149" x14ac:dyDescent="0.35">
      <c r="B210" s="87">
        <f t="shared" si="154"/>
        <v>-8.8827468085094714E-5</v>
      </c>
      <c r="C210" s="87">
        <f t="shared" ref="C210:BN213" si="255">C137-C60</f>
        <v>-1.116020489670623E-3</v>
      </c>
      <c r="D210" s="87">
        <f t="shared" si="255"/>
        <v>-8.8704816951600942E-5</v>
      </c>
      <c r="E210" s="87">
        <f t="shared" si="255"/>
        <v>-1.3073129814125212E-4</v>
      </c>
      <c r="F210" s="87">
        <f t="shared" si="255"/>
        <v>-6.9721318232667112E-5</v>
      </c>
      <c r="G210" s="87">
        <f t="shared" si="255"/>
        <v>-2.486579993992913E-4</v>
      </c>
      <c r="H210" s="87">
        <f t="shared" si="255"/>
        <v>-1.9085216336351074E-4</v>
      </c>
      <c r="I210" s="87">
        <f t="shared" si="255"/>
        <v>-8.1806614575852439E-4</v>
      </c>
      <c r="J210" s="87">
        <f t="shared" si="255"/>
        <v>-3.4489552137917205E-4</v>
      </c>
      <c r="K210" s="87">
        <f t="shared" si="255"/>
        <v>-9.46219649974963E-5</v>
      </c>
      <c r="L210" s="87">
        <f t="shared" si="255"/>
        <v>-1.5976731925790099E-4</v>
      </c>
      <c r="M210" s="87">
        <f t="shared" si="255"/>
        <v>-4.6768908897757859E-4</v>
      </c>
      <c r="N210" s="87">
        <f t="shared" si="255"/>
        <v>-2.157654259684474E-4</v>
      </c>
      <c r="O210" s="87">
        <f t="shared" si="255"/>
        <v>-1.2238212623290887E-4</v>
      </c>
      <c r="P210" s="87">
        <f t="shared" si="255"/>
        <v>-3.9625096909449124E-4</v>
      </c>
      <c r="Q210" s="87">
        <f t="shared" si="255"/>
        <v>-1.2092611390389279E-4</v>
      </c>
      <c r="R210" s="87">
        <f t="shared" si="255"/>
        <v>-2.29489812302872E-4</v>
      </c>
      <c r="S210" s="87">
        <f t="shared" si="255"/>
        <v>-3.4742043751196419E-5</v>
      </c>
      <c r="T210" s="87">
        <f t="shared" si="255"/>
        <v>-1.86809384246188E-4</v>
      </c>
      <c r="U210" s="87">
        <f t="shared" si="255"/>
        <v>-5.9955204888941188E-4</v>
      </c>
      <c r="V210" s="87">
        <f t="shared" si="255"/>
        <v>-5.3858516498879228E-5</v>
      </c>
      <c r="W210" s="87">
        <f t="shared" si="255"/>
        <v>-2.7658896317094962E-5</v>
      </c>
      <c r="X210" s="87">
        <f t="shared" si="255"/>
        <v>-1.5726906726343872E-4</v>
      </c>
      <c r="Y210" s="87">
        <f t="shared" si="255"/>
        <v>-8.9423323886528797E-3</v>
      </c>
      <c r="Z210" s="87">
        <f t="shared" si="255"/>
        <v>-2.0875445174315313E-4</v>
      </c>
      <c r="AA210" s="87">
        <f t="shared" si="255"/>
        <v>-1.574473935388278E-3</v>
      </c>
      <c r="AB210" s="87">
        <f t="shared" si="255"/>
        <v>-5.5850811285664532E-5</v>
      </c>
      <c r="AC210" s="87">
        <f t="shared" si="255"/>
        <v>-1.8389254353527545E-5</v>
      </c>
      <c r="AD210" s="87">
        <f t="shared" si="255"/>
        <v>-2.6149144229681504E-6</v>
      </c>
      <c r="AE210" s="87">
        <f t="shared" si="255"/>
        <v>-2.0999299774509788E-5</v>
      </c>
      <c r="AF210" s="87">
        <f t="shared" si="255"/>
        <v>-6.2485718974277692E-5</v>
      </c>
      <c r="AG210" s="87">
        <f t="shared" si="255"/>
        <v>-2.3267678322385297E-5</v>
      </c>
      <c r="AH210" s="87">
        <f t="shared" si="255"/>
        <v>-1.5192525766840007E-5</v>
      </c>
      <c r="AI210" s="87">
        <f t="shared" si="255"/>
        <v>-3.0090138827986428E-5</v>
      </c>
      <c r="AJ210" s="87">
        <f t="shared" si="255"/>
        <v>0</v>
      </c>
      <c r="AK210" s="87">
        <f t="shared" si="255"/>
        <v>-1.9995147318310406E-3</v>
      </c>
      <c r="AL210" s="87">
        <f t="shared" si="255"/>
        <v>-5.1129258056913859E-3</v>
      </c>
      <c r="AM210" s="87">
        <f t="shared" si="255"/>
        <v>-4.840118612756775E-3</v>
      </c>
      <c r="AN210" s="87">
        <f t="shared" si="255"/>
        <v>-3.7523741988190959E-3</v>
      </c>
      <c r="AO210" s="87">
        <f t="shared" si="255"/>
        <v>-3.4346926445055332E-3</v>
      </c>
      <c r="AP210" s="87">
        <f t="shared" si="255"/>
        <v>-6.5621075007121291E-3</v>
      </c>
      <c r="AQ210" s="87">
        <f t="shared" si="255"/>
        <v>-3.3939613593583721E-3</v>
      </c>
      <c r="AR210" s="87">
        <f t="shared" si="255"/>
        <v>-2.840737923673349E-3</v>
      </c>
      <c r="AS210" s="87">
        <f t="shared" si="255"/>
        <v>-3.0056936514788629E-3</v>
      </c>
      <c r="AT210" s="87">
        <f t="shared" si="255"/>
        <v>-3.4442459534567526E-3</v>
      </c>
      <c r="AU210" s="87">
        <f t="shared" si="255"/>
        <v>-8.6873011980542012E-3</v>
      </c>
      <c r="AV210" s="87">
        <f t="shared" si="255"/>
        <v>-5.8624768831509544E-3</v>
      </c>
      <c r="AW210" s="87">
        <f t="shared" si="255"/>
        <v>-3.3058975669989577E-3</v>
      </c>
      <c r="AX210" s="87">
        <f t="shared" si="255"/>
        <v>-1.6203430720953859E-3</v>
      </c>
      <c r="AY210" s="87">
        <f t="shared" si="255"/>
        <v>-2.2144057559580058E-3</v>
      </c>
      <c r="AZ210" s="87">
        <f t="shared" si="255"/>
        <v>-2.6025235358690473E-3</v>
      </c>
      <c r="BA210" s="87">
        <f t="shared" si="255"/>
        <v>-2.6239170139467937E-3</v>
      </c>
      <c r="BB210" s="87">
        <f t="shared" si="255"/>
        <v>-2.8663715609365272E-3</v>
      </c>
      <c r="BC210" s="87">
        <f t="shared" si="255"/>
        <v>-1.2156550210214786E-3</v>
      </c>
      <c r="BD210" s="87">
        <f t="shared" si="255"/>
        <v>-5.7054060734733954E-3</v>
      </c>
      <c r="BE210" s="87">
        <f t="shared" si="255"/>
        <v>-2.530994151951647E-3</v>
      </c>
      <c r="BF210" s="87">
        <f t="shared" si="255"/>
        <v>-1.4476208691652425E-3</v>
      </c>
      <c r="BG210" s="87">
        <f t="shared" si="255"/>
        <v>-2.533519800014023E-3</v>
      </c>
      <c r="BH210" s="87">
        <f t="shared" si="255"/>
        <v>0.8185403079145076</v>
      </c>
      <c r="BI210" s="87">
        <f t="shared" si="255"/>
        <v>-2.364202222897252E-3</v>
      </c>
      <c r="BJ210" s="87">
        <f t="shared" si="255"/>
        <v>-1.773809815889648E-3</v>
      </c>
      <c r="BK210" s="87">
        <f t="shared" si="255"/>
        <v>-6.884469101086473E-4</v>
      </c>
      <c r="BL210" s="87">
        <f t="shared" si="255"/>
        <v>-3.6882399161201315E-4</v>
      </c>
      <c r="BM210" s="87">
        <f t="shared" si="255"/>
        <v>-1.3682717278878927E-3</v>
      </c>
      <c r="BN210" s="87">
        <f t="shared" si="255"/>
        <v>-1.157027353686694E-3</v>
      </c>
      <c r="BO210" s="87">
        <f t="shared" si="254"/>
        <v>-8.9352017620925549E-4</v>
      </c>
      <c r="BP210" s="87">
        <f t="shared" si="254"/>
        <v>-7.5306694959123793E-4</v>
      </c>
      <c r="BQ210" s="87">
        <f t="shared" si="254"/>
        <v>-5.093605821678565E-4</v>
      </c>
      <c r="BR210" s="87">
        <f t="shared" si="254"/>
        <v>-9.9685399851488906E-4</v>
      </c>
      <c r="BS210" s="87">
        <f t="shared" si="254"/>
        <v>-1.1247560452950516E-5</v>
      </c>
      <c r="BU210" s="97">
        <v>75797.154429539616</v>
      </c>
      <c r="BV210" s="98">
        <v>287779.96745069593</v>
      </c>
      <c r="BW210">
        <f t="shared" si="155"/>
        <v>-20.667707816213795</v>
      </c>
      <c r="BX210">
        <f t="shared" si="190"/>
        <v>-38.88183760343005</v>
      </c>
      <c r="BY210">
        <f t="shared" si="191"/>
        <v>-32.917830977346441</v>
      </c>
      <c r="BZ210">
        <f t="shared" si="192"/>
        <v>-9.959081078584143</v>
      </c>
      <c r="CA210">
        <f t="shared" si="193"/>
        <v>-1.0466143196112809</v>
      </c>
      <c r="CB210">
        <f t="shared" si="194"/>
        <v>-12.818612323386064</v>
      </c>
      <c r="CC210">
        <f t="shared" si="195"/>
        <v>-33.927527852826259</v>
      </c>
      <c r="CD210">
        <f t="shared" si="196"/>
        <v>-104.92439261652392</v>
      </c>
      <c r="CE210">
        <f t="shared" si="165"/>
        <v>-96.173287156543338</v>
      </c>
      <c r="CF210">
        <f t="shared" si="166"/>
        <v>-11.287688207310575</v>
      </c>
      <c r="CG210">
        <f t="shared" si="167"/>
        <v>-13.383715095062277</v>
      </c>
      <c r="CH210">
        <f t="shared" si="168"/>
        <v>-140.34978801600892</v>
      </c>
      <c r="CI210">
        <f t="shared" si="169"/>
        <v>-51.568865768005281</v>
      </c>
      <c r="CJ210">
        <f t="shared" si="170"/>
        <v>-45.710769524248327</v>
      </c>
      <c r="CK210">
        <f t="shared" si="171"/>
        <v>-133.06312061588343</v>
      </c>
      <c r="CL210">
        <f t="shared" si="172"/>
        <v>-9.5078571978791153</v>
      </c>
      <c r="CM210">
        <f t="shared" si="173"/>
        <v>-55.945357793479445</v>
      </c>
      <c r="CN210">
        <f t="shared" si="174"/>
        <v>-19.068571914730256</v>
      </c>
      <c r="CO210">
        <f t="shared" si="175"/>
        <v>-26.864485658038944</v>
      </c>
      <c r="CP210">
        <f t="shared" si="176"/>
        <v>-278.91463910490609</v>
      </c>
      <c r="CQ210">
        <f t="shared" si="177"/>
        <v>-18.43794657740462</v>
      </c>
      <c r="CR210">
        <f t="shared" si="178"/>
        <v>-5.9985875086234843</v>
      </c>
      <c r="CS210">
        <f t="shared" si="179"/>
        <v>-31.808836981901973</v>
      </c>
      <c r="CT210">
        <f t="shared" si="180"/>
        <v>-404.50056936031984</v>
      </c>
      <c r="CU210">
        <f t="shared" si="181"/>
        <v>-9.721143119199672</v>
      </c>
      <c r="CV210">
        <f t="shared" si="182"/>
        <v>-275.27755596454455</v>
      </c>
      <c r="CW210">
        <f t="shared" si="183"/>
        <v>-15.682880702321766</v>
      </c>
      <c r="CX210">
        <f t="shared" si="184"/>
        <v>-9.8386840789679333</v>
      </c>
      <c r="CY210">
        <f t="shared" si="185"/>
        <v>-1.463272888190533</v>
      </c>
      <c r="CZ210">
        <f t="shared" si="186"/>
        <v>-18.795137254174559</v>
      </c>
      <c r="DA210">
        <f t="shared" si="187"/>
        <v>-24.786739153323385</v>
      </c>
      <c r="DB210">
        <f t="shared" si="188"/>
        <v>-5.4502204582565064</v>
      </c>
      <c r="DC210">
        <f t="shared" si="156"/>
        <v>-7.1869735395822776</v>
      </c>
      <c r="DD210">
        <f t="shared" si="219"/>
        <v>-8.6594145240402778</v>
      </c>
      <c r="DE210">
        <f t="shared" si="220"/>
        <v>0</v>
      </c>
      <c r="DF210">
        <f t="shared" si="221"/>
        <v>-2571.9958964441212</v>
      </c>
      <c r="DG210">
        <f t="shared" si="222"/>
        <v>-4566.578949439895</v>
      </c>
      <c r="DH210">
        <f t="shared" si="223"/>
        <v>-7858.1669450332947</v>
      </c>
      <c r="DI210">
        <f t="shared" si="224"/>
        <v>-2712.3349356608564</v>
      </c>
      <c r="DJ210">
        <f t="shared" si="225"/>
        <v>-370.69350122453204</v>
      </c>
      <c r="DK210">
        <f t="shared" si="226"/>
        <v>-1590.0105786494883</v>
      </c>
      <c r="DL210">
        <f t="shared" si="227"/>
        <v>-2237.6827741043489</v>
      </c>
      <c r="DM210">
        <f t="shared" si="157"/>
        <v>-1490.0609112943741</v>
      </c>
      <c r="DN210">
        <f t="shared" si="211"/>
        <v>-3232.1707264758979</v>
      </c>
      <c r="DO210">
        <f t="shared" si="212"/>
        <v>-1760.108667052765</v>
      </c>
      <c r="DP210">
        <f t="shared" si="213"/>
        <v>-3540.5929429702865</v>
      </c>
      <c r="DQ210">
        <f t="shared" si="214"/>
        <v>-9202.0375226360884</v>
      </c>
      <c r="DR210">
        <f t="shared" si="215"/>
        <v>-3164.8912901828953</v>
      </c>
      <c r="DS210">
        <f t="shared" si="216"/>
        <v>-4995.7190680729345</v>
      </c>
      <c r="DT210">
        <f t="shared" si="217"/>
        <v>-3154.0792918708248</v>
      </c>
      <c r="DU210">
        <f t="shared" si="218"/>
        <v>-745.44604167013006</v>
      </c>
      <c r="DV210">
        <f t="shared" si="199"/>
        <v>-2154.4995815983384</v>
      </c>
      <c r="DW210">
        <f t="shared" si="200"/>
        <v>-6590.1800468015908</v>
      </c>
      <c r="DX210">
        <f t="shared" si="201"/>
        <v>-356.20457844603555</v>
      </c>
      <c r="DY210">
        <f t="shared" si="202"/>
        <v>-10926.378015947006</v>
      </c>
      <c r="DZ210">
        <f t="shared" si="203"/>
        <v>-3605.6512674611636</v>
      </c>
      <c r="EA210">
        <f t="shared" si="204"/>
        <v>-1293.8941901653902</v>
      </c>
      <c r="EB210">
        <f t="shared" si="205"/>
        <v>-2211.8770666806399</v>
      </c>
      <c r="EC210">
        <f t="shared" si="206"/>
        <v>141335.70190123178</v>
      </c>
      <c r="ED210">
        <f t="shared" si="207"/>
        <v>-374.19555847180601</v>
      </c>
      <c r="EE210">
        <f t="shared" si="208"/>
        <v>-602.89946710036554</v>
      </c>
      <c r="EF210">
        <f t="shared" si="209"/>
        <v>-733.99309410874241</v>
      </c>
      <c r="EG210">
        <f t="shared" si="158"/>
        <v>-885.42404891523768</v>
      </c>
      <c r="EH210">
        <f t="shared" si="228"/>
        <v>-2802.4491199909412</v>
      </c>
      <c r="EI210">
        <f t="shared" si="229"/>
        <v>-3016.7038608970543</v>
      </c>
      <c r="EJ210">
        <f t="shared" si="230"/>
        <v>-1986.8861829162038</v>
      </c>
      <c r="EK210">
        <f t="shared" si="231"/>
        <v>-430.90975983074395</v>
      </c>
      <c r="EL210">
        <f t="shared" si="232"/>
        <v>-678.26710351107738</v>
      </c>
      <c r="EM210">
        <f t="shared" si="159"/>
        <v>-1052.3869728704612</v>
      </c>
      <c r="EN210">
        <f t="shared" si="152"/>
        <v>-0.15480876287276152</v>
      </c>
      <c r="EO210">
        <v>59</v>
      </c>
      <c r="EP210">
        <f t="shared" si="243"/>
        <v>46465.587421222495</v>
      </c>
      <c r="EQ210" s="98">
        <f t="shared" si="160"/>
        <v>75797.154429539616</v>
      </c>
      <c r="ES210" s="99">
        <f t="shared" si="161"/>
        <v>0.38697451413672124</v>
      </c>
    </row>
    <row r="211" spans="2:149" x14ac:dyDescent="0.35">
      <c r="B211" s="87">
        <f t="shared" si="154"/>
        <v>-3.9378302985930021E-5</v>
      </c>
      <c r="C211" s="87">
        <f t="shared" si="255"/>
        <v>-5.4163353223408907E-4</v>
      </c>
      <c r="D211" s="87">
        <f t="shared" si="255"/>
        <v>-1.6180487915840481E-4</v>
      </c>
      <c r="E211" s="87">
        <f t="shared" si="255"/>
        <v>-2.8372942707766108E-4</v>
      </c>
      <c r="F211" s="87">
        <f t="shared" si="255"/>
        <v>-8.4286359078871581E-4</v>
      </c>
      <c r="G211" s="87">
        <f t="shared" si="255"/>
        <v>-1.3621403754800163E-4</v>
      </c>
      <c r="H211" s="87">
        <f t="shared" si="255"/>
        <v>-2.5350288290859906E-4</v>
      </c>
      <c r="I211" s="87">
        <f t="shared" si="255"/>
        <v>-3.6655871952478411E-4</v>
      </c>
      <c r="J211" s="87">
        <f t="shared" si="255"/>
        <v>-3.1610136690542521E-4</v>
      </c>
      <c r="K211" s="87">
        <f t="shared" si="255"/>
        <v>-2.5279191075982372E-4</v>
      </c>
      <c r="L211" s="87">
        <f t="shared" si="255"/>
        <v>-2.4886919277880939E-4</v>
      </c>
      <c r="M211" s="87">
        <f t="shared" si="255"/>
        <v>-1.7735469570797339E-4</v>
      </c>
      <c r="N211" s="87">
        <f t="shared" si="255"/>
        <v>-2.7590979345736791E-4</v>
      </c>
      <c r="O211" s="87">
        <f t="shared" si="255"/>
        <v>-3.0941246480752234E-4</v>
      </c>
      <c r="P211" s="87">
        <f t="shared" si="255"/>
        <v>-2.1424519485333394E-4</v>
      </c>
      <c r="Q211" s="87">
        <f t="shared" si="255"/>
        <v>-2.1183098340210474E-4</v>
      </c>
      <c r="R211" s="87">
        <f t="shared" si="255"/>
        <v>-8.5503658412311296E-5</v>
      </c>
      <c r="S211" s="87">
        <f t="shared" si="255"/>
        <v>-1.4630726983226534E-4</v>
      </c>
      <c r="T211" s="87">
        <f t="shared" si="255"/>
        <v>-3.8881243888194716E-4</v>
      </c>
      <c r="U211" s="87">
        <f t="shared" si="255"/>
        <v>-5.4453117338456973E-4</v>
      </c>
      <c r="V211" s="87">
        <f t="shared" si="255"/>
        <v>-2.9194153986571934E-4</v>
      </c>
      <c r="W211" s="87">
        <f t="shared" si="255"/>
        <v>-1.6833123287728833E-4</v>
      </c>
      <c r="X211" s="87">
        <f t="shared" si="255"/>
        <v>-1.8639214407330888E-4</v>
      </c>
      <c r="Y211" s="87">
        <f t="shared" si="255"/>
        <v>-4.3488306095764654E-4</v>
      </c>
      <c r="Z211" s="87">
        <f t="shared" si="255"/>
        <v>-6.2860180509447441E-3</v>
      </c>
      <c r="AA211" s="87">
        <f t="shared" si="255"/>
        <v>-4.4000384263306212E-3</v>
      </c>
      <c r="AB211" s="87">
        <f t="shared" si="255"/>
        <v>-5.3532976314735106E-4</v>
      </c>
      <c r="AC211" s="87">
        <f t="shared" si="255"/>
        <v>-5.9903797089093857E-4</v>
      </c>
      <c r="AD211" s="87">
        <f t="shared" si="255"/>
        <v>-6.1544134021666465E-5</v>
      </c>
      <c r="AE211" s="87">
        <f t="shared" si="255"/>
        <v>-6.0502640950727069E-4</v>
      </c>
      <c r="AF211" s="87">
        <f t="shared" si="255"/>
        <v>-4.7006794035681635E-4</v>
      </c>
      <c r="AG211" s="87">
        <f t="shared" si="255"/>
        <v>-1.1109608897294325E-4</v>
      </c>
      <c r="AH211" s="87">
        <f t="shared" si="255"/>
        <v>-1.3465559391774345E-4</v>
      </c>
      <c r="AI211" s="87">
        <f t="shared" si="255"/>
        <v>-4.8508840864172864E-4</v>
      </c>
      <c r="AJ211" s="87">
        <f t="shared" si="255"/>
        <v>0</v>
      </c>
      <c r="AK211" s="87">
        <f t="shared" si="255"/>
        <v>-7.563819412113133E-4</v>
      </c>
      <c r="AL211" s="87">
        <f t="shared" si="255"/>
        <v>-1.0591951587027798E-3</v>
      </c>
      <c r="AM211" s="87">
        <f t="shared" si="255"/>
        <v>-1.2621969565067615E-3</v>
      </c>
      <c r="AN211" s="87">
        <f t="shared" si="255"/>
        <v>-1.1448476927250887E-3</v>
      </c>
      <c r="AO211" s="87">
        <f t="shared" si="255"/>
        <v>-1.3934661761514963E-3</v>
      </c>
      <c r="AP211" s="87">
        <f t="shared" si="255"/>
        <v>-1.4261998136135736E-3</v>
      </c>
      <c r="AQ211" s="87">
        <f t="shared" si="255"/>
        <v>-1.6865562243236142E-3</v>
      </c>
      <c r="AR211" s="87">
        <f t="shared" si="255"/>
        <v>-4.3064446706446696E-4</v>
      </c>
      <c r="AS211" s="87">
        <f t="shared" si="255"/>
        <v>-1.1594872185518726E-3</v>
      </c>
      <c r="AT211" s="87">
        <f t="shared" si="255"/>
        <v>-1.1682867468384641E-3</v>
      </c>
      <c r="AU211" s="87">
        <f t="shared" si="255"/>
        <v>-1.1835576242223284E-3</v>
      </c>
      <c r="AV211" s="87">
        <f t="shared" si="255"/>
        <v>-7.7467213836606699E-4</v>
      </c>
      <c r="AW211" s="87">
        <f t="shared" si="255"/>
        <v>-1.3566118118236452E-3</v>
      </c>
      <c r="AX211" s="87">
        <f t="shared" si="255"/>
        <v>-1.0487317889092001E-3</v>
      </c>
      <c r="AY211" s="87">
        <f t="shared" si="255"/>
        <v>-8.7123927124341694E-4</v>
      </c>
      <c r="AZ211" s="87">
        <f t="shared" si="255"/>
        <v>-1.0659336603510915E-3</v>
      </c>
      <c r="BA211" s="87">
        <f t="shared" si="255"/>
        <v>-6.9573357422782352E-4</v>
      </c>
      <c r="BB211" s="87">
        <f t="shared" si="255"/>
        <v>-1.0215944407266731E-3</v>
      </c>
      <c r="BC211" s="87">
        <f t="shared" si="255"/>
        <v>-1.8081955972359155E-3</v>
      </c>
      <c r="BD211" s="87">
        <f t="shared" si="255"/>
        <v>-2.4702373715261104E-3</v>
      </c>
      <c r="BE211" s="87">
        <f t="shared" si="255"/>
        <v>-1.3360623866604446E-3</v>
      </c>
      <c r="BF211" s="87">
        <f t="shared" si="255"/>
        <v>-1.3630258876823952E-3</v>
      </c>
      <c r="BG211" s="87">
        <f t="shared" si="255"/>
        <v>-2.3262121775836433E-3</v>
      </c>
      <c r="BH211" s="87">
        <f t="shared" si="255"/>
        <v>-3.8237645287763941E-3</v>
      </c>
      <c r="BI211" s="87">
        <f t="shared" si="255"/>
        <v>0.97209806793721343</v>
      </c>
      <c r="BJ211" s="87">
        <f t="shared" si="255"/>
        <v>-3.3642215309459171E-3</v>
      </c>
      <c r="BK211" s="87">
        <f t="shared" si="255"/>
        <v>-3.2428417220586722E-3</v>
      </c>
      <c r="BL211" s="87">
        <f t="shared" si="255"/>
        <v>-2.3753944434451923E-3</v>
      </c>
      <c r="BM211" s="87">
        <f t="shared" si="255"/>
        <v>-3.4922248157587173E-4</v>
      </c>
      <c r="BN211" s="87">
        <f t="shared" si="255"/>
        <v>-3.3669340329088807E-3</v>
      </c>
      <c r="BO211" s="87">
        <f t="shared" si="254"/>
        <v>-3.0954385036777929E-3</v>
      </c>
      <c r="BP211" s="87">
        <f t="shared" si="254"/>
        <v>-4.3167490539399696E-3</v>
      </c>
      <c r="BQ211" s="87">
        <f t="shared" si="254"/>
        <v>-1.1758808690737024E-3</v>
      </c>
      <c r="BR211" s="87">
        <f t="shared" si="254"/>
        <v>-4.1983107185000011E-3</v>
      </c>
      <c r="BS211" s="87">
        <f t="shared" si="254"/>
        <v>-1.7675798111443626E-5</v>
      </c>
      <c r="BU211" s="97">
        <v>137913.48962739494</v>
      </c>
      <c r="BV211" s="98">
        <v>263792.690015917</v>
      </c>
      <c r="BW211">
        <f t="shared" si="155"/>
        <v>-9.1622476465487246</v>
      </c>
      <c r="BX211">
        <f t="shared" si="190"/>
        <v>-18.870358775503764</v>
      </c>
      <c r="BY211">
        <f t="shared" si="191"/>
        <v>-60.044830106040898</v>
      </c>
      <c r="BZ211">
        <f t="shared" si="192"/>
        <v>-21.614444351295035</v>
      </c>
      <c r="CA211">
        <f t="shared" si="193"/>
        <v>-12.652559159231879</v>
      </c>
      <c r="CB211">
        <f t="shared" si="194"/>
        <v>-7.0219938411358518</v>
      </c>
      <c r="CC211">
        <f t="shared" si="195"/>
        <v>-45.064860513379074</v>
      </c>
      <c r="CD211">
        <f t="shared" si="196"/>
        <v>-47.014475790056188</v>
      </c>
      <c r="CE211">
        <f t="shared" si="165"/>
        <v>-88.144106390264028</v>
      </c>
      <c r="CF211">
        <f t="shared" si="166"/>
        <v>-30.156172195987175</v>
      </c>
      <c r="CG211">
        <f t="shared" si="167"/>
        <v>-20.847782810407246</v>
      </c>
      <c r="CH211">
        <f t="shared" si="168"/>
        <v>-53.222738209851968</v>
      </c>
      <c r="CI211">
        <f t="shared" si="169"/>
        <v>-65.943628544833501</v>
      </c>
      <c r="CJ211">
        <f t="shared" si="170"/>
        <v>-115.56819857688525</v>
      </c>
      <c r="CK211">
        <f t="shared" si="171"/>
        <v>-71.944642228356244</v>
      </c>
      <c r="CL211">
        <f t="shared" si="172"/>
        <v>-16.655283753467888</v>
      </c>
      <c r="CM211">
        <f t="shared" si="173"/>
        <v>-20.844205302739443</v>
      </c>
      <c r="CN211">
        <f t="shared" si="174"/>
        <v>-80.30243460701189</v>
      </c>
      <c r="CO211">
        <f t="shared" si="175"/>
        <v>-55.913926541537521</v>
      </c>
      <c r="CP211">
        <f t="shared" si="176"/>
        <v>-253.3186501276428</v>
      </c>
      <c r="CQ211">
        <f t="shared" si="177"/>
        <v>-99.943386221590188</v>
      </c>
      <c r="CR211">
        <f t="shared" si="178"/>
        <v>-36.507227883305049</v>
      </c>
      <c r="CS211">
        <f t="shared" si="179"/>
        <v>-37.699195580550118</v>
      </c>
      <c r="CT211">
        <f t="shared" si="180"/>
        <v>-19.671651434668579</v>
      </c>
      <c r="CU211">
        <f t="shared" si="181"/>
        <v>-292.72324787732663</v>
      </c>
      <c r="CV211">
        <f t="shared" si="182"/>
        <v>-769.29302983454886</v>
      </c>
      <c r="CW211">
        <f t="shared" si="183"/>
        <v>-150.32033767425301</v>
      </c>
      <c r="CX211">
        <f t="shared" si="184"/>
        <v>-320.49941958475102</v>
      </c>
      <c r="CY211">
        <f t="shared" si="185"/>
        <v>-34.439315470541501</v>
      </c>
      <c r="CZ211">
        <f t="shared" si="186"/>
        <v>-541.52064741192237</v>
      </c>
      <c r="DA211">
        <f t="shared" si="187"/>
        <v>-186.4658295243544</v>
      </c>
      <c r="DB211">
        <f t="shared" si="188"/>
        <v>-26.023145436478057</v>
      </c>
      <c r="DC211">
        <f t="shared" si="156"/>
        <v>-63.700151330719152</v>
      </c>
      <c r="DD211">
        <f t="shared" si="219"/>
        <v>-139.59994120495273</v>
      </c>
      <c r="DE211">
        <f t="shared" si="220"/>
        <v>0</v>
      </c>
      <c r="DF211">
        <f t="shared" si="221"/>
        <v>-972.94169328697092</v>
      </c>
      <c r="DG211">
        <f t="shared" si="222"/>
        <v>-946.01378914918621</v>
      </c>
      <c r="DH211">
        <f t="shared" si="223"/>
        <v>-2049.2378793365506</v>
      </c>
      <c r="DI211">
        <f t="shared" si="224"/>
        <v>-827.53217788519589</v>
      </c>
      <c r="DJ211">
        <f t="shared" si="225"/>
        <v>-150.39158059801369</v>
      </c>
      <c r="DK211">
        <f t="shared" si="226"/>
        <v>-345.57080795573972</v>
      </c>
      <c r="DL211">
        <f t="shared" si="227"/>
        <v>-1111.9684083382999</v>
      </c>
      <c r="DM211">
        <f t="shared" si="157"/>
        <v>-225.88725334021555</v>
      </c>
      <c r="DN211">
        <f t="shared" si="211"/>
        <v>-1246.8538314549783</v>
      </c>
      <c r="DO211">
        <f t="shared" si="212"/>
        <v>-597.02810324839936</v>
      </c>
      <c r="DP211">
        <f t="shared" si="213"/>
        <v>-482.37026395019541</v>
      </c>
      <c r="DQ211">
        <f t="shared" si="214"/>
        <v>-1215.9642122381958</v>
      </c>
      <c r="DR211">
        <f t="shared" si="215"/>
        <v>-1298.7483188408316</v>
      </c>
      <c r="DS211">
        <f t="shared" si="216"/>
        <v>-3233.3704419600303</v>
      </c>
      <c r="DT211">
        <f t="shared" si="217"/>
        <v>-1240.9458999552937</v>
      </c>
      <c r="DU211">
        <f t="shared" si="218"/>
        <v>-305.31751849319534</v>
      </c>
      <c r="DV211">
        <f t="shared" si="199"/>
        <v>-571.26718818103495</v>
      </c>
      <c r="DW211">
        <f t="shared" si="200"/>
        <v>-2348.7852694856665</v>
      </c>
      <c r="DX211">
        <f t="shared" si="201"/>
        <v>-529.82757387880429</v>
      </c>
      <c r="DY211">
        <f t="shared" si="202"/>
        <v>-4730.732039548222</v>
      </c>
      <c r="DZ211">
        <f t="shared" si="203"/>
        <v>-1903.3528916511902</v>
      </c>
      <c r="EA211">
        <f t="shared" si="204"/>
        <v>-1218.282572932404</v>
      </c>
      <c r="EB211">
        <f t="shared" si="205"/>
        <v>-2030.8881611274614</v>
      </c>
      <c r="EC211">
        <f t="shared" si="206"/>
        <v>-660.24169897823788</v>
      </c>
      <c r="ED211">
        <f t="shared" si="207"/>
        <v>153859.41858025989</v>
      </c>
      <c r="EE211">
        <f t="shared" si="208"/>
        <v>-1143.4638313790078</v>
      </c>
      <c r="EF211">
        <f t="shared" si="209"/>
        <v>-3457.3812364168098</v>
      </c>
      <c r="EG211">
        <f t="shared" si="158"/>
        <v>-5702.5340371526263</v>
      </c>
      <c r="EH211">
        <f t="shared" si="228"/>
        <v>-715.26599302323746</v>
      </c>
      <c r="EI211">
        <f t="shared" si="229"/>
        <v>-8778.5676493282699</v>
      </c>
      <c r="EJ211">
        <f t="shared" si="230"/>
        <v>-6883.2066211606916</v>
      </c>
      <c r="EK211">
        <f t="shared" si="231"/>
        <v>-2470.0716172613006</v>
      </c>
      <c r="EL211">
        <f t="shared" si="232"/>
        <v>-1565.808857344751</v>
      </c>
      <c r="EM211">
        <f t="shared" si="159"/>
        <v>-4432.1911882724271</v>
      </c>
      <c r="EN211">
        <f t="shared" si="152"/>
        <v>-0.24328550620979009</v>
      </c>
      <c r="EO211">
        <v>60</v>
      </c>
      <c r="EP211">
        <f t="shared" si="243"/>
        <v>84654.450621658136</v>
      </c>
      <c r="EQ211" s="98">
        <f t="shared" si="160"/>
        <v>137913.48962739494</v>
      </c>
      <c r="ES211" s="99">
        <f t="shared" si="161"/>
        <v>0.38617715460342833</v>
      </c>
    </row>
    <row r="212" spans="2:149" x14ac:dyDescent="0.35">
      <c r="B212" s="87">
        <f t="shared" si="154"/>
        <v>-1.6279336877685787E-4</v>
      </c>
      <c r="C212" s="87">
        <f t="shared" si="255"/>
        <v>-4.0316902829221486E-4</v>
      </c>
      <c r="D212" s="87">
        <f t="shared" si="255"/>
        <v>-4.6226824152272857E-4</v>
      </c>
      <c r="E212" s="87">
        <f t="shared" si="255"/>
        <v>-2.3976240607274355E-4</v>
      </c>
      <c r="F212" s="87">
        <f t="shared" si="255"/>
        <v>-2.6071525058795616E-4</v>
      </c>
      <c r="G212" s="87">
        <f t="shared" si="255"/>
        <v>-3.2130902464653897E-4</v>
      </c>
      <c r="H212" s="87">
        <f t="shared" si="255"/>
        <v>-3.5188481801537083E-4</v>
      </c>
      <c r="I212" s="87">
        <f t="shared" si="255"/>
        <v>-9.9194487023173935E-4</v>
      </c>
      <c r="J212" s="87">
        <f t="shared" si="255"/>
        <v>-4.5588790878975036E-4</v>
      </c>
      <c r="K212" s="87">
        <f t="shared" si="255"/>
        <v>-3.0314488514838003E-4</v>
      </c>
      <c r="L212" s="87">
        <f t="shared" si="255"/>
        <v>-4.3893960850188907E-4</v>
      </c>
      <c r="M212" s="87">
        <f t="shared" si="255"/>
        <v>-2.4736983302602213E-4</v>
      </c>
      <c r="N212" s="87">
        <f t="shared" si="255"/>
        <v>-2.9610291562444689E-4</v>
      </c>
      <c r="O212" s="87">
        <f t="shared" si="255"/>
        <v>-3.5811370851871117E-4</v>
      </c>
      <c r="P212" s="87">
        <f t="shared" si="255"/>
        <v>-2.8799684513490634E-4</v>
      </c>
      <c r="Q212" s="87">
        <f t="shared" si="255"/>
        <v>-2.2851594680036946E-4</v>
      </c>
      <c r="R212" s="87">
        <f t="shared" si="255"/>
        <v>-1.7630330998263708E-4</v>
      </c>
      <c r="S212" s="87">
        <f t="shared" si="255"/>
        <v>-1.3690359776542742E-4</v>
      </c>
      <c r="T212" s="87">
        <f t="shared" si="255"/>
        <v>-6.4972621239694334E-4</v>
      </c>
      <c r="U212" s="87">
        <f t="shared" si="255"/>
        <v>-2.0478581699738996E-3</v>
      </c>
      <c r="V212" s="87">
        <f t="shared" si="255"/>
        <v>-5.0130537448333666E-4</v>
      </c>
      <c r="W212" s="87">
        <f t="shared" si="255"/>
        <v>-2.1328026649708004E-4</v>
      </c>
      <c r="X212" s="87">
        <f t="shared" si="255"/>
        <v>-3.2599764606146067E-3</v>
      </c>
      <c r="Y212" s="87">
        <f t="shared" si="255"/>
        <v>-4.9459699509175475E-2</v>
      </c>
      <c r="Z212" s="87">
        <f t="shared" si="255"/>
        <v>-1.4513132094315123E-2</v>
      </c>
      <c r="AA212" s="87">
        <f t="shared" si="255"/>
        <v>-6.0810664049112569E-3</v>
      </c>
      <c r="AB212" s="87">
        <f t="shared" si="255"/>
        <v>-2.8882685208647267E-4</v>
      </c>
      <c r="AC212" s="87">
        <f t="shared" si="255"/>
        <v>-8.114067713402306E-5</v>
      </c>
      <c r="AD212" s="87">
        <f t="shared" si="255"/>
        <v>-3.8895223840659271E-5</v>
      </c>
      <c r="AE212" s="87">
        <f t="shared" si="255"/>
        <v>-2.6454779705327973E-4</v>
      </c>
      <c r="AF212" s="87">
        <f t="shared" si="255"/>
        <v>-1.6946734796241642E-4</v>
      </c>
      <c r="AG212" s="87">
        <f t="shared" si="255"/>
        <v>-9.027256290858386E-5</v>
      </c>
      <c r="AH212" s="87">
        <f t="shared" si="255"/>
        <v>-5.8623090246998985E-5</v>
      </c>
      <c r="AI212" s="87">
        <f t="shared" si="255"/>
        <v>-2.1105189910724004E-4</v>
      </c>
      <c r="AJ212" s="87">
        <f t="shared" si="255"/>
        <v>0</v>
      </c>
      <c r="AK212" s="87">
        <f t="shared" si="255"/>
        <v>-3.9319095712524055E-3</v>
      </c>
      <c r="AL212" s="87">
        <f t="shared" si="255"/>
        <v>-3.8644086589645008E-3</v>
      </c>
      <c r="AM212" s="87">
        <f t="shared" si="255"/>
        <v>-4.9632123880269082E-3</v>
      </c>
      <c r="AN212" s="87">
        <f t="shared" si="255"/>
        <v>-2.8739298383134962E-3</v>
      </c>
      <c r="AO212" s="87">
        <f t="shared" si="255"/>
        <v>-2.5847043640280136E-3</v>
      </c>
      <c r="AP212" s="87">
        <f t="shared" si="255"/>
        <v>-5.0726031958714564E-3</v>
      </c>
      <c r="AQ212" s="87">
        <f t="shared" si="255"/>
        <v>-7.4236834002359125E-3</v>
      </c>
      <c r="AR212" s="87">
        <f t="shared" si="255"/>
        <v>-4.8621144800453696E-3</v>
      </c>
      <c r="AS212" s="87">
        <f t="shared" si="255"/>
        <v>-3.1981544306112952E-3</v>
      </c>
      <c r="AT212" s="87">
        <f t="shared" si="255"/>
        <v>-4.0233935274435742E-3</v>
      </c>
      <c r="AU212" s="87">
        <f t="shared" si="255"/>
        <v>-5.5804381756775793E-3</v>
      </c>
      <c r="AV212" s="87">
        <f t="shared" si="255"/>
        <v>-3.7485337172604625E-3</v>
      </c>
      <c r="AW212" s="87">
        <f t="shared" si="255"/>
        <v>-2.1834794551476465E-3</v>
      </c>
      <c r="AX212" s="87">
        <f t="shared" si="255"/>
        <v>-1.9076421314068225E-3</v>
      </c>
      <c r="AY212" s="87">
        <f t="shared" si="255"/>
        <v>-2.326420825239007E-3</v>
      </c>
      <c r="AZ212" s="87">
        <f t="shared" si="255"/>
        <v>-2.6450708784163438E-3</v>
      </c>
      <c r="BA212" s="87">
        <f t="shared" si="255"/>
        <v>-3.3033215824920361E-3</v>
      </c>
      <c r="BB212" s="87">
        <f t="shared" si="255"/>
        <v>-1.6390131746196534E-2</v>
      </c>
      <c r="BC212" s="87">
        <f t="shared" si="255"/>
        <v>-1.0653086196654168E-2</v>
      </c>
      <c r="BD212" s="87">
        <f t="shared" si="255"/>
        <v>-8.8887020519384814E-3</v>
      </c>
      <c r="BE212" s="87">
        <f t="shared" si="255"/>
        <v>-1.2466790539398098E-2</v>
      </c>
      <c r="BF212" s="87">
        <f t="shared" si="255"/>
        <v>-7.9161085227595993E-3</v>
      </c>
      <c r="BG212" s="87">
        <f t="shared" si="255"/>
        <v>-1.9042147210360492E-2</v>
      </c>
      <c r="BH212" s="87">
        <f t="shared" si="255"/>
        <v>-4.5467685954993078E-2</v>
      </c>
      <c r="BI212" s="87">
        <f t="shared" si="255"/>
        <v>-6.9719870466824457E-2</v>
      </c>
      <c r="BJ212" s="87">
        <f t="shared" si="255"/>
        <v>0.96272127924554141</v>
      </c>
      <c r="BK212" s="87">
        <f t="shared" si="255"/>
        <v>-2.7968197754683747E-3</v>
      </c>
      <c r="BL212" s="87">
        <f t="shared" si="255"/>
        <v>-3.5348244646496675E-3</v>
      </c>
      <c r="BM212" s="87">
        <f t="shared" si="255"/>
        <v>-9.5942377719585991E-4</v>
      </c>
      <c r="BN212" s="87">
        <f t="shared" si="255"/>
        <v>-4.9813145422220829E-3</v>
      </c>
      <c r="BO212" s="87">
        <f t="shared" si="254"/>
        <v>-5.4702196426799172E-3</v>
      </c>
      <c r="BP212" s="87">
        <f t="shared" si="254"/>
        <v>-3.1784662412454446E-3</v>
      </c>
      <c r="BQ212" s="87">
        <f t="shared" si="254"/>
        <v>-4.5375593949554434E-3</v>
      </c>
      <c r="BR212" s="87">
        <f t="shared" si="254"/>
        <v>-6.6107058088335268E-3</v>
      </c>
      <c r="BS212" s="87">
        <f t="shared" si="254"/>
        <v>-2.0485924937228165E-5</v>
      </c>
      <c r="BU212" s="97">
        <v>146966.15072856162</v>
      </c>
      <c r="BV212" s="98">
        <v>566482.62748693035</v>
      </c>
      <c r="BW212">
        <f t="shared" si="155"/>
        <v>-37.877537802541688</v>
      </c>
      <c r="BX212">
        <f t="shared" si="190"/>
        <v>-14.046294696092113</v>
      </c>
      <c r="BY212">
        <f t="shared" si="191"/>
        <v>-171.54500018801636</v>
      </c>
      <c r="BZ212">
        <f t="shared" si="192"/>
        <v>-18.265046516212909</v>
      </c>
      <c r="CA212">
        <f t="shared" si="193"/>
        <v>-3.9136998772141554</v>
      </c>
      <c r="CB212">
        <f t="shared" si="194"/>
        <v>-16.563858121996216</v>
      </c>
      <c r="CC212">
        <f t="shared" si="195"/>
        <v>-62.55408245734219</v>
      </c>
      <c r="CD212">
        <f t="shared" si="196"/>
        <v>-127.22591389188698</v>
      </c>
      <c r="CE212">
        <f t="shared" si="165"/>
        <v>-127.12324760816803</v>
      </c>
      <c r="CF212">
        <f t="shared" si="166"/>
        <v>-36.162903035108492</v>
      </c>
      <c r="CG212">
        <f t="shared" si="167"/>
        <v>-36.769989578684999</v>
      </c>
      <c r="CH212">
        <f t="shared" si="168"/>
        <v>-74.233725876855232</v>
      </c>
      <c r="CI212">
        <f t="shared" si="169"/>
        <v>-70.769871682709123</v>
      </c>
      <c r="CJ212">
        <f t="shared" si="170"/>
        <v>-133.75852910431627</v>
      </c>
      <c r="CK212">
        <f t="shared" si="171"/>
        <v>-96.710827051735521</v>
      </c>
      <c r="CL212">
        <f t="shared" si="172"/>
        <v>-17.967144725603486</v>
      </c>
      <c r="CM212">
        <f t="shared" si="173"/>
        <v>-42.979475464192141</v>
      </c>
      <c r="CN212">
        <f t="shared" si="174"/>
        <v>-75.14112059931584</v>
      </c>
      <c r="CO212">
        <f t="shared" si="175"/>
        <v>-93.435137560257886</v>
      </c>
      <c r="CP212">
        <f t="shared" si="176"/>
        <v>-952.67395628841905</v>
      </c>
      <c r="CQ212">
        <f t="shared" si="177"/>
        <v>-171.61708703732904</v>
      </c>
      <c r="CR212">
        <f t="shared" si="178"/>
        <v>-46.255654158352421</v>
      </c>
      <c r="CS212">
        <f t="shared" si="179"/>
        <v>-659.35445288060566</v>
      </c>
      <c r="CT212">
        <f t="shared" si="180"/>
        <v>-2237.2772272744487</v>
      </c>
      <c r="CU212">
        <f t="shared" si="181"/>
        <v>-675.83820617284039</v>
      </c>
      <c r="CV212">
        <f t="shared" si="182"/>
        <v>-1063.2002600851267</v>
      </c>
      <c r="CW212">
        <f t="shared" si="183"/>
        <v>-81.102439886346417</v>
      </c>
      <c r="CX212">
        <f t="shared" si="184"/>
        <v>-43.412172833535898</v>
      </c>
      <c r="CY212">
        <f t="shared" si="185"/>
        <v>-21.765273091245625</v>
      </c>
      <c r="CZ212">
        <f t="shared" si="186"/>
        <v>-236.77990262996667</v>
      </c>
      <c r="DA212">
        <f t="shared" si="187"/>
        <v>-67.224047636853825</v>
      </c>
      <c r="DB212">
        <f t="shared" si="188"/>
        <v>-21.145443149360723</v>
      </c>
      <c r="DC212">
        <f t="shared" si="156"/>
        <v>-27.732228655048665</v>
      </c>
      <c r="DD212">
        <f t="shared" si="219"/>
        <v>-60.737037170320569</v>
      </c>
      <c r="DE212">
        <f t="shared" si="220"/>
        <v>0</v>
      </c>
      <c r="DF212">
        <f t="shared" si="221"/>
        <v>-5057.6548006674493</v>
      </c>
      <c r="DG212">
        <f t="shared" si="222"/>
        <v>-3451.4733647057578</v>
      </c>
      <c r="DH212">
        <f t="shared" si="223"/>
        <v>-8058.0156498600099</v>
      </c>
      <c r="DI212">
        <f t="shared" si="224"/>
        <v>-2077.36752521884</v>
      </c>
      <c r="DJ212">
        <f t="shared" si="225"/>
        <v>-278.95745252914969</v>
      </c>
      <c r="DK212">
        <f t="shared" si="226"/>
        <v>-1229.1009773691667</v>
      </c>
      <c r="DL212">
        <f t="shared" si="227"/>
        <v>-4894.5308170075241</v>
      </c>
      <c r="DM212">
        <f t="shared" si="157"/>
        <v>-2550.339710178434</v>
      </c>
      <c r="DN212">
        <f t="shared" si="211"/>
        <v>-3439.1333009886139</v>
      </c>
      <c r="DO212">
        <f t="shared" si="212"/>
        <v>-2056.0697215917776</v>
      </c>
      <c r="DP212">
        <f t="shared" si="213"/>
        <v>-2274.3611131972107</v>
      </c>
      <c r="DQ212">
        <f t="shared" si="214"/>
        <v>-5883.8863860146184</v>
      </c>
      <c r="DR212">
        <f t="shared" si="215"/>
        <v>-2090.3476196218935</v>
      </c>
      <c r="DS212">
        <f t="shared" si="216"/>
        <v>-5881.4977735575167</v>
      </c>
      <c r="DT212">
        <f t="shared" si="217"/>
        <v>-3313.6274728878279</v>
      </c>
      <c r="DU212">
        <f t="shared" si="218"/>
        <v>-757.63296242159765</v>
      </c>
      <c r="DV212">
        <f t="shared" si="199"/>
        <v>-2712.3590149898573</v>
      </c>
      <c r="DW212">
        <f t="shared" si="200"/>
        <v>-37683.15338816103</v>
      </c>
      <c r="DX212">
        <f t="shared" si="201"/>
        <v>-3121.5089907989877</v>
      </c>
      <c r="DY212">
        <f t="shared" si="202"/>
        <v>-17022.682950151026</v>
      </c>
      <c r="DZ212">
        <f t="shared" si="203"/>
        <v>-17760.175018536491</v>
      </c>
      <c r="EA212">
        <f t="shared" si="204"/>
        <v>-7075.4760755996022</v>
      </c>
      <c r="EB212">
        <f t="shared" si="205"/>
        <v>-16624.65346223857</v>
      </c>
      <c r="EC212">
        <f t="shared" si="206"/>
        <v>-7850.8135105118236</v>
      </c>
      <c r="ED212">
        <f t="shared" si="207"/>
        <v>-11034.955306802945</v>
      </c>
      <c r="EE212">
        <f t="shared" si="208"/>
        <v>327218.92788275582</v>
      </c>
      <c r="EF212">
        <f t="shared" si="209"/>
        <v>-2981.8514260403617</v>
      </c>
      <c r="EG212">
        <f t="shared" si="158"/>
        <v>-8485.9408847436898</v>
      </c>
      <c r="EH212">
        <f t="shared" si="228"/>
        <v>-1965.0602035396439</v>
      </c>
      <c r="EI212">
        <f t="shared" si="229"/>
        <v>-12987.723033498076</v>
      </c>
      <c r="EJ212">
        <f t="shared" si="230"/>
        <v>-12163.915393234696</v>
      </c>
      <c r="EK212">
        <f t="shared" si="231"/>
        <v>-1818.7388589933914</v>
      </c>
      <c r="EL212">
        <f t="shared" si="232"/>
        <v>-6042.2368270571769</v>
      </c>
      <c r="EM212">
        <f t="shared" si="159"/>
        <v>-6978.9765452714673</v>
      </c>
      <c r="EN212">
        <f t="shared" si="152"/>
        <v>-0.28196342745636094</v>
      </c>
      <c r="EO212">
        <v>61</v>
      </c>
      <c r="EP212">
        <f t="shared" si="243"/>
        <v>91991.269586554074</v>
      </c>
      <c r="EQ212" s="98">
        <f t="shared" si="160"/>
        <v>146966.15072856162</v>
      </c>
      <c r="ES212" s="99">
        <f t="shared" si="161"/>
        <v>0.37406491814256687</v>
      </c>
    </row>
    <row r="213" spans="2:149" x14ac:dyDescent="0.35">
      <c r="B213" s="87">
        <f t="shared" si="154"/>
        <v>-1.9274833767697646E-4</v>
      </c>
      <c r="C213" s="87">
        <f t="shared" si="255"/>
        <v>-4.7780041985154932E-4</v>
      </c>
      <c r="D213" s="87">
        <f t="shared" si="255"/>
        <v>-4.4454053646784963E-4</v>
      </c>
      <c r="E213" s="87">
        <f t="shared" si="255"/>
        <v>-3.845359642252484E-4</v>
      </c>
      <c r="F213" s="87">
        <f t="shared" si="255"/>
        <v>-3.2710267618361476E-4</v>
      </c>
      <c r="G213" s="87">
        <f t="shared" si="255"/>
        <v>-3.1177512792288623E-4</v>
      </c>
      <c r="H213" s="87">
        <f t="shared" si="255"/>
        <v>-1.1015648365793268E-3</v>
      </c>
      <c r="I213" s="87">
        <f t="shared" si="255"/>
        <v>-3.7322441516204105E-4</v>
      </c>
      <c r="J213" s="87">
        <f t="shared" si="255"/>
        <v>-9.272654792726084E-4</v>
      </c>
      <c r="K213" s="87">
        <f t="shared" si="255"/>
        <v>-3.8299792475278741E-4</v>
      </c>
      <c r="L213" s="87">
        <f t="shared" si="255"/>
        <v>-4.3443772194470072E-4</v>
      </c>
      <c r="M213" s="87">
        <f t="shared" si="255"/>
        <v>-3.2887175088403865E-4</v>
      </c>
      <c r="N213" s="87">
        <f t="shared" si="255"/>
        <v>-4.938894816596429E-4</v>
      </c>
      <c r="O213" s="87">
        <f t="shared" si="255"/>
        <v>-7.0505959131312126E-4</v>
      </c>
      <c r="P213" s="87">
        <f t="shared" si="255"/>
        <v>-3.2778788116554571E-4</v>
      </c>
      <c r="Q213" s="87">
        <f t="shared" si="255"/>
        <v>-3.8981575237267507E-4</v>
      </c>
      <c r="R213" s="87">
        <f t="shared" si="255"/>
        <v>-4.0095229174154877E-4</v>
      </c>
      <c r="S213" s="87">
        <f t="shared" si="255"/>
        <v>-3.8057340022120328E-4</v>
      </c>
      <c r="T213" s="87">
        <f t="shared" si="255"/>
        <v>-1.053361776863549E-3</v>
      </c>
      <c r="U213" s="87">
        <f t="shared" si="255"/>
        <v>-1.4948564208203609E-3</v>
      </c>
      <c r="V213" s="87">
        <f t="shared" si="255"/>
        <v>-1.4855829805736872E-3</v>
      </c>
      <c r="W213" s="87">
        <f t="shared" si="255"/>
        <v>-6.7751868472184162E-4</v>
      </c>
      <c r="X213" s="87">
        <f t="shared" si="255"/>
        <v>-1.2517773591528673E-3</v>
      </c>
      <c r="Y213" s="87">
        <f t="shared" si="255"/>
        <v>-1.1987568610755764E-2</v>
      </c>
      <c r="Z213" s="87">
        <f t="shared" si="255"/>
        <v>-2.9780541797434132E-3</v>
      </c>
      <c r="AA213" s="87">
        <f t="shared" si="255"/>
        <v>-1.9424771426404092E-3</v>
      </c>
      <c r="AB213" s="87">
        <f t="shared" si="255"/>
        <v>-5.9749318595397104E-3</v>
      </c>
      <c r="AC213" s="87">
        <f t="shared" si="255"/>
        <v>-1.7014640165549067E-3</v>
      </c>
      <c r="AD213" s="87">
        <f t="shared" si="255"/>
        <v>-2.9315859859736017E-4</v>
      </c>
      <c r="AE213" s="87">
        <f t="shared" si="255"/>
        <v>-1.3560378649392889E-3</v>
      </c>
      <c r="AF213" s="87">
        <f t="shared" si="255"/>
        <v>-1.3669286520874126E-3</v>
      </c>
      <c r="AG213" s="87">
        <f t="shared" si="255"/>
        <v>-4.0586457830844717E-4</v>
      </c>
      <c r="AH213" s="87">
        <f t="shared" si="255"/>
        <v>-6.218585841265905E-4</v>
      </c>
      <c r="AI213" s="87">
        <f t="shared" si="255"/>
        <v>-1.4431421496399807E-3</v>
      </c>
      <c r="AJ213" s="87">
        <f t="shared" si="255"/>
        <v>0</v>
      </c>
      <c r="AK213" s="87">
        <f t="shared" si="255"/>
        <v>-4.8277318862885964E-3</v>
      </c>
      <c r="AL213" s="87">
        <f t="shared" si="255"/>
        <v>-3.9296001320749041E-3</v>
      </c>
      <c r="AM213" s="87">
        <f t="shared" si="255"/>
        <v>-5.6587714984188096E-3</v>
      </c>
      <c r="AN213" s="87">
        <f t="shared" si="255"/>
        <v>-6.6112174440914615E-3</v>
      </c>
      <c r="AO213" s="87">
        <f t="shared" si="255"/>
        <v>-5.9700222108512039E-3</v>
      </c>
      <c r="AP213" s="87">
        <f t="shared" si="255"/>
        <v>-6.9103101133165291E-3</v>
      </c>
      <c r="AQ213" s="87">
        <f t="shared" si="255"/>
        <v>-1.0678011326874653E-2</v>
      </c>
      <c r="AR213" s="87">
        <f t="shared" si="255"/>
        <v>-4.6640638759176262E-3</v>
      </c>
      <c r="AS213" s="87">
        <f t="shared" si="255"/>
        <v>-7.4955739904182077E-3</v>
      </c>
      <c r="AT213" s="87">
        <f t="shared" si="255"/>
        <v>-5.2477614722066255E-3</v>
      </c>
      <c r="AU213" s="87">
        <f t="shared" si="255"/>
        <v>-6.5691695558474745E-3</v>
      </c>
      <c r="AV213" s="87">
        <f t="shared" si="255"/>
        <v>-8.2432714737740078E-3</v>
      </c>
      <c r="AW213" s="87">
        <f t="shared" si="255"/>
        <v>-5.2115391491680176E-3</v>
      </c>
      <c r="AX213" s="87">
        <f t="shared" si="255"/>
        <v>-7.6321755815400572E-3</v>
      </c>
      <c r="AY213" s="87">
        <f t="shared" si="255"/>
        <v>-4.782739137848816E-3</v>
      </c>
      <c r="AZ213" s="87">
        <f t="shared" si="255"/>
        <v>-2.0205028688247331E-2</v>
      </c>
      <c r="BA213" s="87">
        <f t="shared" si="255"/>
        <v>-6.7519638521356439E-3</v>
      </c>
      <c r="BB213" s="87">
        <f t="shared" si="255"/>
        <v>-1.4308121188280492E-2</v>
      </c>
      <c r="BC213" s="87">
        <f t="shared" si="255"/>
        <v>-1.5091415278015677E-2</v>
      </c>
      <c r="BD213" s="87">
        <f t="shared" si="255"/>
        <v>-1.6062153648177101E-2</v>
      </c>
      <c r="BE213" s="87">
        <f t="shared" si="255"/>
        <v>-1.9685379180298071E-2</v>
      </c>
      <c r="BF213" s="87">
        <f t="shared" si="255"/>
        <v>-1.6328457023565154E-2</v>
      </c>
      <c r="BG213" s="87">
        <f t="shared" si="255"/>
        <v>-2.3549325672324654E-2</v>
      </c>
      <c r="BH213" s="87">
        <f t="shared" si="255"/>
        <v>-2.0756677687892341E-2</v>
      </c>
      <c r="BI213" s="87">
        <f t="shared" si="255"/>
        <v>-2.7804116178642303E-2</v>
      </c>
      <c r="BJ213" s="87">
        <f t="shared" si="255"/>
        <v>-2.7189705078146074E-2</v>
      </c>
      <c r="BK213" s="87">
        <f t="shared" si="255"/>
        <v>0.89394132208731847</v>
      </c>
      <c r="BL213" s="87">
        <f t="shared" si="255"/>
        <v>-2.5844716325489715E-2</v>
      </c>
      <c r="BM213" s="87">
        <f t="shared" si="255"/>
        <v>-4.0486057403761435E-3</v>
      </c>
      <c r="BN213" s="87">
        <f t="shared" ref="BN213:BS220" si="256">BN140-BN63</f>
        <v>-2.5219006839653751E-2</v>
      </c>
      <c r="BO213" s="87">
        <f t="shared" si="256"/>
        <v>-2.2233847564585067E-2</v>
      </c>
      <c r="BP213" s="87">
        <f t="shared" si="256"/>
        <v>-1.4786252646716272E-2</v>
      </c>
      <c r="BQ213" s="87">
        <f t="shared" si="256"/>
        <v>-1.5422222869988622E-2</v>
      </c>
      <c r="BR213" s="87">
        <f t="shared" si="256"/>
        <v>-2.1063106292652282E-2</v>
      </c>
      <c r="BS213" s="87">
        <f t="shared" si="256"/>
        <v>-2.0175518168785264E-3</v>
      </c>
      <c r="BU213" s="97">
        <v>740763.94436927885</v>
      </c>
      <c r="BV213" s="98">
        <v>1776929.7901584194</v>
      </c>
      <c r="BW213">
        <f t="shared" si="155"/>
        <v>-44.847234881809307</v>
      </c>
      <c r="BX213">
        <f t="shared" si="190"/>
        <v>-16.646431229055292</v>
      </c>
      <c r="BY213">
        <f t="shared" si="191"/>
        <v>-164.96635408212163</v>
      </c>
      <c r="BZ213">
        <f t="shared" si="192"/>
        <v>-29.293863824506353</v>
      </c>
      <c r="CA213">
        <f t="shared" si="193"/>
        <v>-4.9102678141352012</v>
      </c>
      <c r="CB213">
        <f t="shared" si="194"/>
        <v>-16.072374532781538</v>
      </c>
      <c r="CC213">
        <f t="shared" si="195"/>
        <v>-195.82367323526279</v>
      </c>
      <c r="CD213">
        <f t="shared" si="196"/>
        <v>-47.869411628352374</v>
      </c>
      <c r="CE213">
        <f t="shared" si="165"/>
        <v>-258.56575014899499</v>
      </c>
      <c r="CF213">
        <f t="shared" si="166"/>
        <v>-45.68876960831296</v>
      </c>
      <c r="CG213">
        <f t="shared" si="167"/>
        <v>-36.39286635128429</v>
      </c>
      <c r="CH213">
        <f t="shared" si="168"/>
        <v>-98.691805322918967</v>
      </c>
      <c r="CI213">
        <f t="shared" si="169"/>
        <v>-118.04171252006036</v>
      </c>
      <c r="CJ213">
        <f t="shared" si="170"/>
        <v>-263.34577990612155</v>
      </c>
      <c r="CK213">
        <f t="shared" si="171"/>
        <v>-110.07286232669112</v>
      </c>
      <c r="CL213">
        <f t="shared" si="172"/>
        <v>-30.649397283938438</v>
      </c>
      <c r="CM213">
        <f t="shared" si="173"/>
        <v>-97.744728598201803</v>
      </c>
      <c r="CN213">
        <f t="shared" si="174"/>
        <v>-208.88210558141168</v>
      </c>
      <c r="CO213">
        <f t="shared" si="175"/>
        <v>-151.48073241323087</v>
      </c>
      <c r="CP213">
        <f t="shared" si="176"/>
        <v>-695.4147515617401</v>
      </c>
      <c r="CQ213">
        <f t="shared" si="177"/>
        <v>-508.57508547769169</v>
      </c>
      <c r="CR213">
        <f t="shared" si="178"/>
        <v>-146.9384415212383</v>
      </c>
      <c r="CS213">
        <f t="shared" si="179"/>
        <v>-253.18126855951633</v>
      </c>
      <c r="CT213">
        <f t="shared" si="180"/>
        <v>-542.2498423844745</v>
      </c>
      <c r="CU213">
        <f t="shared" si="181"/>
        <v>-138.68011271748139</v>
      </c>
      <c r="CV213">
        <f t="shared" si="182"/>
        <v>-339.61842639914994</v>
      </c>
      <c r="CW213">
        <f t="shared" si="183"/>
        <v>-1677.7579662788942</v>
      </c>
      <c r="CX213">
        <f t="shared" si="184"/>
        <v>-910.32331212518079</v>
      </c>
      <c r="CY213">
        <f t="shared" si="185"/>
        <v>-164.04782714859545</v>
      </c>
      <c r="CZ213">
        <f t="shared" si="186"/>
        <v>-1213.7032218726317</v>
      </c>
      <c r="DA213">
        <f t="shared" si="187"/>
        <v>-542.23116092241924</v>
      </c>
      <c r="DB213">
        <f t="shared" si="188"/>
        <v>-95.069709892378256</v>
      </c>
      <c r="DC213">
        <f t="shared" si="156"/>
        <v>-294.17631130399599</v>
      </c>
      <c r="DD213">
        <f t="shared" si="219"/>
        <v>-415.31101475756856</v>
      </c>
      <c r="DE213">
        <f t="shared" si="220"/>
        <v>0</v>
      </c>
      <c r="DF213">
        <f t="shared" si="221"/>
        <v>-6209.9600483043287</v>
      </c>
      <c r="DG213">
        <f t="shared" si="222"/>
        <v>-3509.698737046886</v>
      </c>
      <c r="DH213">
        <f t="shared" si="223"/>
        <v>-9187.2895472377531</v>
      </c>
      <c r="DI213">
        <f t="shared" si="224"/>
        <v>-4778.7973935283553</v>
      </c>
      <c r="DJ213">
        <f t="shared" si="225"/>
        <v>-644.32211693493468</v>
      </c>
      <c r="DK213">
        <f t="shared" si="226"/>
        <v>-1674.3807047856881</v>
      </c>
      <c r="DL213">
        <f t="shared" si="227"/>
        <v>-7040.1514566316955</v>
      </c>
      <c r="DM213">
        <f t="shared" si="157"/>
        <v>-2446.4556238606847</v>
      </c>
      <c r="DN213">
        <f t="shared" si="211"/>
        <v>-8060.3606485457012</v>
      </c>
      <c r="DO213">
        <f t="shared" si="212"/>
        <v>-2681.7569287078027</v>
      </c>
      <c r="DP213">
        <f t="shared" si="213"/>
        <v>-2677.3280723613407</v>
      </c>
      <c r="DQ213">
        <f t="shared" si="214"/>
        <v>-12939.052029178109</v>
      </c>
      <c r="DR213">
        <f t="shared" si="215"/>
        <v>-4989.2516411577726</v>
      </c>
      <c r="DS213">
        <f t="shared" si="216"/>
        <v>-23530.945847334599</v>
      </c>
      <c r="DT213">
        <f t="shared" si="217"/>
        <v>-6812.2738719051404</v>
      </c>
      <c r="DU213">
        <f t="shared" si="218"/>
        <v>-5787.3669343996526</v>
      </c>
      <c r="DV213">
        <f t="shared" si="199"/>
        <v>-5544.0409193856949</v>
      </c>
      <c r="DW213">
        <f t="shared" si="200"/>
        <v>-32896.326508143575</v>
      </c>
      <c r="DX213">
        <f t="shared" si="201"/>
        <v>-4422.0038779938177</v>
      </c>
      <c r="DY213">
        <f t="shared" si="202"/>
        <v>-30760.503327918585</v>
      </c>
      <c r="DZ213">
        <f t="shared" si="203"/>
        <v>-28043.767836114439</v>
      </c>
      <c r="EA213">
        <f t="shared" si="204"/>
        <v>-14594.495096868199</v>
      </c>
      <c r="EB213">
        <f t="shared" si="205"/>
        <v>-20559.623568017996</v>
      </c>
      <c r="EC213">
        <f t="shared" si="206"/>
        <v>-3584.0136176437468</v>
      </c>
      <c r="ED213">
        <f t="shared" si="207"/>
        <v>-4400.713560167479</v>
      </c>
      <c r="EE213">
        <f t="shared" si="208"/>
        <v>-9241.4973439577516</v>
      </c>
      <c r="EF213">
        <f t="shared" si="209"/>
        <v>953082.5795223352</v>
      </c>
      <c r="EG213">
        <f t="shared" si="158"/>
        <v>-62044.590082017581</v>
      </c>
      <c r="EH213">
        <f t="shared" si="228"/>
        <v>-8292.2210282174419</v>
      </c>
      <c r="EI213">
        <f t="shared" si="229"/>
        <v>-65753.221009650879</v>
      </c>
      <c r="EJ213">
        <f t="shared" si="230"/>
        <v>-49440.545043488142</v>
      </c>
      <c r="EK213">
        <f t="shared" si="231"/>
        <v>-8460.78901783123</v>
      </c>
      <c r="EL213">
        <f t="shared" si="232"/>
        <v>-20536.309251119721</v>
      </c>
      <c r="EM213">
        <f t="shared" si="159"/>
        <v>-22236.494715973211</v>
      </c>
      <c r="EN213">
        <f t="shared" si="152"/>
        <v>-27.769106208335494</v>
      </c>
      <c r="EO213">
        <v>62</v>
      </c>
      <c r="EP213">
        <f t="shared" si="243"/>
        <v>449396.99843548477</v>
      </c>
      <c r="EQ213" s="98">
        <f t="shared" si="160"/>
        <v>740763.94436927885</v>
      </c>
      <c r="ES213" s="99">
        <f t="shared" si="161"/>
        <v>0.39333305589255907</v>
      </c>
    </row>
    <row r="214" spans="2:149" x14ac:dyDescent="0.35">
      <c r="B214" s="87">
        <f t="shared" si="154"/>
        <v>-6.9151475332185732E-4</v>
      </c>
      <c r="C214" s="87">
        <f t="shared" ref="C214:BN217" si="257">C141-C64</f>
        <v>-2.5350230920002993E-3</v>
      </c>
      <c r="D214" s="87">
        <f t="shared" si="257"/>
        <v>-7.0837142913648824E-4</v>
      </c>
      <c r="E214" s="87">
        <f t="shared" si="257"/>
        <v>-7.3566883239226642E-4</v>
      </c>
      <c r="F214" s="87">
        <f t="shared" si="257"/>
        <v>-6.4281231530533966E-4</v>
      </c>
      <c r="G214" s="87">
        <f t="shared" si="257"/>
        <v>-6.9883028880643244E-4</v>
      </c>
      <c r="H214" s="87">
        <f t="shared" si="257"/>
        <v>-7.8342613520376392E-4</v>
      </c>
      <c r="I214" s="87">
        <f t="shared" si="257"/>
        <v>-6.1766003904637726E-4</v>
      </c>
      <c r="J214" s="87">
        <f t="shared" si="257"/>
        <v>-6.1867954665191017E-4</v>
      </c>
      <c r="K214" s="87">
        <f t="shared" si="257"/>
        <v>-5.6667316687377886E-4</v>
      </c>
      <c r="L214" s="87">
        <f t="shared" si="257"/>
        <v>-7.7493982473026757E-4</v>
      </c>
      <c r="M214" s="87">
        <f t="shared" si="257"/>
        <v>-5.8488139524113408E-4</v>
      </c>
      <c r="N214" s="87">
        <f t="shared" si="257"/>
        <v>-5.3008673834229456E-4</v>
      </c>
      <c r="O214" s="87">
        <f t="shared" si="257"/>
        <v>-4.2366965687600725E-4</v>
      </c>
      <c r="P214" s="87">
        <f t="shared" si="257"/>
        <v>-4.2239708489749065E-4</v>
      </c>
      <c r="Q214" s="87">
        <f t="shared" si="257"/>
        <v>-7.5004829909858001E-4</v>
      </c>
      <c r="R214" s="87">
        <f t="shared" si="257"/>
        <v>-7.2163400160474636E-4</v>
      </c>
      <c r="S214" s="87">
        <f t="shared" si="257"/>
        <v>-8.8638952379022995E-4</v>
      </c>
      <c r="T214" s="87">
        <f t="shared" si="257"/>
        <v>-1.2288050522444324E-3</v>
      </c>
      <c r="U214" s="87">
        <f t="shared" si="257"/>
        <v>-1.1877749958440248E-3</v>
      </c>
      <c r="V214" s="87">
        <f t="shared" si="257"/>
        <v>-1.2946096211222285E-3</v>
      </c>
      <c r="W214" s="87">
        <f t="shared" si="257"/>
        <v>-8.9726349854156277E-4</v>
      </c>
      <c r="X214" s="87">
        <f t="shared" si="257"/>
        <v>-1.4377122868595728E-3</v>
      </c>
      <c r="Y214" s="87">
        <f t="shared" si="257"/>
        <v>-9.6294926043137433E-4</v>
      </c>
      <c r="Z214" s="87">
        <f t="shared" si="257"/>
        <v>-2.3484107059622795E-3</v>
      </c>
      <c r="AA214" s="87">
        <f t="shared" si="257"/>
        <v>-9.9730408747991119E-4</v>
      </c>
      <c r="AB214" s="87">
        <f t="shared" si="257"/>
        <v>-7.7888419050804194E-4</v>
      </c>
      <c r="AC214" s="87">
        <f t="shared" si="257"/>
        <v>-1.0140214229450892E-2</v>
      </c>
      <c r="AD214" s="87">
        <f t="shared" si="257"/>
        <v>-3.4300212174942567E-3</v>
      </c>
      <c r="AE214" s="87">
        <f t="shared" si="257"/>
        <v>-1.1019614493075142E-3</v>
      </c>
      <c r="AF214" s="87">
        <f t="shared" si="257"/>
        <v>-1.1020368869938536E-3</v>
      </c>
      <c r="AG214" s="87">
        <f t="shared" si="257"/>
        <v>-3.1127483610195802E-4</v>
      </c>
      <c r="AH214" s="87">
        <f t="shared" si="257"/>
        <v>-4.3688846868022529E-4</v>
      </c>
      <c r="AI214" s="87">
        <f t="shared" si="257"/>
        <v>-1.0408626147242006E-3</v>
      </c>
      <c r="AJ214" s="87">
        <f t="shared" si="257"/>
        <v>0</v>
      </c>
      <c r="AK214" s="87">
        <f t="shared" si="257"/>
        <v>-1.8076837707513223E-2</v>
      </c>
      <c r="AL214" s="87">
        <f t="shared" si="257"/>
        <v>-1.8728442065624327E-2</v>
      </c>
      <c r="AM214" s="87">
        <f t="shared" si="257"/>
        <v>-1.6444510443487728E-2</v>
      </c>
      <c r="AN214" s="87">
        <f t="shared" si="257"/>
        <v>-2.1138510117703537E-2</v>
      </c>
      <c r="AO214" s="87">
        <f t="shared" si="257"/>
        <v>-1.5991239880407352E-2</v>
      </c>
      <c r="AP214" s="87">
        <f t="shared" si="257"/>
        <v>-1.601233638121112E-2</v>
      </c>
      <c r="AQ214" s="87">
        <f t="shared" si="257"/>
        <v>-2.4054361658743893E-2</v>
      </c>
      <c r="AR214" s="87">
        <f t="shared" si="257"/>
        <v>-1.3108458242927104E-2</v>
      </c>
      <c r="AS214" s="87">
        <f t="shared" si="257"/>
        <v>-1.886621731669488E-2</v>
      </c>
      <c r="AT214" s="87">
        <f t="shared" si="257"/>
        <v>-1.5911934823872913E-2</v>
      </c>
      <c r="AU214" s="87">
        <f t="shared" si="257"/>
        <v>-2.5805674174094188E-2</v>
      </c>
      <c r="AV214" s="87">
        <f t="shared" si="257"/>
        <v>-1.7976028830256719E-2</v>
      </c>
      <c r="AW214" s="87">
        <f t="shared" si="257"/>
        <v>-1.488717859428362E-2</v>
      </c>
      <c r="AX214" s="87">
        <f t="shared" si="257"/>
        <v>-1.272718085569957E-2</v>
      </c>
      <c r="AY214" s="87">
        <f t="shared" si="257"/>
        <v>-1.48010578440167E-2</v>
      </c>
      <c r="AZ214" s="87">
        <f t="shared" si="257"/>
        <v>-3.4032266375542047E-2</v>
      </c>
      <c r="BA214" s="87">
        <f t="shared" si="257"/>
        <v>-2.5920526994458584E-2</v>
      </c>
      <c r="BB214" s="87">
        <f t="shared" si="257"/>
        <v>-2.0797907072543146E-2</v>
      </c>
      <c r="BC214" s="87">
        <f t="shared" si="257"/>
        <v>-1.6977398119783028E-2</v>
      </c>
      <c r="BD214" s="87">
        <f t="shared" si="257"/>
        <v>-2.7485724208816849E-2</v>
      </c>
      <c r="BE214" s="87">
        <f t="shared" si="257"/>
        <v>-3.3558736075609226E-2</v>
      </c>
      <c r="BF214" s="87">
        <f t="shared" si="257"/>
        <v>-2.9602989447916558E-2</v>
      </c>
      <c r="BG214" s="87">
        <f t="shared" si="257"/>
        <v>-5.3638262105814682E-2</v>
      </c>
      <c r="BH214" s="87">
        <f t="shared" si="257"/>
        <v>-2.4634321132547411E-2</v>
      </c>
      <c r="BI214" s="87">
        <f t="shared" si="257"/>
        <v>-3.6156393841314229E-2</v>
      </c>
      <c r="BJ214" s="87">
        <f t="shared" si="257"/>
        <v>-4.282785297046706E-2</v>
      </c>
      <c r="BK214" s="87">
        <f t="shared" si="257"/>
        <v>-1.8501503785009105E-2</v>
      </c>
      <c r="BL214" s="87">
        <f t="shared" si="257"/>
        <v>0.80140810034144083</v>
      </c>
      <c r="BM214" s="87">
        <f t="shared" si="257"/>
        <v>-8.9296701062318268E-2</v>
      </c>
      <c r="BN214" s="87">
        <f t="shared" si="257"/>
        <v>-4.5231006087210694E-2</v>
      </c>
      <c r="BO214" s="87">
        <f t="shared" si="256"/>
        <v>-2.3536387840571216E-2</v>
      </c>
      <c r="BP214" s="87">
        <f t="shared" si="256"/>
        <v>-2.1081477070938284E-2</v>
      </c>
      <c r="BQ214" s="87">
        <f t="shared" si="256"/>
        <v>-3.1414429040109146E-2</v>
      </c>
      <c r="BR214" s="87">
        <f t="shared" si="256"/>
        <v>-5.1203173295217869E-2</v>
      </c>
      <c r="BS214" s="87">
        <f t="shared" si="256"/>
        <v>-2.7816154046488045E-2</v>
      </c>
      <c r="BU214" s="97">
        <v>1479270.4494289467</v>
      </c>
      <c r="BV214" s="98">
        <v>4001113.7609085971</v>
      </c>
      <c r="BW214">
        <f t="shared" si="155"/>
        <v>-160.89645669699678</v>
      </c>
      <c r="BX214">
        <f t="shared" si="190"/>
        <v>-88.319486153154017</v>
      </c>
      <c r="BY214">
        <f t="shared" si="191"/>
        <v>-262.87243212754771</v>
      </c>
      <c r="BZ214">
        <f t="shared" si="192"/>
        <v>-56.043087255706013</v>
      </c>
      <c r="CA214">
        <f t="shared" si="193"/>
        <v>-9.6495102369683625</v>
      </c>
      <c r="CB214">
        <f t="shared" si="194"/>
        <v>-36.025523303856794</v>
      </c>
      <c r="CC214">
        <f t="shared" si="195"/>
        <v>-139.26859174308703</v>
      </c>
      <c r="CD214">
        <f t="shared" si="196"/>
        <v>-79.220494304099219</v>
      </c>
      <c r="CE214">
        <f t="shared" si="165"/>
        <v>-172.51730454516533</v>
      </c>
      <c r="CF214">
        <f t="shared" si="166"/>
        <v>-67.599843474924043</v>
      </c>
      <c r="CG214">
        <f t="shared" si="167"/>
        <v>-64.916741910561228</v>
      </c>
      <c r="CH214">
        <f t="shared" si="168"/>
        <v>-175.51827008847764</v>
      </c>
      <c r="CI214">
        <f t="shared" si="169"/>
        <v>-126.69301271173549</v>
      </c>
      <c r="CJ214">
        <f t="shared" si="170"/>
        <v>-158.24423578832133</v>
      </c>
      <c r="CK214">
        <f t="shared" si="171"/>
        <v>-141.84312125205028</v>
      </c>
      <c r="CL214">
        <f t="shared" si="172"/>
        <v>-58.972804873305805</v>
      </c>
      <c r="CM214">
        <f t="shared" si="173"/>
        <v>-175.92097884692291</v>
      </c>
      <c r="CN214">
        <f t="shared" si="174"/>
        <v>-486.50512617800274</v>
      </c>
      <c r="CO214">
        <f t="shared" si="175"/>
        <v>-176.71069275107882</v>
      </c>
      <c r="CP214">
        <f t="shared" si="176"/>
        <v>-552.55892281134379</v>
      </c>
      <c r="CQ214">
        <f t="shared" si="177"/>
        <v>-443.19718745581133</v>
      </c>
      <c r="CR214">
        <f t="shared" si="178"/>
        <v>-194.59610942496687</v>
      </c>
      <c r="CS214">
        <f t="shared" si="179"/>
        <v>-290.78798873391185</v>
      </c>
      <c r="CT214">
        <f t="shared" si="180"/>
        <v>-43.558381323853723</v>
      </c>
      <c r="CU214">
        <f t="shared" si="181"/>
        <v>-109.35928017194406</v>
      </c>
      <c r="CV214">
        <f t="shared" si="182"/>
        <v>-174.36645065020886</v>
      </c>
      <c r="CW214">
        <f t="shared" si="183"/>
        <v>-218.71030267016724</v>
      </c>
      <c r="CX214">
        <f t="shared" si="184"/>
        <v>-5425.2533777958633</v>
      </c>
      <c r="CY214">
        <f t="shared" si="185"/>
        <v>-1919.3962943462495</v>
      </c>
      <c r="CZ214">
        <f t="shared" si="186"/>
        <v>-986.29558656449751</v>
      </c>
      <c r="DA214">
        <f t="shared" si="187"/>
        <v>-437.15430187338944</v>
      </c>
      <c r="DB214">
        <f t="shared" si="188"/>
        <v>-72.913010759270861</v>
      </c>
      <c r="DC214">
        <f t="shared" si="156"/>
        <v>-206.67438135972893</v>
      </c>
      <c r="DD214">
        <f t="shared" si="219"/>
        <v>-299.54201590755616</v>
      </c>
      <c r="DE214">
        <f t="shared" si="220"/>
        <v>0</v>
      </c>
      <c r="DF214">
        <f t="shared" si="221"/>
        <v>-23252.418031366164</v>
      </c>
      <c r="DG214">
        <f t="shared" si="222"/>
        <v>-16727.195453820932</v>
      </c>
      <c r="DH214">
        <f t="shared" si="223"/>
        <v>-26698.459011662202</v>
      </c>
      <c r="DI214">
        <f t="shared" si="224"/>
        <v>-15279.584722150448</v>
      </c>
      <c r="DJ214">
        <f t="shared" si="225"/>
        <v>-1725.8745726993445</v>
      </c>
      <c r="DK214">
        <f t="shared" si="226"/>
        <v>-3879.8182188049823</v>
      </c>
      <c r="DL214">
        <f t="shared" si="227"/>
        <v>-15859.352840723892</v>
      </c>
      <c r="DM214">
        <f t="shared" si="157"/>
        <v>-6875.8195088489283</v>
      </c>
      <c r="DN214">
        <f t="shared" si="211"/>
        <v>-20287.774604158683</v>
      </c>
      <c r="DO214">
        <f t="shared" si="212"/>
        <v>-8131.4559911056858</v>
      </c>
      <c r="DP214">
        <f t="shared" si="213"/>
        <v>-10517.350070681687</v>
      </c>
      <c r="DQ214">
        <f t="shared" si="214"/>
        <v>-28216.075747680028</v>
      </c>
      <c r="DR214">
        <f t="shared" si="215"/>
        <v>-14252.196540746698</v>
      </c>
      <c r="DS214">
        <f t="shared" si="216"/>
        <v>-39239.480316603134</v>
      </c>
      <c r="DT214">
        <f t="shared" si="217"/>
        <v>-21081.822930594219</v>
      </c>
      <c r="DU214">
        <f t="shared" si="218"/>
        <v>-9747.9303872039218</v>
      </c>
      <c r="DV214">
        <f t="shared" si="199"/>
        <v>-21283.357769142414</v>
      </c>
      <c r="DW214">
        <f t="shared" si="200"/>
        <v>-47817.231398962591</v>
      </c>
      <c r="DX214">
        <f t="shared" si="201"/>
        <v>-4974.6242443735046</v>
      </c>
      <c r="DY214">
        <f t="shared" si="202"/>
        <v>-52637.69289689968</v>
      </c>
      <c r="DZ214">
        <f t="shared" si="203"/>
        <v>-47807.735617291437</v>
      </c>
      <c r="EA214">
        <f t="shared" si="204"/>
        <v>-26459.369904133629</v>
      </c>
      <c r="EB214">
        <f t="shared" si="205"/>
        <v>-46828.622317378387</v>
      </c>
      <c r="EC214">
        <f t="shared" si="206"/>
        <v>-4253.5584802166914</v>
      </c>
      <c r="ED214">
        <f t="shared" si="207"/>
        <v>-5722.6754356051288</v>
      </c>
      <c r="EE214">
        <f t="shared" si="208"/>
        <v>-14556.740808200468</v>
      </c>
      <c r="EF214">
        <f t="shared" si="209"/>
        <v>-19725.523942986856</v>
      </c>
      <c r="EG214">
        <f t="shared" si="158"/>
        <v>1923914.987027854</v>
      </c>
      <c r="EH214">
        <f t="shared" si="228"/>
        <v>-182894.56414953552</v>
      </c>
      <c r="EI214">
        <f t="shared" si="229"/>
        <v>-117930.27214159963</v>
      </c>
      <c r="EJ214">
        <f t="shared" si="230"/>
        <v>-52336.953368623319</v>
      </c>
      <c r="EK214">
        <f t="shared" si="231"/>
        <v>-12062.956987351829</v>
      </c>
      <c r="EL214">
        <f t="shared" si="232"/>
        <v>-41831.611120758847</v>
      </c>
      <c r="EM214">
        <f t="shared" si="159"/>
        <v>-54055.611579824676</v>
      </c>
      <c r="EN214">
        <f t="shared" si="152"/>
        <v>-382.85496786864155</v>
      </c>
      <c r="EO214">
        <v>63</v>
      </c>
      <c r="EP214">
        <f t="shared" si="243"/>
        <v>894568.31964215916</v>
      </c>
      <c r="EQ214" s="98">
        <f t="shared" si="160"/>
        <v>1479270.4494289467</v>
      </c>
      <c r="ES214" s="99">
        <f t="shared" si="161"/>
        <v>0.39526384780585883</v>
      </c>
    </row>
    <row r="215" spans="2:149" x14ac:dyDescent="0.35">
      <c r="B215" s="87">
        <f t="shared" si="154"/>
        <v>-8.4260370401472416E-5</v>
      </c>
      <c r="C215" s="87">
        <f t="shared" si="257"/>
        <v>-2.9346354766776909E-4</v>
      </c>
      <c r="D215" s="87">
        <f t="shared" si="257"/>
        <v>-1.6844360341483047E-4</v>
      </c>
      <c r="E215" s="87">
        <f t="shared" si="257"/>
        <v>-1.8806691838559804E-4</v>
      </c>
      <c r="F215" s="87">
        <f t="shared" si="257"/>
        <v>-1.4701080753020163E-4</v>
      </c>
      <c r="G215" s="87">
        <f t="shared" si="257"/>
        <v>-1.788428128092124E-4</v>
      </c>
      <c r="H215" s="87">
        <f t="shared" si="257"/>
        <v>-2.6152680510709003E-4</v>
      </c>
      <c r="I215" s="87">
        <f t="shared" si="257"/>
        <v>-1.1194943221052417E-4</v>
      </c>
      <c r="J215" s="87">
        <f t="shared" si="257"/>
        <v>-1.5484565795573926E-4</v>
      </c>
      <c r="K215" s="87">
        <f t="shared" si="257"/>
        <v>-1.7163082151723405E-4</v>
      </c>
      <c r="L215" s="87">
        <f t="shared" si="257"/>
        <v>-1.7197223088417772E-4</v>
      </c>
      <c r="M215" s="87">
        <f t="shared" si="257"/>
        <v>-1.8597421717170566E-4</v>
      </c>
      <c r="N215" s="87">
        <f t="shared" si="257"/>
        <v>-2.3832504679919023E-4</v>
      </c>
      <c r="O215" s="87">
        <f t="shared" si="257"/>
        <v>-1.8901977363908564E-4</v>
      </c>
      <c r="P215" s="87">
        <f t="shared" si="257"/>
        <v>-2.8265260805852935E-4</v>
      </c>
      <c r="Q215" s="87">
        <f t="shared" si="257"/>
        <v>-2.4666052782556093E-4</v>
      </c>
      <c r="R215" s="87">
        <f t="shared" si="257"/>
        <v>-1.7921927700155027E-4</v>
      </c>
      <c r="S215" s="87">
        <f t="shared" si="257"/>
        <v>-4.947864036052434E-4</v>
      </c>
      <c r="T215" s="87">
        <f t="shared" si="257"/>
        <v>-6.112277968491574E-4</v>
      </c>
      <c r="U215" s="87">
        <f t="shared" si="257"/>
        <v>-5.0359685717764433E-4</v>
      </c>
      <c r="V215" s="87">
        <f t="shared" si="257"/>
        <v>-1.2121553829068992E-3</v>
      </c>
      <c r="W215" s="87">
        <f t="shared" si="257"/>
        <v>-6.0817876554827052E-4</v>
      </c>
      <c r="X215" s="87">
        <f t="shared" si="257"/>
        <v>-2.0186554303066226E-4</v>
      </c>
      <c r="Y215" s="87">
        <f t="shared" si="257"/>
        <v>-9.1493802071099099E-5</v>
      </c>
      <c r="Z215" s="87">
        <f t="shared" si="257"/>
        <v>-1.5737218668626467E-4</v>
      </c>
      <c r="AA215" s="87">
        <f t="shared" si="257"/>
        <v>-2.975660361901819E-4</v>
      </c>
      <c r="AB215" s="87">
        <f t="shared" si="257"/>
        <v>-2.7491825851210487E-4</v>
      </c>
      <c r="AC215" s="87">
        <f t="shared" si="257"/>
        <v>-9.8458397188679611E-4</v>
      </c>
      <c r="AD215" s="87">
        <f t="shared" si="257"/>
        <v>-6.2802478669303323E-4</v>
      </c>
      <c r="AE215" s="87">
        <f t="shared" si="257"/>
        <v>-3.3552901351791177E-4</v>
      </c>
      <c r="AF215" s="87">
        <f t="shared" si="257"/>
        <v>-3.5286980850398198E-4</v>
      </c>
      <c r="AG215" s="87">
        <f t="shared" si="257"/>
        <v>-2.2872058536845241E-4</v>
      </c>
      <c r="AH215" s="87">
        <f t="shared" si="257"/>
        <v>-2.5320590676153554E-4</v>
      </c>
      <c r="AI215" s="87">
        <f t="shared" si="257"/>
        <v>-3.0773061093928379E-4</v>
      </c>
      <c r="AJ215" s="87">
        <f t="shared" si="257"/>
        <v>0</v>
      </c>
      <c r="AK215" s="87">
        <f t="shared" si="257"/>
        <v>-2.6878141672867554E-3</v>
      </c>
      <c r="AL215" s="87">
        <f t="shared" si="257"/>
        <v>-5.0983490699251397E-3</v>
      </c>
      <c r="AM215" s="87">
        <f t="shared" si="257"/>
        <v>-3.2922417293597137E-3</v>
      </c>
      <c r="AN215" s="87">
        <f t="shared" si="257"/>
        <v>-3.5389024870849778E-3</v>
      </c>
      <c r="AO215" s="87">
        <f t="shared" si="257"/>
        <v>-5.0796266034814084E-3</v>
      </c>
      <c r="AP215" s="87">
        <f t="shared" si="257"/>
        <v>-4.4034881511591612E-3</v>
      </c>
      <c r="AQ215" s="87">
        <f t="shared" si="257"/>
        <v>-7.5775972113540013E-3</v>
      </c>
      <c r="AR215" s="87">
        <f t="shared" si="257"/>
        <v>-1.1019273856024694E-3</v>
      </c>
      <c r="AS215" s="87">
        <f t="shared" si="257"/>
        <v>-2.356761418370908E-3</v>
      </c>
      <c r="AT215" s="87">
        <f t="shared" si="257"/>
        <v>-4.1506371891385039E-3</v>
      </c>
      <c r="AU215" s="87">
        <f t="shared" si="257"/>
        <v>-3.1647688230366858E-3</v>
      </c>
      <c r="AV215" s="87">
        <f t="shared" si="257"/>
        <v>-2.8803001709868654E-3</v>
      </c>
      <c r="AW215" s="87">
        <f t="shared" si="257"/>
        <v>-2.5171818621993205E-3</v>
      </c>
      <c r="AX215" s="87">
        <f t="shared" si="257"/>
        <v>-2.2593078445862012E-3</v>
      </c>
      <c r="AY215" s="87">
        <f t="shared" si="257"/>
        <v>-2.2364380749705891E-3</v>
      </c>
      <c r="AZ215" s="87">
        <f t="shared" si="257"/>
        <v>-4.1632197404532561E-3</v>
      </c>
      <c r="BA215" s="87">
        <f t="shared" si="257"/>
        <v>-3.3432967348384092E-3</v>
      </c>
      <c r="BB215" s="87">
        <f t="shared" si="257"/>
        <v>-6.1729118369755406E-3</v>
      </c>
      <c r="BC215" s="87">
        <f t="shared" si="257"/>
        <v>-1.4664927154855137E-2</v>
      </c>
      <c r="BD215" s="87">
        <f t="shared" si="257"/>
        <v>-1.4207729709736813E-2</v>
      </c>
      <c r="BE215" s="87">
        <f t="shared" si="257"/>
        <v>-3.0783118092357096E-2</v>
      </c>
      <c r="BF215" s="87">
        <f t="shared" si="257"/>
        <v>-2.515725075874755E-2</v>
      </c>
      <c r="BG215" s="87">
        <f t="shared" si="257"/>
        <v>-7.9938550608495869E-3</v>
      </c>
      <c r="BH215" s="87">
        <f t="shared" si="257"/>
        <v>-1.4844390599508787E-2</v>
      </c>
      <c r="BI215" s="87">
        <f t="shared" si="257"/>
        <v>-9.3618811256155985E-3</v>
      </c>
      <c r="BJ215" s="87">
        <f t="shared" si="257"/>
        <v>-2.4384984479095536E-2</v>
      </c>
      <c r="BK215" s="87">
        <f t="shared" si="257"/>
        <v>-1.1921368392013486E-2</v>
      </c>
      <c r="BL215" s="87">
        <f t="shared" si="257"/>
        <v>-2.1251022299261828E-2</v>
      </c>
      <c r="BM215" s="87">
        <f t="shared" si="257"/>
        <v>0.96545857788056766</v>
      </c>
      <c r="BN215" s="87">
        <f t="shared" si="257"/>
        <v>-2.2520206749756612E-2</v>
      </c>
      <c r="BO215" s="87">
        <f t="shared" si="256"/>
        <v>-1.2914166553668869E-2</v>
      </c>
      <c r="BP215" s="87">
        <f t="shared" si="256"/>
        <v>-2.1980136242846112E-2</v>
      </c>
      <c r="BQ215" s="87">
        <f t="shared" si="256"/>
        <v>-4.2882802132021572E-2</v>
      </c>
      <c r="BR215" s="87">
        <f t="shared" si="256"/>
        <v>-2.8002182303176321E-2</v>
      </c>
      <c r="BS215" s="87">
        <f t="shared" si="256"/>
        <v>-2.7350163425119068E-6</v>
      </c>
      <c r="BU215" s="97">
        <v>2567247.4484258913</v>
      </c>
      <c r="BV215" s="98">
        <v>3413611.8127121944</v>
      </c>
      <c r="BW215">
        <f t="shared" si="155"/>
        <v>-19.605069844783745</v>
      </c>
      <c r="BX215">
        <f t="shared" si="190"/>
        <v>-10.224186839358357</v>
      </c>
      <c r="BY215">
        <f t="shared" si="191"/>
        <v>-62.508421267019962</v>
      </c>
      <c r="BZ215">
        <f t="shared" si="192"/>
        <v>-14.326895816317323</v>
      </c>
      <c r="CA215">
        <f t="shared" si="193"/>
        <v>-2.2068374522878131</v>
      </c>
      <c r="CB215">
        <f t="shared" si="194"/>
        <v>-9.2195573428703899</v>
      </c>
      <c r="CC215">
        <f t="shared" si="195"/>
        <v>-46.491262179886263</v>
      </c>
      <c r="CD215">
        <f t="shared" si="196"/>
        <v>-14.358528634090675</v>
      </c>
      <c r="CE215">
        <f t="shared" si="165"/>
        <v>-43.178339538799584</v>
      </c>
      <c r="CF215">
        <f t="shared" si="166"/>
        <v>-20.47426514660069</v>
      </c>
      <c r="CG215">
        <f t="shared" si="167"/>
        <v>-14.40612105846723</v>
      </c>
      <c r="CH215">
        <f t="shared" si="168"/>
        <v>-55.809388270213454</v>
      </c>
      <c r="CI215">
        <f t="shared" si="169"/>
        <v>-56.96071227527564</v>
      </c>
      <c r="CJ215">
        <f t="shared" si="170"/>
        <v>-70.600500042778719</v>
      </c>
      <c r="CK215">
        <f t="shared" si="171"/>
        <v>-94.916204657955973</v>
      </c>
      <c r="CL215">
        <f t="shared" si="172"/>
        <v>-19.393768634480409</v>
      </c>
      <c r="CM215">
        <f t="shared" si="173"/>
        <v>-43.690334114299823</v>
      </c>
      <c r="CN215">
        <f t="shared" si="174"/>
        <v>-271.56923142301963</v>
      </c>
      <c r="CO215">
        <f t="shared" si="175"/>
        <v>-87.898798277763717</v>
      </c>
      <c r="CP215">
        <f t="shared" si="176"/>
        <v>-234.27579963116051</v>
      </c>
      <c r="CQ215">
        <f t="shared" si="177"/>
        <v>-414.96976980448278</v>
      </c>
      <c r="CR215">
        <f t="shared" si="178"/>
        <v>-131.90018517742072</v>
      </c>
      <c r="CS215">
        <f t="shared" si="179"/>
        <v>-40.828805449513894</v>
      </c>
      <c r="CT215">
        <f t="shared" si="180"/>
        <v>-4.1386624229783608</v>
      </c>
      <c r="CU215">
        <f t="shared" si="181"/>
        <v>-7.3284068290953934</v>
      </c>
      <c r="CV215">
        <f t="shared" si="182"/>
        <v>-52.025790544630404</v>
      </c>
      <c r="CW215">
        <f t="shared" si="183"/>
        <v>-77.196913561075704</v>
      </c>
      <c r="CX215">
        <f t="shared" si="184"/>
        <v>-526.77560831885546</v>
      </c>
      <c r="CY215">
        <f t="shared" si="185"/>
        <v>-351.43469147890778</v>
      </c>
      <c r="CZ215">
        <f t="shared" si="186"/>
        <v>-300.31067366741087</v>
      </c>
      <c r="DA215">
        <f t="shared" si="187"/>
        <v>-139.97585435596696</v>
      </c>
      <c r="DB215">
        <f t="shared" si="188"/>
        <v>-53.57550488396771</v>
      </c>
      <c r="DC215">
        <f t="shared" si="156"/>
        <v>-119.78154125846858</v>
      </c>
      <c r="DD215">
        <f t="shared" si="219"/>
        <v>-88.559475816740289</v>
      </c>
      <c r="DE215">
        <f t="shared" si="220"/>
        <v>0</v>
      </c>
      <c r="DF215">
        <f t="shared" si="221"/>
        <v>-3457.3623782883242</v>
      </c>
      <c r="DG215">
        <f t="shared" si="222"/>
        <v>-4553.5598255113628</v>
      </c>
      <c r="DH215">
        <f t="shared" si="223"/>
        <v>-5345.1138706657594</v>
      </c>
      <c r="DI215">
        <f t="shared" si="224"/>
        <v>-2558.0308202306869</v>
      </c>
      <c r="DJ215">
        <f t="shared" si="225"/>
        <v>-548.22505692612856</v>
      </c>
      <c r="DK215">
        <f t="shared" si="226"/>
        <v>-1066.973185450089</v>
      </c>
      <c r="DL215">
        <f t="shared" si="227"/>
        <v>-4996.0081903093842</v>
      </c>
      <c r="DM215">
        <f t="shared" si="157"/>
        <v>-577.99732621862449</v>
      </c>
      <c r="DN215">
        <f t="shared" si="211"/>
        <v>-2534.3418688056654</v>
      </c>
      <c r="DO215">
        <f t="shared" si="212"/>
        <v>-2121.0948895975639</v>
      </c>
      <c r="DP215">
        <f t="shared" si="213"/>
        <v>-1289.8318943385802</v>
      </c>
      <c r="DQ215">
        <f t="shared" si="214"/>
        <v>-4521.0634989541504</v>
      </c>
      <c r="DR215">
        <f t="shared" si="215"/>
        <v>-2409.8166352785552</v>
      </c>
      <c r="DS215">
        <f t="shared" si="216"/>
        <v>-6965.7268724271844</v>
      </c>
      <c r="DT215">
        <f t="shared" si="217"/>
        <v>-3185.4609304718397</v>
      </c>
      <c r="DU215">
        <f t="shared" si="218"/>
        <v>-1192.4793890816841</v>
      </c>
      <c r="DV215">
        <f t="shared" si="199"/>
        <v>-2745.1826327135914</v>
      </c>
      <c r="DW215">
        <f t="shared" si="200"/>
        <v>-14192.368139952527</v>
      </c>
      <c r="DX215">
        <f t="shared" si="201"/>
        <v>-4297.0366632037294</v>
      </c>
      <c r="DY215">
        <f t="shared" si="202"/>
        <v>-27209.110720225643</v>
      </c>
      <c r="DZ215">
        <f t="shared" si="203"/>
        <v>-43853.593529849648</v>
      </c>
      <c r="EA215">
        <f t="shared" si="204"/>
        <v>-22485.735934469805</v>
      </c>
      <c r="EB215">
        <f t="shared" si="205"/>
        <v>-6978.9960525922506</v>
      </c>
      <c r="EC215">
        <f t="shared" si="206"/>
        <v>-2563.1509461312335</v>
      </c>
      <c r="ED215">
        <f t="shared" si="207"/>
        <v>-1481.7574834412278</v>
      </c>
      <c r="EE215">
        <f t="shared" si="208"/>
        <v>-8288.2020473676312</v>
      </c>
      <c r="EF215">
        <f t="shared" si="209"/>
        <v>-12710.060781133041</v>
      </c>
      <c r="EG215">
        <f t="shared" si="158"/>
        <v>-51016.65465297117</v>
      </c>
      <c r="EH215">
        <f t="shared" si="228"/>
        <v>1977420.4836824532</v>
      </c>
      <c r="EI215">
        <f t="shared" si="229"/>
        <v>-58716.671160556645</v>
      </c>
      <c r="EJ215">
        <f t="shared" si="230"/>
        <v>-28716.731611166342</v>
      </c>
      <c r="EK215">
        <f t="shared" si="231"/>
        <v>-12577.175554700576</v>
      </c>
      <c r="EL215">
        <f t="shared" si="232"/>
        <v>-57102.954195501181</v>
      </c>
      <c r="EM215">
        <f t="shared" si="159"/>
        <v>-29562.134386489473</v>
      </c>
      <c r="EN215">
        <f t="shared" si="152"/>
        <v>-3.7644118312783435E-2</v>
      </c>
      <c r="EO215">
        <v>64</v>
      </c>
      <c r="EP215">
        <f t="shared" si="243"/>
        <v>1542098.9268072965</v>
      </c>
      <c r="EQ215" s="98">
        <f t="shared" si="160"/>
        <v>2567247.4484258913</v>
      </c>
      <c r="ES215" s="99">
        <f t="shared" si="161"/>
        <v>0.39931815775965229</v>
      </c>
    </row>
    <row r="216" spans="2:149" x14ac:dyDescent="0.35">
      <c r="B216" s="87">
        <f t="shared" si="154"/>
        <v>-1.0881082562966408E-3</v>
      </c>
      <c r="C216" s="87">
        <f t="shared" si="257"/>
        <v>-3.8752413316590537E-3</v>
      </c>
      <c r="D216" s="87">
        <f t="shared" si="257"/>
        <v>-4.0091760375289111E-3</v>
      </c>
      <c r="E216" s="87">
        <f t="shared" si="257"/>
        <v>-2.5179588236474361E-3</v>
      </c>
      <c r="F216" s="87">
        <f t="shared" si="257"/>
        <v>-2.4088347600129661E-3</v>
      </c>
      <c r="G216" s="87">
        <f t="shared" si="257"/>
        <v>-1.9019664013210356E-3</v>
      </c>
      <c r="H216" s="87">
        <f t="shared" si="257"/>
        <v>-7.6785213646267921E-3</v>
      </c>
      <c r="I216" s="87">
        <f t="shared" si="257"/>
        <v>-2.4159047909189067E-3</v>
      </c>
      <c r="J216" s="87">
        <f t="shared" si="257"/>
        <v>-1.1010661829947241E-2</v>
      </c>
      <c r="K216" s="87">
        <f t="shared" si="257"/>
        <v>-2.8909748416739238E-3</v>
      </c>
      <c r="L216" s="87">
        <f t="shared" si="257"/>
        <v>-2.9427220896387804E-3</v>
      </c>
      <c r="M216" s="87">
        <f t="shared" si="257"/>
        <v>-2.3943551208494671E-3</v>
      </c>
      <c r="N216" s="87">
        <f t="shared" si="257"/>
        <v>-3.5520268205797168E-3</v>
      </c>
      <c r="O216" s="87">
        <f t="shared" si="257"/>
        <v>-6.8867080674365373E-3</v>
      </c>
      <c r="P216" s="87">
        <f t="shared" si="257"/>
        <v>-2.7966650336898823E-3</v>
      </c>
      <c r="Q216" s="87">
        <f t="shared" si="257"/>
        <v>-2.6274437129381505E-3</v>
      </c>
      <c r="R216" s="87">
        <f t="shared" si="257"/>
        <v>-2.7540379410368535E-3</v>
      </c>
      <c r="S216" s="87">
        <f t="shared" si="257"/>
        <v>-3.5592615395933819E-3</v>
      </c>
      <c r="T216" s="87">
        <f t="shared" si="257"/>
        <v>-4.8520650393192423E-3</v>
      </c>
      <c r="U216" s="87">
        <f t="shared" si="257"/>
        <v>-6.151672092539015E-3</v>
      </c>
      <c r="V216" s="87">
        <f t="shared" si="257"/>
        <v>-5.0386291405263919E-3</v>
      </c>
      <c r="W216" s="87">
        <f t="shared" si="257"/>
        <v>-2.7485268197465318E-3</v>
      </c>
      <c r="X216" s="87">
        <f t="shared" si="257"/>
        <v>-3.635063489684196E-3</v>
      </c>
      <c r="Y216" s="87">
        <f t="shared" si="257"/>
        <v>-3.7200043274045955E-3</v>
      </c>
      <c r="Z216" s="87">
        <f t="shared" si="257"/>
        <v>-6.6450091366326092E-3</v>
      </c>
      <c r="AA216" s="87">
        <f t="shared" si="257"/>
        <v>-4.5950842191996664E-3</v>
      </c>
      <c r="AB216" s="87">
        <f t="shared" si="257"/>
        <v>-4.3786409064764551E-3</v>
      </c>
      <c r="AC216" s="87">
        <f t="shared" si="257"/>
        <v>-5.725968622628831E-3</v>
      </c>
      <c r="AD216" s="87">
        <f t="shared" si="257"/>
        <v>-2.0350327818709859E-3</v>
      </c>
      <c r="AE216" s="87">
        <f t="shared" si="257"/>
        <v>-1.0855538039160888E-2</v>
      </c>
      <c r="AF216" s="87">
        <f t="shared" si="257"/>
        <v>-4.8036975598572014E-3</v>
      </c>
      <c r="AG216" s="87">
        <f t="shared" si="257"/>
        <v>-2.3246364604087035E-3</v>
      </c>
      <c r="AH216" s="87">
        <f t="shared" si="257"/>
        <v>-2.8142336409917928E-3</v>
      </c>
      <c r="AI216" s="87">
        <f t="shared" si="257"/>
        <v>-5.5636751969285383E-3</v>
      </c>
      <c r="AJ216" s="87">
        <f t="shared" si="257"/>
        <v>0</v>
      </c>
      <c r="AK216" s="87">
        <f t="shared" si="257"/>
        <v>-8.7439241776277876E-3</v>
      </c>
      <c r="AL216" s="87">
        <f t="shared" si="257"/>
        <v>-1.884073945156561E-2</v>
      </c>
      <c r="AM216" s="87">
        <f t="shared" si="257"/>
        <v>-2.9775827764116528E-2</v>
      </c>
      <c r="AN216" s="87">
        <f t="shared" si="257"/>
        <v>-1.2783200828844446E-2</v>
      </c>
      <c r="AO216" s="87">
        <f t="shared" si="257"/>
        <v>-1.0061476917562713E-2</v>
      </c>
      <c r="AP216" s="87">
        <f t="shared" si="257"/>
        <v>-2.055448137771437E-2</v>
      </c>
      <c r="AQ216" s="87">
        <f t="shared" si="257"/>
        <v>-5.0226146469470642E-2</v>
      </c>
      <c r="AR216" s="87">
        <f t="shared" si="257"/>
        <v>-7.3902727056073684E-3</v>
      </c>
      <c r="AS216" s="87">
        <f t="shared" si="257"/>
        <v>-4.5431467311237914E-2</v>
      </c>
      <c r="AT216" s="87">
        <f t="shared" si="257"/>
        <v>-2.3196011494655989E-2</v>
      </c>
      <c r="AU216" s="87">
        <f t="shared" si="257"/>
        <v>-2.1043639716045243E-2</v>
      </c>
      <c r="AV216" s="87">
        <f t="shared" si="257"/>
        <v>-1.9831140120220164E-2</v>
      </c>
      <c r="AW216" s="87">
        <f t="shared" si="257"/>
        <v>-2.261364122782877E-2</v>
      </c>
      <c r="AX216" s="87">
        <f t="shared" si="257"/>
        <v>-2.9012102791873235E-2</v>
      </c>
      <c r="AY216" s="87">
        <f t="shared" si="257"/>
        <v>-3.0785897633722869E-2</v>
      </c>
      <c r="AZ216" s="87">
        <f t="shared" si="257"/>
        <v>-1.6397149859333777E-2</v>
      </c>
      <c r="BA216" s="87">
        <f t="shared" si="257"/>
        <v>-2.4439656653512085E-2</v>
      </c>
      <c r="BB216" s="87">
        <f t="shared" si="257"/>
        <v>-4.8268620091669281E-2</v>
      </c>
      <c r="BC216" s="87">
        <f t="shared" si="257"/>
        <v>-3.2448544119725413E-2</v>
      </c>
      <c r="BD216" s="87">
        <f t="shared" si="257"/>
        <v>-4.1846829065806647E-2</v>
      </c>
      <c r="BE216" s="87">
        <f t="shared" si="257"/>
        <v>-4.9511833717468333E-2</v>
      </c>
      <c r="BF216" s="87">
        <f t="shared" si="257"/>
        <v>-4.9484248214019519E-2</v>
      </c>
      <c r="BG216" s="87">
        <f t="shared" si="257"/>
        <v>-3.6431212017730467E-2</v>
      </c>
      <c r="BH216" s="87">
        <f t="shared" si="257"/>
        <v>-1.6306761561891373E-2</v>
      </c>
      <c r="BI216" s="87">
        <f t="shared" si="257"/>
        <v>-6.3109038267532336E-2</v>
      </c>
      <c r="BJ216" s="87">
        <f t="shared" si="257"/>
        <v>-5.3938723667554506E-2</v>
      </c>
      <c r="BK216" s="87">
        <f t="shared" si="257"/>
        <v>-5.0680592637408324E-2</v>
      </c>
      <c r="BL216" s="87">
        <f t="shared" si="257"/>
        <v>-9.6961200012798773E-2</v>
      </c>
      <c r="BM216" s="87">
        <f t="shared" si="257"/>
        <v>-2.6633574691733084E-2</v>
      </c>
      <c r="BN216" s="87">
        <f t="shared" si="257"/>
        <v>0.86233385951457042</v>
      </c>
      <c r="BO216" s="87">
        <f t="shared" si="256"/>
        <v>-9.418116432964177E-2</v>
      </c>
      <c r="BP216" s="87">
        <f t="shared" si="256"/>
        <v>-3.8693073345942346E-2</v>
      </c>
      <c r="BQ216" s="87">
        <f t="shared" si="256"/>
        <v>-7.796860615393171E-2</v>
      </c>
      <c r="BR216" s="87">
        <f t="shared" si="256"/>
        <v>-7.8748624846572218E-2</v>
      </c>
      <c r="BS216" s="87">
        <f t="shared" si="256"/>
        <v>-5.7356580252046164E-3</v>
      </c>
      <c r="BU216" s="97">
        <v>1059012.0777034005</v>
      </c>
      <c r="BV216" s="98">
        <v>4345480.4695336726</v>
      </c>
      <c r="BW216">
        <f t="shared" si="155"/>
        <v>-253.17285292883926</v>
      </c>
      <c r="BX216">
        <f t="shared" si="190"/>
        <v>-135.01230983325163</v>
      </c>
      <c r="BY216">
        <f t="shared" si="191"/>
        <v>-1487.7814271778664</v>
      </c>
      <c r="BZ216">
        <f t="shared" si="192"/>
        <v>-191.8175405108158</v>
      </c>
      <c r="CA216">
        <f t="shared" si="193"/>
        <v>-36.159972549482461</v>
      </c>
      <c r="CB216">
        <f t="shared" si="194"/>
        <v>-98.048604949523934</v>
      </c>
      <c r="CC216">
        <f t="shared" si="195"/>
        <v>-1365.0002330374675</v>
      </c>
      <c r="CD216">
        <f t="shared" si="196"/>
        <v>-309.86167086951002</v>
      </c>
      <c r="CE216">
        <f t="shared" si="165"/>
        <v>-3070.2965863999616</v>
      </c>
      <c r="CF216">
        <f t="shared" si="166"/>
        <v>-344.87153832471949</v>
      </c>
      <c r="CG216">
        <f t="shared" si="167"/>
        <v>-246.51195397536887</v>
      </c>
      <c r="CH216">
        <f t="shared" si="168"/>
        <v>-718.52699061443889</v>
      </c>
      <c r="CI216">
        <f t="shared" si="169"/>
        <v>-848.94970309847781</v>
      </c>
      <c r="CJ216">
        <f t="shared" si="170"/>
        <v>-2572.2442887801658</v>
      </c>
      <c r="CK216">
        <f t="shared" si="171"/>
        <v>-939.13455290846366</v>
      </c>
      <c r="CL216">
        <f t="shared" si="172"/>
        <v>-206.58366345862567</v>
      </c>
      <c r="CM216">
        <f t="shared" si="173"/>
        <v>-671.383345700684</v>
      </c>
      <c r="CN216">
        <f t="shared" si="174"/>
        <v>-1953.5417984364458</v>
      </c>
      <c r="CO216">
        <f t="shared" si="175"/>
        <v>-697.7606193963129</v>
      </c>
      <c r="CP216">
        <f t="shared" si="176"/>
        <v>-2861.7889051676343</v>
      </c>
      <c r="CQ216">
        <f t="shared" si="177"/>
        <v>-1724.9263618004225</v>
      </c>
      <c r="CR216">
        <f t="shared" si="178"/>
        <v>-596.093150609845</v>
      </c>
      <c r="CS216">
        <f t="shared" si="179"/>
        <v>-735.21859049715897</v>
      </c>
      <c r="CT216">
        <f t="shared" si="180"/>
        <v>-168.27196787802418</v>
      </c>
      <c r="CU216">
        <f t="shared" si="181"/>
        <v>-309.44051399236207</v>
      </c>
      <c r="CV216">
        <f t="shared" si="182"/>
        <v>-803.39440678044082</v>
      </c>
      <c r="CW216">
        <f t="shared" si="183"/>
        <v>-1229.5202414043006</v>
      </c>
      <c r="CX216">
        <f t="shared" si="184"/>
        <v>-3063.5280387712673</v>
      </c>
      <c r="CY216">
        <f t="shared" si="185"/>
        <v>-1138.7784893207736</v>
      </c>
      <c r="CZ216">
        <f t="shared" si="186"/>
        <v>-9716.1014702788962</v>
      </c>
      <c r="DA216">
        <f t="shared" si="187"/>
        <v>-1905.5233794565277</v>
      </c>
      <c r="DB216">
        <f t="shared" si="188"/>
        <v>-544.52279333513059</v>
      </c>
      <c r="DC216">
        <f t="shared" si="156"/>
        <v>-1331.3008661243302</v>
      </c>
      <c r="DD216">
        <f t="shared" si="219"/>
        <v>-1601.1281995985935</v>
      </c>
      <c r="DE216">
        <f t="shared" si="220"/>
        <v>0</v>
      </c>
      <c r="DF216">
        <f t="shared" si="221"/>
        <v>-11247.39755384686</v>
      </c>
      <c r="DG216">
        <f t="shared" si="222"/>
        <v>-16827.493189052249</v>
      </c>
      <c r="DH216">
        <f t="shared" si="223"/>
        <v>-48342.498235537198</v>
      </c>
      <c r="DI216">
        <f t="shared" si="224"/>
        <v>-9240.1024952562784</v>
      </c>
      <c r="DJ216">
        <f t="shared" si="225"/>
        <v>-1085.8974854788135</v>
      </c>
      <c r="DK216">
        <f t="shared" si="226"/>
        <v>-4980.3882099878847</v>
      </c>
      <c r="DL216">
        <f t="shared" si="227"/>
        <v>-33114.750247369862</v>
      </c>
      <c r="DM216">
        <f t="shared" si="157"/>
        <v>-3876.4422408216137</v>
      </c>
      <c r="DN216">
        <f t="shared" si="211"/>
        <v>-48854.699024959002</v>
      </c>
      <c r="DO216">
        <f t="shared" si="212"/>
        <v>-11853.828508333969</v>
      </c>
      <c r="DP216">
        <f t="shared" si="213"/>
        <v>-8576.537243779143</v>
      </c>
      <c r="DQ216">
        <f t="shared" si="214"/>
        <v>-31127.951400097831</v>
      </c>
      <c r="DR216">
        <f t="shared" si="215"/>
        <v>-21649.102765832511</v>
      </c>
      <c r="DS216">
        <f t="shared" si="216"/>
        <v>-89447.918541611842</v>
      </c>
      <c r="DT216">
        <f t="shared" si="217"/>
        <v>-43849.760572073661</v>
      </c>
      <c r="DU216">
        <f t="shared" si="218"/>
        <v>-4696.6685560561764</v>
      </c>
      <c r="DV216">
        <f t="shared" si="199"/>
        <v>-20067.414386401226</v>
      </c>
      <c r="DW216">
        <f t="shared" si="200"/>
        <v>-110976.15583055571</v>
      </c>
      <c r="DX216">
        <f t="shared" si="201"/>
        <v>-9507.8947394485858</v>
      </c>
      <c r="DY216">
        <f t="shared" si="202"/>
        <v>-80140.53114774391</v>
      </c>
      <c r="DZ216">
        <f t="shared" si="203"/>
        <v>-70534.499599715637</v>
      </c>
      <c r="EA216">
        <f t="shared" si="204"/>
        <v>-44229.385354013823</v>
      </c>
      <c r="EB216">
        <f t="shared" si="205"/>
        <v>-31806.091419910012</v>
      </c>
      <c r="EC216">
        <f t="shared" si="206"/>
        <v>-2815.6555869044155</v>
      </c>
      <c r="ED216">
        <f t="shared" si="207"/>
        <v>-9988.6217813458807</v>
      </c>
      <c r="EE216">
        <f t="shared" si="208"/>
        <v>-18333.209943892649</v>
      </c>
      <c r="EF216">
        <f t="shared" si="209"/>
        <v>-54033.512904176583</v>
      </c>
      <c r="EG216">
        <f t="shared" si="158"/>
        <v>-232771.67498725199</v>
      </c>
      <c r="EH216">
        <f t="shared" si="228"/>
        <v>-54550.011109471554</v>
      </c>
      <c r="EI216">
        <f t="shared" si="229"/>
        <v>2248352.9668428954</v>
      </c>
      <c r="EJ216">
        <f t="shared" si="230"/>
        <v>-209427.00464964309</v>
      </c>
      <c r="EK216">
        <f t="shared" si="231"/>
        <v>-22140.425830218071</v>
      </c>
      <c r="EL216">
        <f t="shared" si="232"/>
        <v>-103823.38663849689</v>
      </c>
      <c r="EM216">
        <f t="shared" si="159"/>
        <v>-83135.571551562476</v>
      </c>
      <c r="EN216">
        <f t="shared" ref="EN216:EN221" si="258">BS216*EN144</f>
        <v>-78.944241007411236</v>
      </c>
      <c r="EO216">
        <v>65</v>
      </c>
      <c r="EP216">
        <f t="shared" si="243"/>
        <v>657345.3418430743</v>
      </c>
      <c r="EQ216" s="98">
        <f t="shared" si="160"/>
        <v>1059012.0777034005</v>
      </c>
      <c r="ES216" s="99">
        <f t="shared" si="161"/>
        <v>0.37928437674798809</v>
      </c>
    </row>
    <row r="217" spans="2:149" x14ac:dyDescent="0.35">
      <c r="B217" s="87">
        <f t="shared" ref="B217:Q221" si="259">B144-B67</f>
        <v>-4.0113104944180767E-5</v>
      </c>
      <c r="C217" s="87">
        <f t="shared" si="259"/>
        <v>-1.0699831628944702E-4</v>
      </c>
      <c r="D217" s="87">
        <f t="shared" si="259"/>
        <v>-6.0888662241238461E-5</v>
      </c>
      <c r="E217" s="87">
        <f t="shared" si="259"/>
        <v>-4.1075793079436293E-5</v>
      </c>
      <c r="F217" s="87">
        <f t="shared" si="259"/>
        <v>-3.324489038303764E-5</v>
      </c>
      <c r="G217" s="87">
        <f t="shared" si="259"/>
        <v>-9.7279137581491706E-5</v>
      </c>
      <c r="H217" s="87">
        <f t="shared" si="259"/>
        <v>-1.1937738463403931E-4</v>
      </c>
      <c r="I217" s="87">
        <f t="shared" si="259"/>
        <v>-5.4112140068969532E-5</v>
      </c>
      <c r="J217" s="87">
        <f t="shared" si="259"/>
        <v>-1.0980611380685405E-4</v>
      </c>
      <c r="K217" s="87">
        <f t="shared" si="259"/>
        <v>-5.2848363061690263E-5</v>
      </c>
      <c r="L217" s="87">
        <f t="shared" si="259"/>
        <v>-7.1344706778092066E-5</v>
      </c>
      <c r="M217" s="87">
        <f t="shared" si="259"/>
        <v>-4.7129410902268911E-5</v>
      </c>
      <c r="N217" s="87">
        <f t="shared" si="259"/>
        <v>-4.1158773329259951E-5</v>
      </c>
      <c r="O217" s="87">
        <f t="shared" si="259"/>
        <v>-8.6434985038726469E-5</v>
      </c>
      <c r="P217" s="87">
        <f t="shared" si="259"/>
        <v>-4.5308819248413561E-5</v>
      </c>
      <c r="Q217" s="87">
        <f t="shared" si="259"/>
        <v>-5.1882252674429166E-5</v>
      </c>
      <c r="R217" s="87">
        <f t="shared" si="257"/>
        <v>-1.7095823031797481E-4</v>
      </c>
      <c r="S217" s="87">
        <f t="shared" si="257"/>
        <v>-3.457074567547005E-5</v>
      </c>
      <c r="T217" s="87">
        <f t="shared" si="257"/>
        <v>-5.1256220667974757E-5</v>
      </c>
      <c r="U217" s="87">
        <f t="shared" si="257"/>
        <v>-9.8222695885175082E-5</v>
      </c>
      <c r="V217" s="87">
        <f t="shared" si="257"/>
        <v>-6.0980539162443996E-5</v>
      </c>
      <c r="W217" s="87">
        <f t="shared" si="257"/>
        <v>-5.0831651324129377E-5</v>
      </c>
      <c r="X217" s="87">
        <f t="shared" si="257"/>
        <v>-1.3838496829757984E-4</v>
      </c>
      <c r="Y217" s="87">
        <f t="shared" si="257"/>
        <v>-1.3914391562819088E-3</v>
      </c>
      <c r="Z217" s="87">
        <f t="shared" si="257"/>
        <v>-3.2237989680553193E-4</v>
      </c>
      <c r="AA217" s="87">
        <f t="shared" si="257"/>
        <v>-1.9806257559501958E-4</v>
      </c>
      <c r="AB217" s="87">
        <f t="shared" si="257"/>
        <v>-5.0296439136358713E-5</v>
      </c>
      <c r="AC217" s="87">
        <f t="shared" si="257"/>
        <v>-4.3879907622715427E-5</v>
      </c>
      <c r="AD217" s="87">
        <f t="shared" si="257"/>
        <v>-2.8139380486128545E-5</v>
      </c>
      <c r="AE217" s="87">
        <f t="shared" si="257"/>
        <v>-8.6582655471874768E-5</v>
      </c>
      <c r="AF217" s="87">
        <f t="shared" si="257"/>
        <v>-1.3519690418277601E-4</v>
      </c>
      <c r="AG217" s="87">
        <f t="shared" si="257"/>
        <v>-7.9876771188593269E-5</v>
      </c>
      <c r="AH217" s="87">
        <f t="shared" si="257"/>
        <v>-5.7554859261798146E-5</v>
      </c>
      <c r="AI217" s="87">
        <f t="shared" si="257"/>
        <v>-3.1508493557535821E-4</v>
      </c>
      <c r="AJ217" s="87">
        <f t="shared" si="257"/>
        <v>0</v>
      </c>
      <c r="AK217" s="87">
        <f t="shared" si="257"/>
        <v>-1.3695649223972035E-3</v>
      </c>
      <c r="AL217" s="87">
        <f t="shared" si="257"/>
        <v>-1.7134563724984903E-3</v>
      </c>
      <c r="AM217" s="87">
        <f t="shared" si="257"/>
        <v>-1.9812971472839918E-3</v>
      </c>
      <c r="AN217" s="87">
        <f t="shared" si="257"/>
        <v>-4.8819323225857462E-4</v>
      </c>
      <c r="AO217" s="87">
        <f t="shared" si="257"/>
        <v>-3.8080845964405047E-4</v>
      </c>
      <c r="AP217" s="87">
        <f t="shared" si="257"/>
        <v>-2.8146430763086494E-3</v>
      </c>
      <c r="AQ217" s="87">
        <f t="shared" si="257"/>
        <v>-4.3095980862522358E-3</v>
      </c>
      <c r="AR217" s="87">
        <f t="shared" si="257"/>
        <v>-9.2648416647649826E-4</v>
      </c>
      <c r="AS217" s="87">
        <f t="shared" si="257"/>
        <v>-2.5105163699944404E-3</v>
      </c>
      <c r="AT217" s="87">
        <f t="shared" si="257"/>
        <v>-1.932081323325118E-3</v>
      </c>
      <c r="AU217" s="87">
        <f t="shared" si="257"/>
        <v>-2.441307121640477E-3</v>
      </c>
      <c r="AV217" s="87">
        <f t="shared" si="257"/>
        <v>-3.5530085754047181E-3</v>
      </c>
      <c r="AW217" s="87">
        <f t="shared" si="257"/>
        <v>-1.0187856880956652E-3</v>
      </c>
      <c r="AX217" s="87">
        <f t="shared" si="257"/>
        <v>-6.0538730653626597E-4</v>
      </c>
      <c r="AY217" s="87">
        <f t="shared" si="257"/>
        <v>-7.9738099649668724E-4</v>
      </c>
      <c r="AZ217" s="87">
        <f t="shared" si="257"/>
        <v>-1.778451726832269E-3</v>
      </c>
      <c r="BA217" s="87">
        <f t="shared" si="257"/>
        <v>-1.589894549976363E-3</v>
      </c>
      <c r="BB217" s="87">
        <f t="shared" si="257"/>
        <v>-1.1005420288186575E-3</v>
      </c>
      <c r="BC217" s="87">
        <f t="shared" si="257"/>
        <v>-3.1233407057261382E-3</v>
      </c>
      <c r="BD217" s="87">
        <f t="shared" si="257"/>
        <v>-1.1835779932467918E-3</v>
      </c>
      <c r="BE217" s="87">
        <f t="shared" si="257"/>
        <v>-3.0157305174458647E-3</v>
      </c>
      <c r="BF217" s="87">
        <f t="shared" si="257"/>
        <v>-4.6255379877847089E-3</v>
      </c>
      <c r="BG217" s="87">
        <f t="shared" si="257"/>
        <v>-2.6460424205820743E-3</v>
      </c>
      <c r="BH217" s="87">
        <f t="shared" si="257"/>
        <v>-5.593224144062125E-3</v>
      </c>
      <c r="BI217" s="87">
        <f t="shared" si="257"/>
        <v>-1.3632602250747784E-2</v>
      </c>
      <c r="BJ217" s="87">
        <f t="shared" si="257"/>
        <v>-4.0580126796429901E-3</v>
      </c>
      <c r="BK217" s="87">
        <f t="shared" si="257"/>
        <v>-2.7007386121942339E-3</v>
      </c>
      <c r="BL217" s="87">
        <f t="shared" si="257"/>
        <v>-1.6907682935055602E-3</v>
      </c>
      <c r="BM217" s="87">
        <f t="shared" si="257"/>
        <v>-2.0818898763180966E-3</v>
      </c>
      <c r="BN217" s="87">
        <f t="shared" si="257"/>
        <v>-2.4021304270834937E-3</v>
      </c>
      <c r="BO217" s="87">
        <f t="shared" si="256"/>
        <v>0.99259397051802267</v>
      </c>
      <c r="BP217" s="87">
        <f t="shared" si="256"/>
        <v>-4.055439543610575E-3</v>
      </c>
      <c r="BQ217" s="87">
        <f t="shared" si="256"/>
        <v>-5.4295910006826043E-3</v>
      </c>
      <c r="BR217" s="87">
        <f t="shared" si="256"/>
        <v>-9.9421648239725029E-3</v>
      </c>
      <c r="BS217" s="87">
        <f t="shared" si="256"/>
        <v>-2.1993861939798103E-6</v>
      </c>
      <c r="BU217" s="97">
        <v>3534273.6788154016</v>
      </c>
      <c r="BV217" s="98">
        <v>3706102.0665206383</v>
      </c>
      <c r="BW217">
        <f t="shared" ref="BW217:BW221" si="260">B217*BW145</f>
        <v>-9.3332158448245064</v>
      </c>
      <c r="BX217">
        <f t="shared" si="190"/>
        <v>-3.7277910184557386</v>
      </c>
      <c r="BY217">
        <f t="shared" si="191"/>
        <v>-22.595421094070023</v>
      </c>
      <c r="BZ217">
        <f t="shared" si="192"/>
        <v>-3.1291447378060391</v>
      </c>
      <c r="CA217">
        <f t="shared" si="193"/>
        <v>-0.49905221545986145</v>
      </c>
      <c r="CB217">
        <f t="shared" si="194"/>
        <v>-5.0148539553239564</v>
      </c>
      <c r="CC217">
        <f t="shared" si="195"/>
        <v>-21.221554268969218</v>
      </c>
      <c r="CD217">
        <f t="shared" si="196"/>
        <v>-6.9403720705890519</v>
      </c>
      <c r="CE217">
        <f t="shared" si="165"/>
        <v>-30.619170908516143</v>
      </c>
      <c r="CF217">
        <f t="shared" si="166"/>
        <v>-6.3044119251052688</v>
      </c>
      <c r="CG217">
        <f t="shared" si="167"/>
        <v>-5.9765491058743043</v>
      </c>
      <c r="CH217">
        <f t="shared" si="168"/>
        <v>-14.143162595289732</v>
      </c>
      <c r="CI217">
        <f t="shared" si="169"/>
        <v>-9.837124031645132</v>
      </c>
      <c r="CJ217">
        <f t="shared" si="170"/>
        <v>-32.284205231226331</v>
      </c>
      <c r="CK217">
        <f t="shared" si="171"/>
        <v>-15.21493535875047</v>
      </c>
      <c r="CL217">
        <f t="shared" si="172"/>
        <v>-4.0792599183729719</v>
      </c>
      <c r="CM217">
        <f t="shared" si="173"/>
        <v>-41.676444226014432</v>
      </c>
      <c r="CN217">
        <f t="shared" si="174"/>
        <v>-18.974552987713889</v>
      </c>
      <c r="CO217">
        <f t="shared" si="175"/>
        <v>-7.3710001806195953</v>
      </c>
      <c r="CP217">
        <f t="shared" si="176"/>
        <v>-45.693693859392909</v>
      </c>
      <c r="CQ217">
        <f t="shared" si="177"/>
        <v>-20.876102730417205</v>
      </c>
      <c r="CR217">
        <f t="shared" si="178"/>
        <v>-11.024232680143784</v>
      </c>
      <c r="CS217">
        <f t="shared" si="179"/>
        <v>-27.989387702986125</v>
      </c>
      <c r="CT217">
        <f t="shared" si="180"/>
        <v>-62.940842107420707</v>
      </c>
      <c r="CU217">
        <f t="shared" si="181"/>
        <v>-15.012379805223411</v>
      </c>
      <c r="CV217">
        <f t="shared" si="182"/>
        <v>-34.628824594923657</v>
      </c>
      <c r="CW217">
        <f t="shared" si="183"/>
        <v>-14.123215698561648</v>
      </c>
      <c r="CX217">
        <f t="shared" si="184"/>
        <v>-23.476783789842926</v>
      </c>
      <c r="CY217">
        <f t="shared" si="185"/>
        <v>-15.746439804745824</v>
      </c>
      <c r="CZ217">
        <f t="shared" si="186"/>
        <v>-77.494626530364059</v>
      </c>
      <c r="DA217">
        <f t="shared" si="187"/>
        <v>-53.629700567177665</v>
      </c>
      <c r="DB217">
        <f t="shared" si="188"/>
        <v>-18.710333125617804</v>
      </c>
      <c r="DC217">
        <f t="shared" ref="DC217:DC221" si="261">AH217*DC145</f>
        <v>-27.226891495011895</v>
      </c>
      <c r="DD217">
        <f t="shared" si="219"/>
        <v>-90.675921537784902</v>
      </c>
      <c r="DE217">
        <f t="shared" si="220"/>
        <v>0</v>
      </c>
      <c r="DF217">
        <f t="shared" si="221"/>
        <v>-1761.6851250171594</v>
      </c>
      <c r="DG217">
        <f t="shared" si="222"/>
        <v>-1530.3632594717808</v>
      </c>
      <c r="DH217">
        <f t="shared" si="223"/>
        <v>-3216.7318606698404</v>
      </c>
      <c r="DI217">
        <f t="shared" si="224"/>
        <v>-352.881532877197</v>
      </c>
      <c r="DJ217">
        <f t="shared" si="225"/>
        <v>-41.099229483369449</v>
      </c>
      <c r="DK217">
        <f t="shared" si="226"/>
        <v>-681.99313497494882</v>
      </c>
      <c r="DL217">
        <f t="shared" si="227"/>
        <v>-2841.3739521014463</v>
      </c>
      <c r="DM217">
        <f t="shared" ref="DM217:DM221" si="262">AR217*DM145</f>
        <v>-485.97156038056352</v>
      </c>
      <c r="DN217">
        <f t="shared" si="211"/>
        <v>-2699.6821567101842</v>
      </c>
      <c r="DO217">
        <f t="shared" si="212"/>
        <v>-987.34908266998002</v>
      </c>
      <c r="DP217">
        <f t="shared" si="213"/>
        <v>-994.97813756467917</v>
      </c>
      <c r="DQ217">
        <f t="shared" si="214"/>
        <v>-5576.9803243214155</v>
      </c>
      <c r="DR217">
        <f t="shared" si="215"/>
        <v>-975.3314751805724</v>
      </c>
      <c r="DS217">
        <f t="shared" si="216"/>
        <v>-1866.4843037971791</v>
      </c>
      <c r="DT217">
        <f t="shared" si="217"/>
        <v>-1135.7461847336431</v>
      </c>
      <c r="DU217">
        <f t="shared" si="218"/>
        <v>-509.40549885395171</v>
      </c>
      <c r="DV217">
        <f t="shared" si="199"/>
        <v>-1305.4632156819466</v>
      </c>
      <c r="DW217">
        <f t="shared" si="200"/>
        <v>-2530.2965665126703</v>
      </c>
      <c r="DX217">
        <f t="shared" si="201"/>
        <v>-915.18419303831865</v>
      </c>
      <c r="DY217">
        <f t="shared" si="202"/>
        <v>-2266.6608474543532</v>
      </c>
      <c r="DZ217">
        <f t="shared" si="203"/>
        <v>-4296.2061189139122</v>
      </c>
      <c r="EA217">
        <f t="shared" si="204"/>
        <v>-4134.3399064391187</v>
      </c>
      <c r="EB217">
        <f t="shared" si="205"/>
        <v>-2310.1143900739298</v>
      </c>
      <c r="EC217">
        <f t="shared" si="206"/>
        <v>-965.77071727358702</v>
      </c>
      <c r="ED217">
        <f t="shared" si="207"/>
        <v>-2157.7084917850816</v>
      </c>
      <c r="EE217">
        <f t="shared" si="208"/>
        <v>-1379.2762110836638</v>
      </c>
      <c r="EF217">
        <f t="shared" si="209"/>
        <v>-2879.4137372634245</v>
      </c>
      <c r="EG217">
        <f t="shared" ref="EG217:EG221" si="263">BL217*EG145</f>
        <v>-4058.9737713918253</v>
      </c>
      <c r="EH217">
        <f t="shared" si="228"/>
        <v>-4264.0583247392306</v>
      </c>
      <c r="EI217">
        <f t="shared" si="229"/>
        <v>-6263.0465136983403</v>
      </c>
      <c r="EJ217">
        <f t="shared" si="230"/>
        <v>2207192.7392116613</v>
      </c>
      <c r="EK217">
        <f t="shared" si="231"/>
        <v>-2320.5486320889358</v>
      </c>
      <c r="EL217">
        <f t="shared" si="232"/>
        <v>-7230.070583022045</v>
      </c>
      <c r="EM217">
        <f t="shared" ref="EM217:EM221" si="264">BR217*EM145</f>
        <v>-10496.025253916187</v>
      </c>
      <c r="EN217">
        <f t="shared" si="258"/>
        <v>-3.0271831584610723E-2</v>
      </c>
      <c r="EO217">
        <v>66</v>
      </c>
      <c r="EP217">
        <f t="shared" ref="EP217:EP221" si="265">SUM(BW217:EN217)</f>
        <v>2120963.3030489408</v>
      </c>
      <c r="EQ217" s="98">
        <f t="shared" ref="EQ217:EQ221" si="266">BU217</f>
        <v>3534273.6788154016</v>
      </c>
      <c r="ES217" s="99">
        <f t="shared" ref="ES217:ES221" si="267">(EQ217-EP217)/EQ217</f>
        <v>0.39988707842233834</v>
      </c>
    </row>
    <row r="218" spans="2:149" x14ac:dyDescent="0.35">
      <c r="B218" s="87">
        <f t="shared" si="259"/>
        <v>-2.0951259455690245E-6</v>
      </c>
      <c r="C218" s="87">
        <f t="shared" ref="C218:BN221" si="268">C145-C68</f>
        <v>-8.7986048333589014E-6</v>
      </c>
      <c r="D218" s="87">
        <f t="shared" si="268"/>
        <v>-5.1510715075710101E-6</v>
      </c>
      <c r="E218" s="87">
        <f t="shared" si="268"/>
        <v>-4.4245922489416827E-6</v>
      </c>
      <c r="F218" s="87">
        <f t="shared" si="268"/>
        <v>-3.7645182934751769E-6</v>
      </c>
      <c r="G218" s="87">
        <f t="shared" si="268"/>
        <v>-4.1214578367339678E-6</v>
      </c>
      <c r="H218" s="87">
        <f t="shared" si="268"/>
        <v>-9.1532690128678496E-6</v>
      </c>
      <c r="I218" s="87">
        <f t="shared" si="268"/>
        <v>-3.4592906000414223E-6</v>
      </c>
      <c r="J218" s="87">
        <f t="shared" si="268"/>
        <v>-1.5075528019497855E-5</v>
      </c>
      <c r="K218" s="87">
        <f t="shared" si="268"/>
        <v>-7.3560978935320219E-6</v>
      </c>
      <c r="L218" s="87">
        <f t="shared" si="268"/>
        <v>-6.2538748142228009E-6</v>
      </c>
      <c r="M218" s="87">
        <f t="shared" si="268"/>
        <v>-5.2809095504413718E-6</v>
      </c>
      <c r="N218" s="87">
        <f t="shared" si="268"/>
        <v>-8.6220904366425207E-6</v>
      </c>
      <c r="O218" s="87">
        <f t="shared" si="268"/>
        <v>-1.3185707689875195E-5</v>
      </c>
      <c r="P218" s="87">
        <f t="shared" si="268"/>
        <v>-8.4497716650508465E-6</v>
      </c>
      <c r="Q218" s="87">
        <f t="shared" si="268"/>
        <v>-6.6372672968526419E-6</v>
      </c>
      <c r="R218" s="87">
        <f t="shared" si="268"/>
        <v>-5.85419991716605E-6</v>
      </c>
      <c r="S218" s="87">
        <f t="shared" si="268"/>
        <v>-5.9741039263116261E-6</v>
      </c>
      <c r="T218" s="87">
        <f t="shared" si="268"/>
        <v>-1.0517500010503472E-5</v>
      </c>
      <c r="U218" s="87">
        <f t="shared" si="268"/>
        <v>-1.2768099448291863E-5</v>
      </c>
      <c r="V218" s="87">
        <f t="shared" si="268"/>
        <v>-1.4783417813393616E-5</v>
      </c>
      <c r="W218" s="87">
        <f t="shared" si="268"/>
        <v>-1.2480106722045605E-5</v>
      </c>
      <c r="X218" s="87">
        <f t="shared" si="268"/>
        <v>-1.2602725949274314E-5</v>
      </c>
      <c r="Y218" s="87">
        <f t="shared" si="268"/>
        <v>-2.7497185487400007E-5</v>
      </c>
      <c r="Z218" s="87">
        <f t="shared" si="268"/>
        <v>-3.8841836963816927E-5</v>
      </c>
      <c r="AA218" s="87">
        <f t="shared" si="268"/>
        <v>-2.7653003897338484E-5</v>
      </c>
      <c r="AB218" s="87">
        <f t="shared" si="268"/>
        <v>-1.9512335045079909E-5</v>
      </c>
      <c r="AC218" s="87">
        <f t="shared" si="268"/>
        <v>-2.9728754620782817E-5</v>
      </c>
      <c r="AD218" s="87">
        <f t="shared" si="268"/>
        <v>-4.9184068121493098E-6</v>
      </c>
      <c r="AE218" s="87">
        <f t="shared" si="268"/>
        <v>-3.5091300939402975E-5</v>
      </c>
      <c r="AF218" s="87">
        <f t="shared" si="268"/>
        <v>-8.899428754176924E-5</v>
      </c>
      <c r="AG218" s="87">
        <f t="shared" si="268"/>
        <v>-1.8108468958375534E-4</v>
      </c>
      <c r="AH218" s="87">
        <f t="shared" si="268"/>
        <v>-4.0529212993780115E-5</v>
      </c>
      <c r="AI218" s="87">
        <f t="shared" si="268"/>
        <v>-2.8643188762843149E-5</v>
      </c>
      <c r="AJ218" s="87">
        <f t="shared" si="268"/>
        <v>0</v>
      </c>
      <c r="AK218" s="87">
        <f t="shared" si="268"/>
        <v>-5.3496310101639724E-4</v>
      </c>
      <c r="AL218" s="87">
        <f t="shared" si="268"/>
        <v>-3.5905048788489348E-4</v>
      </c>
      <c r="AM218" s="87">
        <f t="shared" si="268"/>
        <v>-1.9455070879972409E-4</v>
      </c>
      <c r="AN218" s="87">
        <f t="shared" si="268"/>
        <v>-1.6587042213934988E-4</v>
      </c>
      <c r="AO218" s="87">
        <f t="shared" si="268"/>
        <v>-1.7106375187241236E-4</v>
      </c>
      <c r="AP218" s="87">
        <f t="shared" si="268"/>
        <v>-1.6133210876488025E-4</v>
      </c>
      <c r="AQ218" s="87">
        <f t="shared" si="268"/>
        <v>-3.1659385952603823E-4</v>
      </c>
      <c r="AR218" s="87">
        <f t="shared" si="268"/>
        <v>-1.6839732875111846E-4</v>
      </c>
      <c r="AS218" s="87">
        <f t="shared" si="268"/>
        <v>-3.121422059711117E-4</v>
      </c>
      <c r="AT218" s="87">
        <f t="shared" si="268"/>
        <v>-1.7502375965900959E-4</v>
      </c>
      <c r="AU218" s="87">
        <f t="shared" si="268"/>
        <v>-2.8613197287709043E-4</v>
      </c>
      <c r="AV218" s="87">
        <f t="shared" si="268"/>
        <v>-2.2434751446178715E-4</v>
      </c>
      <c r="AW218" s="87">
        <f t="shared" si="268"/>
        <v>-4.0596400708138981E-4</v>
      </c>
      <c r="AX218" s="87">
        <f t="shared" si="268"/>
        <v>-2.1792146227657066E-4</v>
      </c>
      <c r="AY218" s="87">
        <f t="shared" si="268"/>
        <v>-1.8657037355859882E-4</v>
      </c>
      <c r="AZ218" s="87">
        <f t="shared" si="268"/>
        <v>-1.4586126217252298E-4</v>
      </c>
      <c r="BA218" s="87">
        <f t="shared" si="268"/>
        <v>-3.1786606359757782E-4</v>
      </c>
      <c r="BB218" s="87">
        <f t="shared" si="268"/>
        <v>-3.1859728816343859E-4</v>
      </c>
      <c r="BC218" s="87">
        <f t="shared" si="268"/>
        <v>-2.3595903838370092E-4</v>
      </c>
      <c r="BD218" s="87">
        <f t="shared" si="268"/>
        <v>-4.348818141156458E-4</v>
      </c>
      <c r="BE218" s="87">
        <f t="shared" si="268"/>
        <v>-1.101101724130193E-3</v>
      </c>
      <c r="BF218" s="87">
        <f t="shared" si="268"/>
        <v>-3.3936614656367593E-4</v>
      </c>
      <c r="BG218" s="87">
        <f t="shared" si="268"/>
        <v>-5.9171298903869891E-4</v>
      </c>
      <c r="BH218" s="87">
        <f t="shared" si="268"/>
        <v>-1.79694095393949E-4</v>
      </c>
      <c r="BI218" s="87">
        <f t="shared" si="268"/>
        <v>-1.3371485511359366E-3</v>
      </c>
      <c r="BJ218" s="87">
        <f t="shared" si="268"/>
        <v>-4.5943354646411097E-4</v>
      </c>
      <c r="BK218" s="87">
        <f t="shared" si="268"/>
        <v>-7.5638197538685894E-4</v>
      </c>
      <c r="BL218" s="87">
        <f t="shared" si="268"/>
        <v>-8.1847045079855632E-4</v>
      </c>
      <c r="BM218" s="87">
        <f t="shared" si="268"/>
        <v>-1.2247976445939609E-4</v>
      </c>
      <c r="BN218" s="87">
        <f t="shared" si="268"/>
        <v>-8.6968199958827649E-4</v>
      </c>
      <c r="BO218" s="87">
        <f t="shared" si="256"/>
        <v>-3.7129883666604832E-3</v>
      </c>
      <c r="BP218" s="87">
        <f t="shared" si="256"/>
        <v>0.99533845720506542</v>
      </c>
      <c r="BQ218" s="87">
        <f t="shared" si="256"/>
        <v>-6.369706626818425E-4</v>
      </c>
      <c r="BR218" s="87">
        <f t="shared" si="256"/>
        <v>-1.2751363579033754E-3</v>
      </c>
      <c r="BS218" s="87">
        <f t="shared" si="256"/>
        <v>-6.7950170909809591E-7</v>
      </c>
      <c r="BU218" s="97">
        <v>907889.52445177943</v>
      </c>
      <c r="BV218" s="98">
        <v>953677.40337172814</v>
      </c>
      <c r="BW218">
        <f t="shared" si="260"/>
        <v>-0.48747816204450894</v>
      </c>
      <c r="BX218">
        <f t="shared" si="190"/>
        <v>-0.30654089905498338</v>
      </c>
      <c r="BY218">
        <f t="shared" si="191"/>
        <v>-1.9115320572834729</v>
      </c>
      <c r="BZ218">
        <f t="shared" si="192"/>
        <v>-0.33706444878466751</v>
      </c>
      <c r="CA218">
        <f t="shared" si="193"/>
        <v>-5.6510674959437325E-2</v>
      </c>
      <c r="CB218">
        <f t="shared" si="194"/>
        <v>-0.21246599885748413</v>
      </c>
      <c r="CC218">
        <f t="shared" si="195"/>
        <v>-1.6271641039090232</v>
      </c>
      <c r="CD218">
        <f t="shared" si="196"/>
        <v>-0.44368535108716745</v>
      </c>
      <c r="CE218">
        <f t="shared" si="165"/>
        <v>-4.2037747531714924</v>
      </c>
      <c r="CF218">
        <f t="shared" si="166"/>
        <v>-0.87752710955474911</v>
      </c>
      <c r="CG218">
        <f t="shared" si="167"/>
        <v>-0.52388735783087415</v>
      </c>
      <c r="CH218">
        <f t="shared" si="168"/>
        <v>-1.5847590918925543</v>
      </c>
      <c r="CI218">
        <f t="shared" si="169"/>
        <v>-2.0607167361087835</v>
      </c>
      <c r="CJ218">
        <f t="shared" si="170"/>
        <v>-4.924974453205067</v>
      </c>
      <c r="CK218">
        <f t="shared" si="171"/>
        <v>-2.8374769374386521</v>
      </c>
      <c r="CL218">
        <f t="shared" si="172"/>
        <v>-0.52185741859514578</v>
      </c>
      <c r="CM218">
        <f t="shared" si="173"/>
        <v>-1.4271453084295089</v>
      </c>
      <c r="CN218">
        <f t="shared" si="174"/>
        <v>-3.2789559290398</v>
      </c>
      <c r="CO218">
        <f t="shared" si="175"/>
        <v>-1.5124894786775711</v>
      </c>
      <c r="CP218">
        <f t="shared" si="176"/>
        <v>-5.9397843044194909</v>
      </c>
      <c r="CQ218">
        <f t="shared" si="177"/>
        <v>-5.0609613036867716</v>
      </c>
      <c r="CR218">
        <f t="shared" si="178"/>
        <v>-2.7066521899820213</v>
      </c>
      <c r="CS218">
        <f t="shared" si="179"/>
        <v>-2.5489949309392705</v>
      </c>
      <c r="CT218">
        <f t="shared" si="180"/>
        <v>-1.2438172394009164</v>
      </c>
      <c r="CU218">
        <f t="shared" si="181"/>
        <v>-1.8087616957862973</v>
      </c>
      <c r="CV218">
        <f t="shared" si="182"/>
        <v>-4.8347903111270751</v>
      </c>
      <c r="CW218">
        <f t="shared" si="183"/>
        <v>-5.479054210520756</v>
      </c>
      <c r="CX218">
        <f t="shared" si="184"/>
        <v>-15.905583725798683</v>
      </c>
      <c r="CY218">
        <f t="shared" si="185"/>
        <v>-2.7522779629401937</v>
      </c>
      <c r="CZ218">
        <f t="shared" si="186"/>
        <v>-31.407990964737785</v>
      </c>
      <c r="DA218">
        <f t="shared" si="187"/>
        <v>-35.302117470101336</v>
      </c>
      <c r="DB218">
        <f t="shared" si="188"/>
        <v>-42.417273703534441</v>
      </c>
      <c r="DC218">
        <f t="shared" si="261"/>
        <v>-19.1727422968839</v>
      </c>
      <c r="DD218">
        <f t="shared" si="219"/>
        <v>-8.2430076579473575</v>
      </c>
      <c r="DE218">
        <f t="shared" si="220"/>
        <v>0</v>
      </c>
      <c r="DF218">
        <f t="shared" si="221"/>
        <v>-688.12841368925774</v>
      </c>
      <c r="DG218">
        <f t="shared" si="222"/>
        <v>-320.68378499373949</v>
      </c>
      <c r="DH218">
        <f t="shared" si="223"/>
        <v>-315.86249663250055</v>
      </c>
      <c r="DI218">
        <f t="shared" si="224"/>
        <v>-119.89639543491126</v>
      </c>
      <c r="DJ218">
        <f t="shared" si="225"/>
        <v>-18.46226945972283</v>
      </c>
      <c r="DK218">
        <f t="shared" si="226"/>
        <v>-39.091063287846403</v>
      </c>
      <c r="DL218">
        <f t="shared" si="227"/>
        <v>-208.7344406250275</v>
      </c>
      <c r="DM218">
        <f t="shared" si="262"/>
        <v>-88.329963509609186</v>
      </c>
      <c r="DN218">
        <f t="shared" si="211"/>
        <v>-335.6619195509295</v>
      </c>
      <c r="DO218">
        <f t="shared" si="212"/>
        <v>-89.442171226710272</v>
      </c>
      <c r="DP218">
        <f t="shared" si="213"/>
        <v>-116.61583048987673</v>
      </c>
      <c r="DQ218">
        <f t="shared" si="214"/>
        <v>-352.1471022121811</v>
      </c>
      <c r="DR218">
        <f t="shared" si="215"/>
        <v>-388.64844542233908</v>
      </c>
      <c r="DS218">
        <f t="shared" si="216"/>
        <v>-671.87895155410217</v>
      </c>
      <c r="DT218">
        <f t="shared" si="217"/>
        <v>-265.7407072459489</v>
      </c>
      <c r="DU218">
        <f t="shared" si="218"/>
        <v>-41.779334181201982</v>
      </c>
      <c r="DV218">
        <f t="shared" si="199"/>
        <v>-260.99998490241092</v>
      </c>
      <c r="DW218">
        <f t="shared" si="200"/>
        <v>-732.49871720531053</v>
      </c>
      <c r="DX218">
        <f t="shared" si="201"/>
        <v>-69.139425531573636</v>
      </c>
      <c r="DY218">
        <f t="shared" si="202"/>
        <v>-832.83872034643218</v>
      </c>
      <c r="DZ218">
        <f t="shared" si="203"/>
        <v>-1568.6282104414563</v>
      </c>
      <c r="EA218">
        <f t="shared" si="204"/>
        <v>-303.32796019358426</v>
      </c>
      <c r="EB218">
        <f t="shared" si="205"/>
        <v>-516.59213024682379</v>
      </c>
      <c r="EC218">
        <f t="shared" si="206"/>
        <v>-31.027416554131737</v>
      </c>
      <c r="ED218">
        <f t="shared" si="207"/>
        <v>-211.63800795302078</v>
      </c>
      <c r="EE218">
        <f t="shared" si="208"/>
        <v>-156.15667353397694</v>
      </c>
      <c r="EF218">
        <f t="shared" si="209"/>
        <v>-806.42259888226909</v>
      </c>
      <c r="EG218">
        <f t="shared" si="263"/>
        <v>-1964.8760301522998</v>
      </c>
      <c r="EH218">
        <f t="shared" si="228"/>
        <v>-250.859022466081</v>
      </c>
      <c r="EI218">
        <f t="shared" si="229"/>
        <v>-2267.5116863495082</v>
      </c>
      <c r="EJ218">
        <f t="shared" si="230"/>
        <v>-8256.4283151885029</v>
      </c>
      <c r="EK218">
        <f t="shared" si="231"/>
        <v>569539.0772060093</v>
      </c>
      <c r="EL218">
        <f t="shared" si="232"/>
        <v>-848.1933261501772</v>
      </c>
      <c r="EM218">
        <f t="shared" si="264"/>
        <v>-1346.1719506469481</v>
      </c>
      <c r="EN218">
        <f t="shared" si="258"/>
        <v>-9.352500873005631E-3</v>
      </c>
      <c r="EO218">
        <v>67</v>
      </c>
      <c r="EP218">
        <f t="shared" si="265"/>
        <v>544840.6945710103</v>
      </c>
      <c r="EQ218" s="98">
        <f t="shared" si="266"/>
        <v>907889.52445177943</v>
      </c>
      <c r="ES218" s="99">
        <f t="shared" si="267"/>
        <v>0.39988216639022545</v>
      </c>
    </row>
    <row r="219" spans="2:149" x14ac:dyDescent="0.35">
      <c r="B219" s="87">
        <f t="shared" si="259"/>
        <v>-4.92977408711316E-5</v>
      </c>
      <c r="C219" s="87">
        <f t="shared" si="268"/>
        <v>-6.7711333218810738E-6</v>
      </c>
      <c r="D219" s="87">
        <f t="shared" si="268"/>
        <v>-6.0420365649869501E-6</v>
      </c>
      <c r="E219" s="87">
        <f t="shared" si="268"/>
        <v>-4.5322254954880479E-6</v>
      </c>
      <c r="F219" s="87">
        <f t="shared" si="268"/>
        <v>-3.2168968424074189E-6</v>
      </c>
      <c r="G219" s="87">
        <f t="shared" si="268"/>
        <v>-3.5022523865535146E-6</v>
      </c>
      <c r="H219" s="87">
        <f t="shared" si="268"/>
        <v>-5.1946730580083754E-6</v>
      </c>
      <c r="I219" s="87">
        <f t="shared" si="268"/>
        <v>-6.9389717843238056E-6</v>
      </c>
      <c r="J219" s="87">
        <f t="shared" si="268"/>
        <v>-7.8281159644112899E-6</v>
      </c>
      <c r="K219" s="87">
        <f t="shared" si="268"/>
        <v>-5.3690452827582363E-6</v>
      </c>
      <c r="L219" s="87">
        <f t="shared" si="268"/>
        <v>-3.681744374268748E-6</v>
      </c>
      <c r="M219" s="87">
        <f t="shared" si="268"/>
        <v>-3.5230101485248881E-6</v>
      </c>
      <c r="N219" s="87">
        <f t="shared" si="268"/>
        <v>-4.4549968816054343E-6</v>
      </c>
      <c r="O219" s="87">
        <f t="shared" si="268"/>
        <v>-5.7220071605285733E-6</v>
      </c>
      <c r="P219" s="87">
        <f t="shared" si="268"/>
        <v>-4.4880766192368586E-6</v>
      </c>
      <c r="Q219" s="87">
        <f t="shared" si="268"/>
        <v>-4.5296104117747984E-6</v>
      </c>
      <c r="R219" s="87">
        <f t="shared" si="268"/>
        <v>-3.7469498466698957E-6</v>
      </c>
      <c r="S219" s="87">
        <f t="shared" si="268"/>
        <v>-3.8054521955932807E-6</v>
      </c>
      <c r="T219" s="87">
        <f t="shared" si="268"/>
        <v>-6.2318782311059773E-6</v>
      </c>
      <c r="U219" s="87">
        <f t="shared" si="268"/>
        <v>-8.2298188073819031E-6</v>
      </c>
      <c r="V219" s="87">
        <f t="shared" si="268"/>
        <v>-9.1258208806526925E-6</v>
      </c>
      <c r="W219" s="87">
        <f t="shared" si="268"/>
        <v>-8.2624584189737794E-6</v>
      </c>
      <c r="X219" s="87">
        <f t="shared" si="268"/>
        <v>-1.0189107922703367E-5</v>
      </c>
      <c r="Y219" s="87">
        <f t="shared" si="268"/>
        <v>-4.7737853587586688E-5</v>
      </c>
      <c r="Z219" s="87">
        <f t="shared" si="268"/>
        <v>-2.3887986182538311E-5</v>
      </c>
      <c r="AA219" s="87">
        <f t="shared" si="268"/>
        <v>-1.7416381950937181E-5</v>
      </c>
      <c r="AB219" s="87">
        <f t="shared" si="268"/>
        <v>-5.6416035740171761E-6</v>
      </c>
      <c r="AC219" s="87">
        <f t="shared" si="268"/>
        <v>-1.4638042204583765E-5</v>
      </c>
      <c r="AD219" s="87">
        <f t="shared" si="268"/>
        <v>-1.9136453399711788E-6</v>
      </c>
      <c r="AE219" s="87">
        <f t="shared" si="268"/>
        <v>-8.0259963309219538E-6</v>
      </c>
      <c r="AF219" s="87">
        <f t="shared" si="268"/>
        <v>-2.8792333079027478E-5</v>
      </c>
      <c r="AG219" s="87">
        <f t="shared" si="268"/>
        <v>-6.7360056863903806E-6</v>
      </c>
      <c r="AH219" s="87">
        <f t="shared" si="268"/>
        <v>-3.763715578768875E-4</v>
      </c>
      <c r="AI219" s="87">
        <f t="shared" si="268"/>
        <v>-1.6878357810333439E-5</v>
      </c>
      <c r="AJ219" s="87">
        <f t="shared" si="268"/>
        <v>0</v>
      </c>
      <c r="AK219" s="87">
        <f t="shared" si="268"/>
        <v>-5.1062712978852242E-4</v>
      </c>
      <c r="AL219" s="87">
        <f t="shared" si="268"/>
        <v>-4.7956362732619009E-4</v>
      </c>
      <c r="AM219" s="87">
        <f t="shared" si="268"/>
        <v>-3.7376967564891809E-4</v>
      </c>
      <c r="AN219" s="87">
        <f t="shared" si="268"/>
        <v>-3.5172320308959188E-4</v>
      </c>
      <c r="AO219" s="87">
        <f t="shared" si="268"/>
        <v>-1.0941094681847963E-3</v>
      </c>
      <c r="AP219" s="87">
        <f t="shared" si="268"/>
        <v>-6.5834080862085635E-4</v>
      </c>
      <c r="AQ219" s="87">
        <f t="shared" si="268"/>
        <v>-5.3793693522772787E-4</v>
      </c>
      <c r="AR219" s="87">
        <f t="shared" si="268"/>
        <v>-1.2724065781810322E-4</v>
      </c>
      <c r="AS219" s="87">
        <f t="shared" si="268"/>
        <v>-4.3148099427513915E-4</v>
      </c>
      <c r="AT219" s="87">
        <f t="shared" si="268"/>
        <v>-2.99220284339756E-4</v>
      </c>
      <c r="AU219" s="87">
        <f t="shared" si="268"/>
        <v>-1.0667487570931694E-3</v>
      </c>
      <c r="AV219" s="87">
        <f t="shared" si="268"/>
        <v>-6.5897718953056587E-4</v>
      </c>
      <c r="AW219" s="87">
        <f t="shared" si="268"/>
        <v>-1.3190671431867051E-3</v>
      </c>
      <c r="AX219" s="87">
        <f t="shared" si="268"/>
        <v>-4.4281439422215127E-4</v>
      </c>
      <c r="AY219" s="87">
        <f t="shared" si="268"/>
        <v>-5.8797955847407219E-4</v>
      </c>
      <c r="AZ219" s="87">
        <f t="shared" si="268"/>
        <v>-4.2365093818063601E-4</v>
      </c>
      <c r="BA219" s="87">
        <f t="shared" si="268"/>
        <v>-3.890175687564384E-4</v>
      </c>
      <c r="BB219" s="87">
        <f t="shared" si="268"/>
        <v>-3.802484959064727E-4</v>
      </c>
      <c r="BC219" s="87">
        <f t="shared" si="268"/>
        <v>-3.7625639136871624E-4</v>
      </c>
      <c r="BD219" s="87">
        <f t="shared" si="268"/>
        <v>-3.5370518662755E-4</v>
      </c>
      <c r="BE219" s="87">
        <f t="shared" si="268"/>
        <v>-2.9595665347056954E-4</v>
      </c>
      <c r="BF219" s="87">
        <f t="shared" si="268"/>
        <v>-8.0020314796129869E-4</v>
      </c>
      <c r="BG219" s="87">
        <f t="shared" si="268"/>
        <v>-6.1634820710293697E-4</v>
      </c>
      <c r="BH219" s="87">
        <f t="shared" si="268"/>
        <v>-2.9026581342958248E-4</v>
      </c>
      <c r="BI219" s="87">
        <f t="shared" si="268"/>
        <v>-4.0384193255136154E-4</v>
      </c>
      <c r="BJ219" s="87">
        <f t="shared" si="268"/>
        <v>-4.0077023052846952E-4</v>
      </c>
      <c r="BK219" s="87">
        <f t="shared" si="268"/>
        <v>-3.7112634477876527E-4</v>
      </c>
      <c r="BL219" s="87">
        <f t="shared" si="268"/>
        <v>-3.2294257429571103E-4</v>
      </c>
      <c r="BM219" s="87">
        <f t="shared" si="268"/>
        <v>-6.4452618101413665E-5</v>
      </c>
      <c r="BN219" s="87">
        <f t="shared" si="268"/>
        <v>-4.9745065027369912E-4</v>
      </c>
      <c r="BO219" s="87">
        <f t="shared" si="256"/>
        <v>-6.9183955925200564E-3</v>
      </c>
      <c r="BP219" s="87">
        <f t="shared" si="256"/>
        <v>-1.9303159402784978E-3</v>
      </c>
      <c r="BQ219" s="87">
        <f t="shared" si="256"/>
        <v>0.98498630775904894</v>
      </c>
      <c r="BR219" s="87">
        <f t="shared" si="256"/>
        <v>-1.2214900592963276E-3</v>
      </c>
      <c r="BS219" s="87">
        <f t="shared" si="256"/>
        <v>-2.2205974049626223E-7</v>
      </c>
      <c r="BU219" s="97">
        <v>2131032.6259707147</v>
      </c>
      <c r="BV219" s="98">
        <v>2219341.6846416504</v>
      </c>
      <c r="BW219">
        <f t="shared" si="260"/>
        <v>-11.470227918102013</v>
      </c>
      <c r="BX219">
        <f t="shared" si="190"/>
        <v>-0.23590436613780744</v>
      </c>
      <c r="BY219">
        <f t="shared" si="191"/>
        <v>-2.2421639009041181</v>
      </c>
      <c r="BZ219">
        <f t="shared" si="192"/>
        <v>-0.34526392545434986</v>
      </c>
      <c r="CA219">
        <f t="shared" si="193"/>
        <v>-4.8290112483823061E-2</v>
      </c>
      <c r="CB219">
        <f t="shared" si="194"/>
        <v>-0.18054522963402839</v>
      </c>
      <c r="CC219">
        <f t="shared" si="195"/>
        <v>-0.92344991932955633</v>
      </c>
      <c r="CD219">
        <f t="shared" si="196"/>
        <v>-0.88998597928569267</v>
      </c>
      <c r="CE219">
        <f t="shared" si="165"/>
        <v>-2.1828513212625107</v>
      </c>
      <c r="CF219">
        <f t="shared" si="166"/>
        <v>-0.64048668957900212</v>
      </c>
      <c r="CG219">
        <f t="shared" si="167"/>
        <v>-0.3084198820318157</v>
      </c>
      <c r="CH219">
        <f t="shared" si="168"/>
        <v>-1.057227417053171</v>
      </c>
      <c r="CI219">
        <f t="shared" si="169"/>
        <v>-1.0647634353521904</v>
      </c>
      <c r="CJ219">
        <f t="shared" si="170"/>
        <v>-2.1372185512878166</v>
      </c>
      <c r="CK219">
        <f t="shared" si="171"/>
        <v>-1.507119293319459</v>
      </c>
      <c r="CL219">
        <f t="shared" si="172"/>
        <v>-0.35614217282636762</v>
      </c>
      <c r="CM219">
        <f t="shared" si="173"/>
        <v>-0.91343684367790501</v>
      </c>
      <c r="CN219">
        <f t="shared" si="174"/>
        <v>-2.0886663829971055</v>
      </c>
      <c r="CO219">
        <f t="shared" si="175"/>
        <v>-0.89618733040499221</v>
      </c>
      <c r="CP219">
        <f t="shared" si="176"/>
        <v>-3.8285532453965225</v>
      </c>
      <c r="CQ219">
        <f t="shared" si="177"/>
        <v>-3.1241372546148645</v>
      </c>
      <c r="CR219">
        <f t="shared" si="178"/>
        <v>-1.7919398986265374</v>
      </c>
      <c r="CS219">
        <f t="shared" si="179"/>
        <v>-2.060822757735167</v>
      </c>
      <c r="CT219">
        <f t="shared" si="180"/>
        <v>-2.1593906507793501</v>
      </c>
      <c r="CU219">
        <f t="shared" si="181"/>
        <v>-1.112400385097587</v>
      </c>
      <c r="CV219">
        <f t="shared" si="182"/>
        <v>-3.0450418704560329</v>
      </c>
      <c r="CW219">
        <f t="shared" si="183"/>
        <v>-1.5841595454820752</v>
      </c>
      <c r="CX219">
        <f t="shared" si="184"/>
        <v>-7.8316972519264931</v>
      </c>
      <c r="CY219">
        <f t="shared" si="185"/>
        <v>-1.0708516190803417</v>
      </c>
      <c r="CZ219">
        <f t="shared" si="186"/>
        <v>-7.1835587024806413</v>
      </c>
      <c r="DA219">
        <f t="shared" si="187"/>
        <v>-11.421298520054489</v>
      </c>
      <c r="DB219">
        <f t="shared" si="188"/>
        <v>-1.577841823761873</v>
      </c>
      <c r="DC219">
        <f t="shared" si="261"/>
        <v>-178.04626228882645</v>
      </c>
      <c r="DD219">
        <f t="shared" si="219"/>
        <v>-4.8572955279558796</v>
      </c>
      <c r="DE219">
        <f t="shared" si="220"/>
        <v>0</v>
      </c>
      <c r="DF219">
        <f t="shared" si="221"/>
        <v>-656.82480930082795</v>
      </c>
      <c r="DG219">
        <f t="shared" si="222"/>
        <v>-428.31937107851002</v>
      </c>
      <c r="DH219">
        <f t="shared" si="223"/>
        <v>-606.83316778620053</v>
      </c>
      <c r="DI219">
        <f t="shared" si="224"/>
        <v>-254.23667280375918</v>
      </c>
      <c r="DJ219">
        <f t="shared" si="225"/>
        <v>-118.08313332872353</v>
      </c>
      <c r="DK219">
        <f t="shared" si="226"/>
        <v>-159.51717492440088</v>
      </c>
      <c r="DL219">
        <f t="shared" si="227"/>
        <v>-354.6688032244241</v>
      </c>
      <c r="DM219">
        <f t="shared" si="262"/>
        <v>-66.741929609955747</v>
      </c>
      <c r="DN219">
        <f t="shared" si="211"/>
        <v>-463.99280846224548</v>
      </c>
      <c r="DO219">
        <f t="shared" si="212"/>
        <v>-152.91016464600173</v>
      </c>
      <c r="DP219">
        <f t="shared" si="213"/>
        <v>-434.76368957166608</v>
      </c>
      <c r="DQ219">
        <f t="shared" si="214"/>
        <v>-1034.3636223197025</v>
      </c>
      <c r="DR219">
        <f t="shared" si="215"/>
        <v>-1262.8050410006406</v>
      </c>
      <c r="DS219">
        <f t="shared" si="216"/>
        <v>-1365.251810514447</v>
      </c>
      <c r="DT219">
        <f t="shared" si="217"/>
        <v>-837.48614924643982</v>
      </c>
      <c r="DU219">
        <f t="shared" si="218"/>
        <v>-121.347188820383</v>
      </c>
      <c r="DV219">
        <f t="shared" si="199"/>
        <v>-319.42252162138868</v>
      </c>
      <c r="DW219">
        <f t="shared" si="200"/>
        <v>-874.24327142375091</v>
      </c>
      <c r="DX219">
        <f t="shared" si="201"/>
        <v>-110.24858776341298</v>
      </c>
      <c r="DY219">
        <f t="shared" si="202"/>
        <v>-677.37800351533849</v>
      </c>
      <c r="DZ219">
        <f t="shared" si="203"/>
        <v>-421.61949757049854</v>
      </c>
      <c r="EA219">
        <f t="shared" si="204"/>
        <v>-715.22746469952585</v>
      </c>
      <c r="EB219">
        <f t="shared" si="205"/>
        <v>-538.09978685509782</v>
      </c>
      <c r="EC219">
        <f t="shared" si="206"/>
        <v>-50.119611804489018</v>
      </c>
      <c r="ED219">
        <f t="shared" si="207"/>
        <v>-63.918329837370102</v>
      </c>
      <c r="EE219">
        <f t="shared" si="208"/>
        <v>-136.2176239249861</v>
      </c>
      <c r="EF219">
        <f t="shared" si="209"/>
        <v>-395.67927476999552</v>
      </c>
      <c r="EG219">
        <f t="shared" si="263"/>
        <v>-775.27798679868977</v>
      </c>
      <c r="EH219">
        <f t="shared" si="228"/>
        <v>-132.00973110672808</v>
      </c>
      <c r="EI219">
        <f t="shared" si="229"/>
        <v>-1296.9972511927108</v>
      </c>
      <c r="EJ219">
        <f t="shared" si="230"/>
        <v>-15384.168121467514</v>
      </c>
      <c r="EK219">
        <f t="shared" si="231"/>
        <v>-1104.5392161671123</v>
      </c>
      <c r="EL219">
        <f t="shared" si="232"/>
        <v>1311612.702966556</v>
      </c>
      <c r="EM219">
        <f t="shared" si="264"/>
        <v>-1289.5371115623029</v>
      </c>
      <c r="EN219">
        <f t="shared" si="258"/>
        <v>-3.0563777677722927E-3</v>
      </c>
      <c r="EO219">
        <v>68</v>
      </c>
      <c r="EP219">
        <f t="shared" si="265"/>
        <v>1278749.6673794456</v>
      </c>
      <c r="EQ219" s="98">
        <f t="shared" si="266"/>
        <v>2131032.6259707147</v>
      </c>
      <c r="ES219" s="99">
        <f t="shared" si="267"/>
        <v>0.39993895363429383</v>
      </c>
    </row>
    <row r="220" spans="2:149" x14ac:dyDescent="0.35">
      <c r="B220" s="87">
        <f t="shared" si="259"/>
        <v>-1.4894133073700905E-4</v>
      </c>
      <c r="C220" s="87">
        <f t="shared" si="268"/>
        <v>-6.8929811253181045E-4</v>
      </c>
      <c r="D220" s="87">
        <f t="shared" si="268"/>
        <v>-5.1556909094381141E-4</v>
      </c>
      <c r="E220" s="87">
        <f t="shared" si="268"/>
        <v>-3.8051304800862048E-4</v>
      </c>
      <c r="F220" s="87">
        <f t="shared" si="268"/>
        <v>-3.7282268933137408E-4</v>
      </c>
      <c r="G220" s="87">
        <f t="shared" si="268"/>
        <v>-4.4021340443157857E-4</v>
      </c>
      <c r="H220" s="87">
        <f t="shared" si="268"/>
        <v>-1.8998419126320526E-3</v>
      </c>
      <c r="I220" s="87">
        <f t="shared" si="268"/>
        <v>-2.7871575943662293E-4</v>
      </c>
      <c r="J220" s="87">
        <f t="shared" si="268"/>
        <v>-1.282759098382874E-3</v>
      </c>
      <c r="K220" s="87">
        <f t="shared" si="268"/>
        <v>-3.9475312828207308E-4</v>
      </c>
      <c r="L220" s="87">
        <f t="shared" si="268"/>
        <v>-4.8275614702437535E-4</v>
      </c>
      <c r="M220" s="87">
        <f t="shared" si="268"/>
        <v>-5.2327823840064424E-4</v>
      </c>
      <c r="N220" s="87">
        <f t="shared" si="268"/>
        <v>-6.3475532724789011E-4</v>
      </c>
      <c r="O220" s="87">
        <f t="shared" si="268"/>
        <v>-9.751159653402959E-4</v>
      </c>
      <c r="P220" s="87">
        <f t="shared" si="268"/>
        <v>-4.5235794861587646E-4</v>
      </c>
      <c r="Q220" s="87">
        <f t="shared" si="268"/>
        <v>-5.37609269856096E-4</v>
      </c>
      <c r="R220" s="87">
        <f t="shared" si="268"/>
        <v>-6.3440276368931714E-4</v>
      </c>
      <c r="S220" s="87">
        <f t="shared" si="268"/>
        <v>-3.3700424389475629E-4</v>
      </c>
      <c r="T220" s="87">
        <f t="shared" si="268"/>
        <v>-5.2538079725533249E-4</v>
      </c>
      <c r="U220" s="87">
        <f t="shared" si="268"/>
        <v>-1.3966735094027116E-3</v>
      </c>
      <c r="V220" s="87">
        <f t="shared" si="268"/>
        <v>-6.5685089817798625E-4</v>
      </c>
      <c r="W220" s="87">
        <f t="shared" si="268"/>
        <v>-6.3343903252893448E-4</v>
      </c>
      <c r="X220" s="87">
        <f t="shared" si="268"/>
        <v>-5.3802829892229595E-4</v>
      </c>
      <c r="Y220" s="87">
        <f t="shared" si="268"/>
        <v>-9.4251681244212227E-4</v>
      </c>
      <c r="Z220" s="87">
        <f t="shared" si="268"/>
        <v>-1.813024844149058E-3</v>
      </c>
      <c r="AA220" s="87">
        <f t="shared" si="268"/>
        <v>-8.8328853734895665E-4</v>
      </c>
      <c r="AB220" s="87">
        <f t="shared" si="268"/>
        <v>-1.0111863223682632E-3</v>
      </c>
      <c r="AC220" s="87">
        <f t="shared" si="268"/>
        <v>-6.4213330310881488E-4</v>
      </c>
      <c r="AD220" s="87">
        <f t="shared" si="268"/>
        <v>-2.3960520992549601E-4</v>
      </c>
      <c r="AE220" s="87">
        <f t="shared" si="268"/>
        <v>-1.3161641152016703E-3</v>
      </c>
      <c r="AF220" s="87">
        <f t="shared" si="268"/>
        <v>-9.9258960441430994E-4</v>
      </c>
      <c r="AG220" s="87">
        <f t="shared" si="268"/>
        <v>-4.9098286806947584E-4</v>
      </c>
      <c r="AH220" s="87">
        <f t="shared" si="268"/>
        <v>-5.6435375452958949E-4</v>
      </c>
      <c r="AI220" s="87">
        <f t="shared" si="268"/>
        <v>-5.8698247970673158E-3</v>
      </c>
      <c r="AJ220" s="87">
        <f t="shared" si="268"/>
        <v>0</v>
      </c>
      <c r="AK220" s="87">
        <f t="shared" si="268"/>
        <v>-3.0101360238637253E-3</v>
      </c>
      <c r="AL220" s="87">
        <f t="shared" si="268"/>
        <v>-5.2797618793453179E-3</v>
      </c>
      <c r="AM220" s="87">
        <f t="shared" si="268"/>
        <v>-4.7063004647602711E-3</v>
      </c>
      <c r="AN220" s="87">
        <f t="shared" si="268"/>
        <v>-3.7990378787801779E-3</v>
      </c>
      <c r="AO220" s="87">
        <f t="shared" si="268"/>
        <v>-5.305710407002776E-3</v>
      </c>
      <c r="AP220" s="87">
        <f t="shared" si="268"/>
        <v>-4.3944848260730118E-3</v>
      </c>
      <c r="AQ220" s="87">
        <f t="shared" si="268"/>
        <v>-7.5760033811675797E-3</v>
      </c>
      <c r="AR220" s="87">
        <f t="shared" si="268"/>
        <v>-1.2616220973395184E-3</v>
      </c>
      <c r="AS220" s="87">
        <f t="shared" si="268"/>
        <v>-5.2764373571498749E-3</v>
      </c>
      <c r="AT220" s="87">
        <f t="shared" si="268"/>
        <v>-4.4620938168840087E-3</v>
      </c>
      <c r="AU220" s="87">
        <f t="shared" si="268"/>
        <v>-5.5975213755487443E-3</v>
      </c>
      <c r="AV220" s="87">
        <f t="shared" si="268"/>
        <v>-4.7803133721375599E-3</v>
      </c>
      <c r="AW220" s="87">
        <f t="shared" si="268"/>
        <v>-3.9205264739538212E-3</v>
      </c>
      <c r="AX220" s="87">
        <f t="shared" si="268"/>
        <v>-2.4816817868925883E-3</v>
      </c>
      <c r="AY220" s="87">
        <f t="shared" si="268"/>
        <v>-4.0155082475913885E-3</v>
      </c>
      <c r="AZ220" s="87">
        <f t="shared" si="268"/>
        <v>-3.2780881358565814E-3</v>
      </c>
      <c r="BA220" s="87">
        <f t="shared" si="268"/>
        <v>-4.976602988275629E-3</v>
      </c>
      <c r="BB220" s="87">
        <f t="shared" si="268"/>
        <v>-6.207401400791443E-3</v>
      </c>
      <c r="BC220" s="87">
        <f t="shared" si="268"/>
        <v>-6.1906670843482206E-3</v>
      </c>
      <c r="BD220" s="87">
        <f t="shared" si="268"/>
        <v>-7.5077573990259289E-3</v>
      </c>
      <c r="BE220" s="87">
        <f t="shared" si="268"/>
        <v>-7.2311145471153776E-3</v>
      </c>
      <c r="BF220" s="87">
        <f t="shared" si="268"/>
        <v>-1.5060434088799432E-2</v>
      </c>
      <c r="BG220" s="87">
        <f t="shared" si="268"/>
        <v>-1.6979344697154806E-2</v>
      </c>
      <c r="BH220" s="87">
        <f t="shared" si="268"/>
        <v>-5.2879960952737859E-3</v>
      </c>
      <c r="BI220" s="87">
        <f t="shared" si="268"/>
        <v>-8.4831221072587601E-3</v>
      </c>
      <c r="BJ220" s="87">
        <f t="shared" si="268"/>
        <v>-2.0010438203921184E-2</v>
      </c>
      <c r="BK220" s="87">
        <f t="shared" si="268"/>
        <v>-1.8605268812422446E-2</v>
      </c>
      <c r="BL220" s="87">
        <f t="shared" si="268"/>
        <v>-1.1798417556409405E-2</v>
      </c>
      <c r="BM220" s="87">
        <f t="shared" si="268"/>
        <v>-7.370064958251773E-3</v>
      </c>
      <c r="BN220" s="87">
        <f t="shared" si="268"/>
        <v>-2.9962658982764269E-2</v>
      </c>
      <c r="BO220" s="87">
        <f t="shared" si="256"/>
        <v>-1.6911777336838893E-2</v>
      </c>
      <c r="BP220" s="87">
        <f t="shared" si="256"/>
        <v>-1.5178225145456262E-2</v>
      </c>
      <c r="BQ220" s="87">
        <f t="shared" si="256"/>
        <v>-1.4589715758570092E-2</v>
      </c>
      <c r="BR220" s="87">
        <f t="shared" si="256"/>
        <v>0.94119316711346646</v>
      </c>
      <c r="BS220" s="87">
        <f t="shared" si="256"/>
        <v>-3.453904349687109E-3</v>
      </c>
      <c r="BU220" s="97">
        <v>1049825.8967368267</v>
      </c>
      <c r="BV220" s="98">
        <v>1759513.7208964487</v>
      </c>
      <c r="BW220">
        <f t="shared" si="260"/>
        <v>-34.65454967692704</v>
      </c>
      <c r="BX220">
        <f t="shared" si="190"/>
        <v>-24.014950908045318</v>
      </c>
      <c r="BY220">
        <f t="shared" si="191"/>
        <v>-191.32462898934193</v>
      </c>
      <c r="BZ220">
        <f t="shared" si="192"/>
        <v>-28.987398966102976</v>
      </c>
      <c r="CA220">
        <f t="shared" si="193"/>
        <v>-5.5965890379189593</v>
      </c>
      <c r="CB220">
        <f t="shared" si="194"/>
        <v>-22.693518747028293</v>
      </c>
      <c r="CC220">
        <f t="shared" si="195"/>
        <v>-337.73229640589068</v>
      </c>
      <c r="CD220">
        <f t="shared" si="196"/>
        <v>-35.747820543808544</v>
      </c>
      <c r="CE220">
        <f t="shared" si="165"/>
        <v>-357.69429138459901</v>
      </c>
      <c r="CF220">
        <f t="shared" si="166"/>
        <v>-47.091076908267731</v>
      </c>
      <c r="CG220">
        <f t="shared" si="167"/>
        <v>-40.440502864885595</v>
      </c>
      <c r="CH220">
        <f t="shared" si="168"/>
        <v>-157.03165107715793</v>
      </c>
      <c r="CI220">
        <f t="shared" si="169"/>
        <v>-151.7092561027805</v>
      </c>
      <c r="CJ220">
        <f t="shared" si="170"/>
        <v>-364.21414240063518</v>
      </c>
      <c r="CK220">
        <f t="shared" si="171"/>
        <v>-151.9041339274917</v>
      </c>
      <c r="CL220">
        <f t="shared" si="172"/>
        <v>-42.269713307005318</v>
      </c>
      <c r="CM220">
        <f t="shared" si="173"/>
        <v>-154.65562171853702</v>
      </c>
      <c r="CN220">
        <f t="shared" si="174"/>
        <v>-184.96867099406481</v>
      </c>
      <c r="CO220">
        <f t="shared" si="175"/>
        <v>-75.553404074575852</v>
      </c>
      <c r="CP220">
        <f t="shared" si="176"/>
        <v>-649.73956563743388</v>
      </c>
      <c r="CQ220">
        <f t="shared" si="177"/>
        <v>-224.86660526897313</v>
      </c>
      <c r="CR220">
        <f t="shared" si="178"/>
        <v>-137.37856436643605</v>
      </c>
      <c r="CS220">
        <f t="shared" si="179"/>
        <v>-108.82021970284772</v>
      </c>
      <c r="CT220">
        <f t="shared" si="180"/>
        <v>-42.634132874359139</v>
      </c>
      <c r="CU220">
        <f t="shared" si="181"/>
        <v>-84.427775510735856</v>
      </c>
      <c r="CV220">
        <f t="shared" si="182"/>
        <v>-154.43222292082942</v>
      </c>
      <c r="CW220">
        <f t="shared" si="183"/>
        <v>-283.94062855075077</v>
      </c>
      <c r="CX220">
        <f t="shared" si="184"/>
        <v>-343.55643705911746</v>
      </c>
      <c r="CY220">
        <f t="shared" si="185"/>
        <v>-134.08003125211638</v>
      </c>
      <c r="CZ220">
        <f t="shared" si="186"/>
        <v>-1178.0147652476708</v>
      </c>
      <c r="DA220">
        <f t="shared" si="187"/>
        <v>-393.7389217053871</v>
      </c>
      <c r="DB220">
        <f t="shared" si="188"/>
        <v>-115.00781621306962</v>
      </c>
      <c r="DC220">
        <f t="shared" si="261"/>
        <v>-266.97308683332284</v>
      </c>
      <c r="DD220">
        <f t="shared" si="219"/>
        <v>-1689.2326882194677</v>
      </c>
      <c r="DE220">
        <f t="shared" si="220"/>
        <v>0</v>
      </c>
      <c r="DF220">
        <f t="shared" si="221"/>
        <v>-3871.9682220227473</v>
      </c>
      <c r="DG220">
        <f t="shared" si="222"/>
        <v>-4715.5875857684696</v>
      </c>
      <c r="DH220">
        <f t="shared" si="223"/>
        <v>-7640.9067017698017</v>
      </c>
      <c r="DI220">
        <f t="shared" si="224"/>
        <v>-2746.0649217120267</v>
      </c>
      <c r="DJ220">
        <f t="shared" si="225"/>
        <v>-572.62543430241647</v>
      </c>
      <c r="DK220">
        <f t="shared" si="226"/>
        <v>-1064.7916634118651</v>
      </c>
      <c r="DL220">
        <f t="shared" si="227"/>
        <v>-4994.9573573813168</v>
      </c>
      <c r="DM220">
        <f t="shared" si="262"/>
        <v>-661.76247953206394</v>
      </c>
      <c r="DN220">
        <f t="shared" si="211"/>
        <v>-5674.0135034961368</v>
      </c>
      <c r="DO220">
        <f t="shared" si="212"/>
        <v>-2280.2581773864922</v>
      </c>
      <c r="DP220">
        <f t="shared" si="213"/>
        <v>-2281.3235351886051</v>
      </c>
      <c r="DQ220">
        <f t="shared" si="214"/>
        <v>-7503.4194414982403</v>
      </c>
      <c r="DR220">
        <f t="shared" si="215"/>
        <v>-3753.3044623677592</v>
      </c>
      <c r="DS220">
        <f t="shared" si="216"/>
        <v>-7651.3333732689835</v>
      </c>
      <c r="DT220">
        <f t="shared" si="217"/>
        <v>-5719.4718610118571</v>
      </c>
      <c r="DU220">
        <f t="shared" si="218"/>
        <v>-938.94936642873154</v>
      </c>
      <c r="DV220">
        <f t="shared" si="199"/>
        <v>-4086.2912199700763</v>
      </c>
      <c r="DW220">
        <f t="shared" si="200"/>
        <v>-14271.664361831099</v>
      </c>
      <c r="DX220">
        <f t="shared" si="201"/>
        <v>-1813.9553746317679</v>
      </c>
      <c r="DY220">
        <f t="shared" si="202"/>
        <v>-14378.046774826624</v>
      </c>
      <c r="DZ220">
        <f t="shared" si="203"/>
        <v>-10301.43720871842</v>
      </c>
      <c r="EA220">
        <f t="shared" si="204"/>
        <v>-13461.12686265925</v>
      </c>
      <c r="EB220">
        <f t="shared" si="205"/>
        <v>-14823.733819918983</v>
      </c>
      <c r="EC220">
        <f t="shared" si="206"/>
        <v>-913.06760650637841</v>
      </c>
      <c r="ED220">
        <f t="shared" si="207"/>
        <v>-1342.6713602443695</v>
      </c>
      <c r="EE220">
        <f t="shared" si="208"/>
        <v>-6801.3393665532731</v>
      </c>
      <c r="EF220">
        <f t="shared" si="209"/>
        <v>-19836.153844019282</v>
      </c>
      <c r="EG220">
        <f t="shared" si="263"/>
        <v>-28324.086505137151</v>
      </c>
      <c r="EH220">
        <f t="shared" si="228"/>
        <v>-15095.124481166675</v>
      </c>
      <c r="EI220">
        <f t="shared" si="229"/>
        <v>-78121.289654939872</v>
      </c>
      <c r="EJ220">
        <f t="shared" si="230"/>
        <v>-37606.06376195731</v>
      </c>
      <c r="EK220">
        <f t="shared" si="231"/>
        <v>-8685.0782067061191</v>
      </c>
      <c r="EL220">
        <f t="shared" si="232"/>
        <v>-19427.738610040669</v>
      </c>
      <c r="EM220">
        <f t="shared" si="264"/>
        <v>993625.374930077</v>
      </c>
      <c r="EN220">
        <f t="shared" si="258"/>
        <v>-47.538722880626743</v>
      </c>
      <c r="EO220">
        <v>69</v>
      </c>
      <c r="EP220">
        <f t="shared" si="265"/>
        <v>634003.10142142395</v>
      </c>
      <c r="EQ220" s="98">
        <f t="shared" si="266"/>
        <v>1049825.8967368267</v>
      </c>
      <c r="ES220" s="99">
        <f t="shared" si="267"/>
        <v>0.39608738611602606</v>
      </c>
    </row>
    <row r="221" spans="2:149" x14ac:dyDescent="0.35">
      <c r="B221" s="87">
        <f t="shared" si="259"/>
        <v>-3.4103454936351786E-7</v>
      </c>
      <c r="C221" s="87">
        <f t="shared" si="268"/>
        <v>-7.2853382823762576E-7</v>
      </c>
      <c r="D221" s="87">
        <f t="shared" si="268"/>
        <v>-1.3136445732039082E-6</v>
      </c>
      <c r="E221" s="87">
        <f t="shared" si="268"/>
        <v>-4.223607783141714E-7</v>
      </c>
      <c r="F221" s="87">
        <f t="shared" si="268"/>
        <v>-3.8238088436633962E-7</v>
      </c>
      <c r="G221" s="87">
        <f t="shared" si="268"/>
        <v>-7.3251200735002516E-7</v>
      </c>
      <c r="H221" s="87">
        <f t="shared" si="268"/>
        <v>-8.428531088923714E-7</v>
      </c>
      <c r="I221" s="87">
        <f t="shared" si="268"/>
        <v>-4.1186793531818662E-7</v>
      </c>
      <c r="J221" s="87">
        <f t="shared" si="268"/>
        <v>-5.4429982009650745E-7</v>
      </c>
      <c r="K221" s="87">
        <f t="shared" si="268"/>
        <v>-3.192094520187084E-7</v>
      </c>
      <c r="L221" s="87">
        <f t="shared" si="268"/>
        <v>-6.1182265767090021E-7</v>
      </c>
      <c r="M221" s="87">
        <f t="shared" si="268"/>
        <v>-8.0500014596257715E-7</v>
      </c>
      <c r="N221" s="87">
        <f t="shared" si="268"/>
        <v>-8.8388589989548261E-7</v>
      </c>
      <c r="O221" s="87">
        <f t="shared" si="268"/>
        <v>-3.9218290772669394E-7</v>
      </c>
      <c r="P221" s="87">
        <f t="shared" si="268"/>
        <v>-4.1076977400914265E-7</v>
      </c>
      <c r="Q221" s="87">
        <f t="shared" si="268"/>
        <v>-6.0531229337206925E-7</v>
      </c>
      <c r="R221" s="87">
        <f t="shared" si="268"/>
        <v>-9.7300673593630092E-7</v>
      </c>
      <c r="S221" s="87">
        <f t="shared" si="268"/>
        <v>-3.4749230221048005E-7</v>
      </c>
      <c r="T221" s="87">
        <f t="shared" si="268"/>
        <v>-4.2929435774676709E-7</v>
      </c>
      <c r="U221" s="87">
        <f t="shared" si="268"/>
        <v>-2.619353712326984E-6</v>
      </c>
      <c r="V221" s="87">
        <f t="shared" si="268"/>
        <v>-4.7523443497559682E-7</v>
      </c>
      <c r="W221" s="87">
        <f t="shared" si="268"/>
        <v>-3.5705188727993052E-7</v>
      </c>
      <c r="X221" s="87">
        <f t="shared" si="268"/>
        <v>-1.7825867270923185E-6</v>
      </c>
      <c r="Y221" s="87">
        <f t="shared" si="268"/>
        <v>-1.1223943694355193E-5</v>
      </c>
      <c r="Z221" s="87">
        <f t="shared" si="268"/>
        <v>-6.4838756969367234E-6</v>
      </c>
      <c r="AA221" s="87">
        <f t="shared" si="268"/>
        <v>-3.1077101277851859E-6</v>
      </c>
      <c r="AB221" s="87">
        <f t="shared" si="268"/>
        <v>-3.0413030155549685E-7</v>
      </c>
      <c r="AC221" s="87">
        <f t="shared" si="268"/>
        <v>-2.4254063893517285E-7</v>
      </c>
      <c r="AD221" s="87">
        <f t="shared" si="268"/>
        <v>-1.4770513032917146E-7</v>
      </c>
      <c r="AE221" s="87">
        <f t="shared" si="268"/>
        <v>-3.3915449982062974E-7</v>
      </c>
      <c r="AF221" s="87">
        <f t="shared" si="268"/>
        <v>-2.8355110100526367E-7</v>
      </c>
      <c r="AG221" s="87">
        <f t="shared" si="268"/>
        <v>-7.3276595311311556E-8</v>
      </c>
      <c r="AH221" s="87">
        <f t="shared" si="268"/>
        <v>-2.3598931606997161E-7</v>
      </c>
      <c r="AI221" s="87">
        <f t="shared" si="268"/>
        <v>-3.677882459968722E-7</v>
      </c>
      <c r="AJ221" s="87">
        <f t="shared" si="268"/>
        <v>0</v>
      </c>
      <c r="AK221" s="87">
        <f t="shared" si="268"/>
        <v>-1.8042156979429839E-5</v>
      </c>
      <c r="AL221" s="87">
        <f t="shared" si="268"/>
        <v>-2.5342638360633091E-5</v>
      </c>
      <c r="AM221" s="87">
        <f t="shared" si="268"/>
        <v>-3.2704708154326693E-5</v>
      </c>
      <c r="AN221" s="87">
        <f t="shared" si="268"/>
        <v>-1.1571715253833705E-4</v>
      </c>
      <c r="AO221" s="87">
        <f t="shared" si="268"/>
        <v>-3.9037615115846014E-5</v>
      </c>
      <c r="AP221" s="87">
        <f t="shared" si="268"/>
        <v>-3.9818736666823012E-5</v>
      </c>
      <c r="AQ221" s="87">
        <f t="shared" si="268"/>
        <v>-3.7579300245928448E-5</v>
      </c>
      <c r="AR221" s="87">
        <f t="shared" si="268"/>
        <v>-1.7218679324979919E-5</v>
      </c>
      <c r="AS221" s="87">
        <f t="shared" si="268"/>
        <v>-2.2876873179526476E-5</v>
      </c>
      <c r="AT221" s="87">
        <f t="shared" si="268"/>
        <v>-2.4985804514892617E-5</v>
      </c>
      <c r="AU221" s="87">
        <f t="shared" si="268"/>
        <v>-2.5118255447271384E-5</v>
      </c>
      <c r="AV221" s="87">
        <f t="shared" si="268"/>
        <v>-1.6701486919604858E-5</v>
      </c>
      <c r="AW221" s="87">
        <f t="shared" si="268"/>
        <v>-4.6044604305612375E-5</v>
      </c>
      <c r="AX221" s="87">
        <f t="shared" si="268"/>
        <v>-1.4398452836801848E-5</v>
      </c>
      <c r="AY221" s="87">
        <f t="shared" si="268"/>
        <v>-8.3592688086425628E-5</v>
      </c>
      <c r="AZ221" s="87">
        <f t="shared" si="268"/>
        <v>-2.1128058051728746E-5</v>
      </c>
      <c r="BA221" s="87">
        <f t="shared" si="268"/>
        <v>-1.0771451680562165E-5</v>
      </c>
      <c r="BB221" s="87">
        <f t="shared" si="268"/>
        <v>-6.0332250191420727E-5</v>
      </c>
      <c r="BC221" s="87">
        <f t="shared" si="268"/>
        <v>-4.3151618990900719E-5</v>
      </c>
      <c r="BD221" s="87">
        <f t="shared" si="268"/>
        <v>-1.0914543220560117E-5</v>
      </c>
      <c r="BE221" s="87">
        <f t="shared" si="268"/>
        <v>-4.6267945127709036E-5</v>
      </c>
      <c r="BF221" s="87">
        <f t="shared" si="268"/>
        <v>-6.9197472343620863E-5</v>
      </c>
      <c r="BG221" s="87">
        <f t="shared" si="268"/>
        <v>-1.7951543639218318E-4</v>
      </c>
      <c r="BH221" s="87">
        <f t="shared" si="268"/>
        <v>-3.5997382558212442E-6</v>
      </c>
      <c r="BI221" s="87">
        <f t="shared" si="268"/>
        <v>-1.8011157198336153E-5</v>
      </c>
      <c r="BJ221" s="87">
        <f t="shared" si="268"/>
        <v>-1.9765950429030563E-5</v>
      </c>
      <c r="BK221" s="87">
        <f t="shared" si="268"/>
        <v>-4.0989616815880568E-5</v>
      </c>
      <c r="BL221" s="87">
        <f t="shared" si="268"/>
        <v>-7.7257155618668717E-5</v>
      </c>
      <c r="BM221" s="87">
        <f t="shared" si="268"/>
        <v>-8.9467581622929387E-5</v>
      </c>
      <c r="BN221" s="87">
        <f t="shared" ref="BN221:BS221" si="269">BN148-BN71</f>
        <v>-8.9588459272130536E-5</v>
      </c>
      <c r="BO221" s="87">
        <f t="shared" si="269"/>
        <v>-8.1060190814608715E-5</v>
      </c>
      <c r="BP221" s="87">
        <f t="shared" si="269"/>
        <v>-6.429906362653491E-5</v>
      </c>
      <c r="BQ221" s="87">
        <f t="shared" si="269"/>
        <v>-7.7478285145306678E-5</v>
      </c>
      <c r="BR221" s="87">
        <f t="shared" si="269"/>
        <v>-1.3269326080208281E-4</v>
      </c>
      <c r="BS221" s="87">
        <f t="shared" si="269"/>
        <v>0.99975200964460864</v>
      </c>
      <c r="BU221" s="97">
        <v>19418.07943615894</v>
      </c>
      <c r="BV221" s="98">
        <v>22939.605958752789</v>
      </c>
      <c r="BW221">
        <f t="shared" si="260"/>
        <v>-7.9349356380698788E-2</v>
      </c>
      <c r="BX221">
        <f t="shared" si="190"/>
        <v>-2.5381912124660712E-2</v>
      </c>
      <c r="BY221">
        <f t="shared" si="191"/>
        <v>-0.48748570270573355</v>
      </c>
      <c r="BZ221">
        <f t="shared" si="192"/>
        <v>-3.2175349709293789E-2</v>
      </c>
      <c r="CA221">
        <f t="shared" si="193"/>
        <v>-5.7400708889053234E-3</v>
      </c>
      <c r="CB221">
        <f t="shared" si="194"/>
        <v>-3.7761855508888401E-2</v>
      </c>
      <c r="CC221">
        <f t="shared" si="195"/>
        <v>-0.14983284351522538</v>
      </c>
      <c r="CD221">
        <f t="shared" si="196"/>
        <v>-5.282579309208895E-2</v>
      </c>
      <c r="CE221">
        <f t="shared" si="165"/>
        <v>-0.15177669657196508</v>
      </c>
      <c r="CF221">
        <f t="shared" si="166"/>
        <v>-3.8079284945192006E-2</v>
      </c>
      <c r="CG221">
        <f t="shared" si="167"/>
        <v>-5.1252409923415565E-2</v>
      </c>
      <c r="CH221">
        <f t="shared" si="168"/>
        <v>-0.2415741621975713</v>
      </c>
      <c r="CI221">
        <f t="shared" si="169"/>
        <v>-0.21125253557818974</v>
      </c>
      <c r="CJ221">
        <f t="shared" si="170"/>
        <v>-0.14648366602429433</v>
      </c>
      <c r="CK221">
        <f t="shared" si="171"/>
        <v>-0.13793861024300419</v>
      </c>
      <c r="CL221">
        <f t="shared" si="172"/>
        <v>-4.7592886761219859E-2</v>
      </c>
      <c r="CM221">
        <f t="shared" si="173"/>
        <v>-0.23720098696834693</v>
      </c>
      <c r="CN221">
        <f t="shared" si="174"/>
        <v>-0.19072516291697811</v>
      </c>
      <c r="CO221">
        <f t="shared" si="175"/>
        <v>-6.1735507363840585E-2</v>
      </c>
      <c r="CP221">
        <f t="shared" si="176"/>
        <v>-1.2185365669503907</v>
      </c>
      <c r="CQ221">
        <f t="shared" si="177"/>
        <v>-0.16269195093788863</v>
      </c>
      <c r="CR221">
        <f t="shared" si="178"/>
        <v>-7.7436459011708939E-2</v>
      </c>
      <c r="CS221">
        <f t="shared" si="179"/>
        <v>-0.36054140585192873</v>
      </c>
      <c r="CT221">
        <f t="shared" si="180"/>
        <v>-0.50770776767321557</v>
      </c>
      <c r="CU221">
        <f t="shared" si="181"/>
        <v>-0.30193695555088795</v>
      </c>
      <c r="CV221">
        <f t="shared" si="182"/>
        <v>-0.5433451957475558</v>
      </c>
      <c r="CW221">
        <f t="shared" si="183"/>
        <v>-8.5399641069855772E-2</v>
      </c>
      <c r="CX221">
        <f t="shared" si="184"/>
        <v>-0.12976495277724209</v>
      </c>
      <c r="CY221">
        <f t="shared" si="185"/>
        <v>-8.2653914315098914E-2</v>
      </c>
      <c r="CZ221">
        <f t="shared" si="186"/>
        <v>-0.30355561580378765</v>
      </c>
      <c r="DA221">
        <f t="shared" si="187"/>
        <v>-0.11247861579616827</v>
      </c>
      <c r="DB221">
        <f t="shared" si="188"/>
        <v>-1.7164308073352764E-2</v>
      </c>
      <c r="DC221">
        <f t="shared" si="261"/>
        <v>-0.11163706392526837</v>
      </c>
      <c r="DD221">
        <f t="shared" si="219"/>
        <v>-0.10584301047472888</v>
      </c>
      <c r="DE221">
        <f t="shared" si="220"/>
        <v>0</v>
      </c>
      <c r="DF221">
        <f t="shared" si="221"/>
        <v>-23.207807862260545</v>
      </c>
      <c r="DG221">
        <f t="shared" si="222"/>
        <v>-22.634625116623571</v>
      </c>
      <c r="DH221">
        <f t="shared" si="223"/>
        <v>-53.097677376735305</v>
      </c>
      <c r="DI221">
        <f t="shared" si="224"/>
        <v>-83.644023451526635</v>
      </c>
      <c r="DJ221">
        <f t="shared" si="225"/>
        <v>-4.2131834561377337</v>
      </c>
      <c r="DK221">
        <f t="shared" si="226"/>
        <v>-9.6481522928169223</v>
      </c>
      <c r="DL221">
        <f t="shared" si="227"/>
        <v>-24.776520390057332</v>
      </c>
      <c r="DM221">
        <f t="shared" si="262"/>
        <v>-9.0317662859544416</v>
      </c>
      <c r="DN221">
        <f t="shared" si="211"/>
        <v>-24.60063079541926</v>
      </c>
      <c r="DO221">
        <f t="shared" si="212"/>
        <v>-12.768464178875256</v>
      </c>
      <c r="DP221">
        <f t="shared" si="213"/>
        <v>-10.237185973965484</v>
      </c>
      <c r="DQ221">
        <f t="shared" si="214"/>
        <v>-26.215490889136934</v>
      </c>
      <c r="DR221">
        <f t="shared" si="215"/>
        <v>-44.080666195304531</v>
      </c>
      <c r="DS221">
        <f t="shared" si="216"/>
        <v>-44.392219540606916</v>
      </c>
      <c r="DT221">
        <f t="shared" si="217"/>
        <v>-119.06488489556298</v>
      </c>
      <c r="DU221">
        <f t="shared" si="218"/>
        <v>-6.0517520882202724</v>
      </c>
      <c r="DV221">
        <f t="shared" si="199"/>
        <v>-8.8444443995851483</v>
      </c>
      <c r="DW221">
        <f t="shared" si="200"/>
        <v>-138.71209050798518</v>
      </c>
      <c r="DX221">
        <f t="shared" si="201"/>
        <v>-12.644051137963553</v>
      </c>
      <c r="DY221">
        <f t="shared" si="202"/>
        <v>-20.902355338684831</v>
      </c>
      <c r="DZ221">
        <f t="shared" si="203"/>
        <v>-65.913259761547948</v>
      </c>
      <c r="EA221">
        <f t="shared" si="204"/>
        <v>-61.849210208727087</v>
      </c>
      <c r="EB221">
        <f t="shared" si="205"/>
        <v>-156.72507350005293</v>
      </c>
      <c r="EC221">
        <f t="shared" si="206"/>
        <v>-0.62155953485475757</v>
      </c>
      <c r="ED221">
        <f t="shared" si="207"/>
        <v>-2.8507269645891844</v>
      </c>
      <c r="EE221">
        <f t="shared" si="208"/>
        <v>-6.7182405202881901</v>
      </c>
      <c r="EF221">
        <f t="shared" si="209"/>
        <v>-43.70140272439</v>
      </c>
      <c r="EG221">
        <f t="shared" si="263"/>
        <v>-185.46880108470739</v>
      </c>
      <c r="EH221">
        <f t="shared" si="228"/>
        <v>-183.24455608969453</v>
      </c>
      <c r="EI221">
        <f t="shared" si="229"/>
        <v>-233.58294003759366</v>
      </c>
      <c r="EJ221">
        <f t="shared" si="230"/>
        <v>-180.25040441434714</v>
      </c>
      <c r="EK221">
        <f t="shared" si="231"/>
        <v>-36.792338423152408</v>
      </c>
      <c r="EL221">
        <f t="shared" si="232"/>
        <v>-103.17047272651864</v>
      </c>
      <c r="EM221">
        <f t="shared" si="264"/>
        <v>-140.08536783105336</v>
      </c>
      <c r="EN221">
        <f t="shared" si="258"/>
        <v>13760.350294631124</v>
      </c>
      <c r="EO221">
        <v>70</v>
      </c>
      <c r="EP221">
        <f t="shared" si="265"/>
        <v>11654.101090418804</v>
      </c>
      <c r="EQ221" s="98">
        <f t="shared" si="266"/>
        <v>19418.07943615894</v>
      </c>
      <c r="ES221" s="99">
        <f t="shared" si="267"/>
        <v>0.39983245362992065</v>
      </c>
    </row>
    <row r="225" spans="2:71" x14ac:dyDescent="0.35">
      <c r="B225">
        <f t="array" ref="B225:BS294">MINVERSE(B152:BS221)</f>
        <v>1.1824796850013102</v>
      </c>
      <c r="C225">
        <v>5.398234816047608E-3</v>
      </c>
      <c r="D225">
        <v>0.29092892563513556</v>
      </c>
      <c r="E225">
        <v>2.1536649158271005E-2</v>
      </c>
      <c r="F225">
        <v>3.852250516492834E-2</v>
      </c>
      <c r="G225">
        <v>0.2006760970961825</v>
      </c>
      <c r="H225">
        <v>2.9057132016270255E-2</v>
      </c>
      <c r="I225">
        <v>4.7639398452533196E-3</v>
      </c>
      <c r="J225">
        <v>1.0807418364290791E-2</v>
      </c>
      <c r="K225">
        <v>1.7975554096166121E-2</v>
      </c>
      <c r="L225">
        <v>6.7700692540630866E-3</v>
      </c>
      <c r="M225">
        <v>6.3492930488987737E-3</v>
      </c>
      <c r="N225">
        <v>5.8671478078426709E-3</v>
      </c>
      <c r="O225">
        <v>4.825472389166436E-3</v>
      </c>
      <c r="P225">
        <v>6.5716952374693816E-3</v>
      </c>
      <c r="Q225">
        <v>2.6698450708242647E-2</v>
      </c>
      <c r="R225">
        <v>5.4273316772434441E-3</v>
      </c>
      <c r="S225">
        <v>1.2032747297931976E-2</v>
      </c>
      <c r="T225">
        <v>4.7853702153192717E-3</v>
      </c>
      <c r="U225">
        <v>9.8531335853515138E-3</v>
      </c>
      <c r="V225">
        <v>1.1620653866604356E-2</v>
      </c>
      <c r="W225">
        <v>7.5563057025020031E-2</v>
      </c>
      <c r="X225">
        <v>4.1256051437152412E-3</v>
      </c>
      <c r="Y225">
        <v>8.0091268414201437E-3</v>
      </c>
      <c r="Z225">
        <v>5.6117445142877852E-3</v>
      </c>
      <c r="AA225">
        <v>6.2642755339440744E-3</v>
      </c>
      <c r="AB225">
        <v>2.8228995330748766E-3</v>
      </c>
      <c r="AC225">
        <v>2.4511667713391851E-3</v>
      </c>
      <c r="AD225">
        <v>2.9821536746096116E-3</v>
      </c>
      <c r="AE225">
        <v>3.8475229522884568E-3</v>
      </c>
      <c r="AF225">
        <v>7.3367942174014352E-3</v>
      </c>
      <c r="AG225">
        <v>5.2971046498370682E-3</v>
      </c>
      <c r="AH225">
        <v>9.1903382633304522E-3</v>
      </c>
      <c r="AI225">
        <v>9.5781477493163403E-3</v>
      </c>
      <c r="AJ225">
        <v>0</v>
      </c>
      <c r="AK225">
        <v>3.4859609785499973E-3</v>
      </c>
      <c r="AL225">
        <v>2.9899723256472443E-4</v>
      </c>
      <c r="AM225">
        <v>7.0357160655390464E-3</v>
      </c>
      <c r="AN225">
        <v>2.8543312704597036E-3</v>
      </c>
      <c r="AO225">
        <v>4.1703514960193819E-3</v>
      </c>
      <c r="AP225">
        <v>8.9015542257967883E-3</v>
      </c>
      <c r="AQ225">
        <v>2.5792295498457398E-3</v>
      </c>
      <c r="AR225">
        <v>4.5657371111711273E-4</v>
      </c>
      <c r="AS225">
        <v>1.3773053135678899E-3</v>
      </c>
      <c r="AT225">
        <v>1.9328072622397917E-3</v>
      </c>
      <c r="AU225">
        <v>1.0126859465024174E-3</v>
      </c>
      <c r="AV225">
        <v>7.5882199749409851E-4</v>
      </c>
      <c r="AW225">
        <v>8.7185952403700281E-4</v>
      </c>
      <c r="AX225">
        <v>8.0564949750250325E-4</v>
      </c>
      <c r="AY225">
        <v>1.0292625528786829E-3</v>
      </c>
      <c r="AZ225">
        <v>2.4143727957299638E-3</v>
      </c>
      <c r="BA225">
        <v>3.9538251064601614E-4</v>
      </c>
      <c r="BB225">
        <v>1.188586612986981E-3</v>
      </c>
      <c r="BC225">
        <v>5.6032791932500697E-4</v>
      </c>
      <c r="BD225">
        <v>3.88307858534263E-4</v>
      </c>
      <c r="BE225">
        <v>3.3119193562354153E-4</v>
      </c>
      <c r="BF225">
        <v>2.4694447205526222E-3</v>
      </c>
      <c r="BG225">
        <v>5.5396770298462531E-4</v>
      </c>
      <c r="BH225">
        <v>7.4109262258553277E-4</v>
      </c>
      <c r="BI225">
        <v>6.4038043422425699E-4</v>
      </c>
      <c r="BJ225">
        <v>8.9209380947587289E-4</v>
      </c>
      <c r="BK225">
        <v>3.0395448652543197E-4</v>
      </c>
      <c r="BL225">
        <v>3.3965036332144508E-4</v>
      </c>
      <c r="BM225">
        <v>1.9009374089487086E-4</v>
      </c>
      <c r="BN225">
        <v>4.1879409737153125E-4</v>
      </c>
      <c r="BO225">
        <v>5.7501681792696577E-4</v>
      </c>
      <c r="BP225">
        <v>6.4268261048474468E-4</v>
      </c>
      <c r="BQ225">
        <v>6.8535661846013632E-4</v>
      </c>
      <c r="BR225">
        <v>5.8607346246178349E-4</v>
      </c>
      <c r="BS225">
        <v>7.5489573728307642E-5</v>
      </c>
    </row>
    <row r="226" spans="2:71" x14ac:dyDescent="0.35">
      <c r="B226" s="87">
        <v>5.6611237532322627E-3</v>
      </c>
      <c r="C226" s="87">
        <v>1.0472063923848585</v>
      </c>
      <c r="D226" s="87">
        <v>5.3641473313850137E-3</v>
      </c>
      <c r="E226" s="87">
        <v>4.2709978045791111E-3</v>
      </c>
      <c r="F226" s="87">
        <v>4.1009985356779003E-3</v>
      </c>
      <c r="G226" s="87">
        <v>5.2949300796385915E-3</v>
      </c>
      <c r="H226" s="87">
        <v>5.958918309153868E-3</v>
      </c>
      <c r="I226" s="87">
        <v>9.6721142861803278E-2</v>
      </c>
      <c r="J226" s="87">
        <v>1.1044264615269082E-2</v>
      </c>
      <c r="K226" s="87">
        <v>6.0987533722092332E-3</v>
      </c>
      <c r="L226" s="87">
        <v>4.6509397177151343E-2</v>
      </c>
      <c r="M226" s="87">
        <v>1.3040248027758191E-2</v>
      </c>
      <c r="N226" s="87">
        <v>5.3867682497679131E-3</v>
      </c>
      <c r="O226" s="87">
        <v>3.8828217936302317E-3</v>
      </c>
      <c r="P226" s="87">
        <v>5.0764375233950856E-3</v>
      </c>
      <c r="Q226" s="87">
        <v>6.1842776575243511E-3</v>
      </c>
      <c r="R226" s="87">
        <v>4.4447323317343156E-2</v>
      </c>
      <c r="S226" s="87">
        <v>1.2069897267082285E-2</v>
      </c>
      <c r="T226" s="87">
        <v>3.0887805631199996E-3</v>
      </c>
      <c r="U226" s="87">
        <v>3.352754489885452E-3</v>
      </c>
      <c r="V226" s="87">
        <v>3.0513561923168316E-3</v>
      </c>
      <c r="W226" s="87">
        <v>3.3487446619422366E-3</v>
      </c>
      <c r="X226" s="87">
        <v>6.6203232269232987E-3</v>
      </c>
      <c r="Y226" s="87">
        <v>3.9806561439907689E-3</v>
      </c>
      <c r="Z226" s="87">
        <v>7.7154389015136752E-3</v>
      </c>
      <c r="AA226" s="87">
        <v>3.9967286087689742E-3</v>
      </c>
      <c r="AB226" s="87">
        <v>2.0228370630061858E-3</v>
      </c>
      <c r="AC226" s="87">
        <v>1.4300637237422216E-3</v>
      </c>
      <c r="AD226" s="87">
        <v>1.6607714564518406E-3</v>
      </c>
      <c r="AE226" s="87">
        <v>1.9371634075983121E-3</v>
      </c>
      <c r="AF226" s="87">
        <v>2.7030576721500991E-3</v>
      </c>
      <c r="AG226" s="87">
        <v>1.7110888136707924E-3</v>
      </c>
      <c r="AH226" s="87">
        <v>2.1306665246760923E-3</v>
      </c>
      <c r="AI226" s="87">
        <v>3.0607368029807228E-3</v>
      </c>
      <c r="AJ226" s="87">
        <v>0</v>
      </c>
      <c r="AK226" s="87">
        <v>3.4364208185118914E-4</v>
      </c>
      <c r="AL226" s="87">
        <v>3.6806447764390216E-4</v>
      </c>
      <c r="AM226" s="87">
        <v>4.4763468677573977E-4</v>
      </c>
      <c r="AN226" s="87">
        <v>6.3589928533269735E-4</v>
      </c>
      <c r="AO226" s="87">
        <v>5.882079274527242E-4</v>
      </c>
      <c r="AP226" s="87">
        <v>5.69789487459996E-4</v>
      </c>
      <c r="AQ226" s="87">
        <v>5.5050773466143194E-4</v>
      </c>
      <c r="AR226" s="87">
        <v>2.8346035437098946E-3</v>
      </c>
      <c r="AS226" s="87">
        <v>1.128002961212978E-3</v>
      </c>
      <c r="AT226" s="87">
        <v>1.0338444353779454E-3</v>
      </c>
      <c r="AU226" s="87">
        <v>2.1834640695566477E-3</v>
      </c>
      <c r="AV226" s="87">
        <v>1.3140376493361453E-3</v>
      </c>
      <c r="AW226" s="87">
        <v>8.2850828309061447E-4</v>
      </c>
      <c r="AX226" s="87">
        <v>6.7314427199465182E-4</v>
      </c>
      <c r="AY226" s="87">
        <v>8.260119814499225E-4</v>
      </c>
      <c r="AZ226" s="87">
        <v>1.4458655605827009E-3</v>
      </c>
      <c r="BA226" s="87">
        <v>7.5256671673770746E-4</v>
      </c>
      <c r="BB226" s="87">
        <v>1.3589478474156421E-3</v>
      </c>
      <c r="BC226" s="87">
        <v>3.5795295946601833E-4</v>
      </c>
      <c r="BD226" s="87">
        <v>1.6105284779837457E-4</v>
      </c>
      <c r="BE226" s="87">
        <v>1.5565322323396976E-4</v>
      </c>
      <c r="BF226" s="87">
        <v>2.7962470512637099E-4</v>
      </c>
      <c r="BG226" s="87">
        <v>6.6930915135681801E-4</v>
      </c>
      <c r="BH226" s="87">
        <v>7.5788822170412193E-4</v>
      </c>
      <c r="BI226" s="87">
        <v>8.6201930162634402E-4</v>
      </c>
      <c r="BJ226" s="87">
        <v>5.8715830743624536E-4</v>
      </c>
      <c r="BK226" s="87">
        <v>2.0369170008939413E-4</v>
      </c>
      <c r="BL226" s="87">
        <v>1.4731940362960004E-4</v>
      </c>
      <c r="BM226" s="87">
        <v>1.3272670196861003E-4</v>
      </c>
      <c r="BN226" s="87">
        <v>2.2673324279304222E-4</v>
      </c>
      <c r="BO226" s="87">
        <v>3.1273555076580749E-4</v>
      </c>
      <c r="BP226" s="87">
        <v>2.2204595517078587E-4</v>
      </c>
      <c r="BQ226" s="87">
        <v>3.3333419611538686E-4</v>
      </c>
      <c r="BR226" s="87">
        <v>2.7353740264607346E-4</v>
      </c>
      <c r="BS226" s="87">
        <v>3.5659840371003531E-5</v>
      </c>
    </row>
    <row r="227" spans="2:71" x14ac:dyDescent="0.35">
      <c r="B227" s="87">
        <v>8.3442947134064652E-2</v>
      </c>
      <c r="C227" s="87">
        <v>5.378358884231018E-3</v>
      </c>
      <c r="D227" s="87">
        <v>1.1806869905267976</v>
      </c>
      <c r="E227" s="87">
        <v>1.3836778070317725E-2</v>
      </c>
      <c r="F227" s="87">
        <v>8.2545282308971304E-2</v>
      </c>
      <c r="G227" s="87">
        <v>2.058122880066587E-2</v>
      </c>
      <c r="H227" s="87">
        <v>1.0711785650975091E-2</v>
      </c>
      <c r="I227" s="87">
        <v>7.1928622643898698E-3</v>
      </c>
      <c r="J227" s="87">
        <v>2.0720918774141641E-2</v>
      </c>
      <c r="K227" s="87">
        <v>1.0751356396869022E-2</v>
      </c>
      <c r="L227" s="87">
        <v>7.2044035326094833E-3</v>
      </c>
      <c r="M227" s="87">
        <v>7.357057398144161E-3</v>
      </c>
      <c r="N227" s="87">
        <v>7.3519351937521892E-3</v>
      </c>
      <c r="O227" s="87">
        <v>6.2107315495421407E-3</v>
      </c>
      <c r="P227" s="87">
        <v>7.9451617294529851E-3</v>
      </c>
      <c r="Q227" s="87">
        <v>1.1573507058158732E-2</v>
      </c>
      <c r="R227" s="87">
        <v>4.1375281706893538E-3</v>
      </c>
      <c r="S227" s="87">
        <v>6.5011482090587937E-3</v>
      </c>
      <c r="T227" s="87">
        <v>6.9249754199491803E-3</v>
      </c>
      <c r="U227" s="87">
        <v>1.1973067358131449E-2</v>
      </c>
      <c r="V227" s="87">
        <v>1.6912124320145078E-2</v>
      </c>
      <c r="W227" s="87">
        <v>0.18162668750020183</v>
      </c>
      <c r="X227" s="87">
        <v>5.7534335933195806E-3</v>
      </c>
      <c r="Y227" s="87">
        <v>1.3152115402347746E-2</v>
      </c>
      <c r="Z227" s="87">
        <v>9.2227534754511387E-3</v>
      </c>
      <c r="AA227" s="87">
        <v>8.8439914963250061E-3</v>
      </c>
      <c r="AB227" s="87">
        <v>3.9572455500141712E-3</v>
      </c>
      <c r="AC227" s="87">
        <v>3.5008314218298643E-3</v>
      </c>
      <c r="AD227" s="87">
        <v>1.918027161321991E-3</v>
      </c>
      <c r="AE227" s="87">
        <v>5.5626211185507961E-3</v>
      </c>
      <c r="AF227" s="87">
        <v>7.1653745282520146E-3</v>
      </c>
      <c r="AG227" s="87">
        <v>8.4031240209267322E-3</v>
      </c>
      <c r="AH227" s="87">
        <v>1.8191819067817257E-2</v>
      </c>
      <c r="AI227" s="87">
        <v>1.1601095826400308E-2</v>
      </c>
      <c r="AJ227" s="87">
        <v>0</v>
      </c>
      <c r="AK227" s="87">
        <v>2.303193306784882E-3</v>
      </c>
      <c r="AL227" s="87">
        <v>3.0515975254062557E-4</v>
      </c>
      <c r="AM227" s="87">
        <v>5.8830323207364112E-3</v>
      </c>
      <c r="AN227" s="87">
        <v>1.6153157716807345E-3</v>
      </c>
      <c r="AO227" s="87">
        <v>4.5994090103424158E-3</v>
      </c>
      <c r="AP227" s="87">
        <v>1.7044497095927787E-3</v>
      </c>
      <c r="AQ227" s="87">
        <v>1.0585743020120923E-3</v>
      </c>
      <c r="AR227" s="87">
        <v>4.8788238282107028E-4</v>
      </c>
      <c r="AS227" s="87">
        <v>1.7089336189561849E-3</v>
      </c>
      <c r="AT227" s="87">
        <v>1.8371285158531427E-3</v>
      </c>
      <c r="AU227" s="87">
        <v>8.7247754658275787E-4</v>
      </c>
      <c r="AV227" s="87">
        <v>7.5704711032876691E-4</v>
      </c>
      <c r="AW227" s="87">
        <v>8.9479497733168365E-4</v>
      </c>
      <c r="AX227" s="87">
        <v>8.6031401246158964E-4</v>
      </c>
      <c r="AY227" s="87">
        <v>1.0657040062227909E-3</v>
      </c>
      <c r="AZ227" s="87">
        <v>1.0739619259790335E-3</v>
      </c>
      <c r="BA227" s="87">
        <v>4.4103991340291516E-4</v>
      </c>
      <c r="BB227" s="87">
        <v>7.6471035311483494E-4</v>
      </c>
      <c r="BC227" s="87">
        <v>5.0418520895230239E-4</v>
      </c>
      <c r="BD227" s="87">
        <v>3.7620701052173473E-4</v>
      </c>
      <c r="BE227" s="87">
        <v>3.1089502082340084E-4</v>
      </c>
      <c r="BF227" s="87">
        <v>3.0522022451274218E-3</v>
      </c>
      <c r="BG227" s="87">
        <v>5.5831445809237336E-4</v>
      </c>
      <c r="BH227" s="87">
        <v>9.4310901895276441E-4</v>
      </c>
      <c r="BI227" s="87">
        <v>7.181383995081811E-4</v>
      </c>
      <c r="BJ227" s="87">
        <v>7.6120962481902388E-4</v>
      </c>
      <c r="BK227" s="87">
        <v>3.0754385047677691E-4</v>
      </c>
      <c r="BL227" s="87">
        <v>3.5232323490265216E-4</v>
      </c>
      <c r="BM227" s="87">
        <v>1.7388010759153549E-4</v>
      </c>
      <c r="BN227" s="87">
        <v>4.0867851604174551E-4</v>
      </c>
      <c r="BO227" s="87">
        <v>5.7547545497425314E-4</v>
      </c>
      <c r="BP227" s="87">
        <v>7.0804640640752215E-4</v>
      </c>
      <c r="BQ227" s="87">
        <v>8.4015141729487479E-4</v>
      </c>
      <c r="BR227" s="87">
        <v>5.7964426202892778E-4</v>
      </c>
      <c r="BS227" s="87">
        <v>6.5348590995967251E-5</v>
      </c>
    </row>
    <row r="228" spans="2:71" x14ac:dyDescent="0.35">
      <c r="B228" s="87">
        <v>2.7694774398179258E-3</v>
      </c>
      <c r="C228" s="87">
        <v>1.67328608260167E-3</v>
      </c>
      <c r="D228" s="87">
        <v>3.0212520621951894E-3</v>
      </c>
      <c r="E228" s="87">
        <v>1.2157753194837002</v>
      </c>
      <c r="F228" s="87">
        <v>4.4392744196061401E-2</v>
      </c>
      <c r="G228" s="87">
        <v>3.157870457065086E-3</v>
      </c>
      <c r="H228" s="87">
        <v>4.6741484910330358E-3</v>
      </c>
      <c r="I228" s="87">
        <v>1.9544841523070114E-3</v>
      </c>
      <c r="J228" s="87">
        <v>4.3940836721656808E-3</v>
      </c>
      <c r="K228" s="87">
        <v>9.2025093866366543E-3</v>
      </c>
      <c r="L228" s="87">
        <v>3.2875894145757549E-3</v>
      </c>
      <c r="M228" s="87">
        <v>3.2274078027456758E-3</v>
      </c>
      <c r="N228" s="87">
        <v>3.1722822328491473E-3</v>
      </c>
      <c r="O228" s="87">
        <v>3.008575676954498E-3</v>
      </c>
      <c r="P228" s="87">
        <v>7.2719810623467973E-3</v>
      </c>
      <c r="Q228" s="87">
        <v>1.8424334955291066E-2</v>
      </c>
      <c r="R228" s="87">
        <v>1.1341127470486383E-3</v>
      </c>
      <c r="S228" s="87">
        <v>3.0413766870667105E-3</v>
      </c>
      <c r="T228" s="87">
        <v>2.3809589008925883E-3</v>
      </c>
      <c r="U228" s="87">
        <v>2.6616324894785186E-3</v>
      </c>
      <c r="V228" s="87">
        <v>3.6394487661302825E-3</v>
      </c>
      <c r="W228" s="87">
        <v>3.8042079127354384E-3</v>
      </c>
      <c r="X228" s="87">
        <v>1.7540737637790559E-3</v>
      </c>
      <c r="Y228" s="87">
        <v>1.3582045252846246E-3</v>
      </c>
      <c r="Z228" s="87">
        <v>1.9443629576449345E-3</v>
      </c>
      <c r="AA228" s="87">
        <v>1.5387259452246933E-3</v>
      </c>
      <c r="AB228" s="87">
        <v>1.2529544989733005E-3</v>
      </c>
      <c r="AC228" s="87">
        <v>7.3308258400943231E-4</v>
      </c>
      <c r="AD228" s="87">
        <v>6.5518829336123799E-4</v>
      </c>
      <c r="AE228" s="87">
        <v>1.2482491339596469E-3</v>
      </c>
      <c r="AF228" s="87">
        <v>1.911025770480223E-3</v>
      </c>
      <c r="AG228" s="87">
        <v>9.519748633759357E-4</v>
      </c>
      <c r="AH228" s="87">
        <v>2.929364190652079E-3</v>
      </c>
      <c r="AI228" s="87">
        <v>3.4157463673081387E-3</v>
      </c>
      <c r="AJ228" s="87">
        <v>0</v>
      </c>
      <c r="AK228" s="87">
        <v>2.309620440390179E-4</v>
      </c>
      <c r="AL228" s="87">
        <v>1.4332668046212606E-4</v>
      </c>
      <c r="AM228" s="87">
        <v>3.4673073936374851E-4</v>
      </c>
      <c r="AN228" s="87">
        <v>1.3649800571128322E-2</v>
      </c>
      <c r="AO228" s="87">
        <v>3.3112998937600787E-3</v>
      </c>
      <c r="AP228" s="87">
        <v>4.6709260322691358E-4</v>
      </c>
      <c r="AQ228" s="87">
        <v>6.9835721253657139E-4</v>
      </c>
      <c r="AR228" s="87">
        <v>1.9315632756766217E-4</v>
      </c>
      <c r="AS228" s="87">
        <v>5.017287673372209E-4</v>
      </c>
      <c r="AT228" s="87">
        <v>1.4567290283382522E-3</v>
      </c>
      <c r="AU228" s="87">
        <v>4.6530056464845303E-4</v>
      </c>
      <c r="AV228" s="87">
        <v>4.0381739711399815E-4</v>
      </c>
      <c r="AW228" s="87">
        <v>4.9641336734029861E-4</v>
      </c>
      <c r="AX228" s="87">
        <v>4.6958230087882269E-4</v>
      </c>
      <c r="AY228" s="87">
        <v>8.4443892582085204E-4</v>
      </c>
      <c r="AZ228" s="87">
        <v>1.716440664613048E-3</v>
      </c>
      <c r="BA228" s="87">
        <v>2.0559001398373381E-4</v>
      </c>
      <c r="BB228" s="87">
        <v>3.9968523182326191E-4</v>
      </c>
      <c r="BC228" s="87">
        <v>4.253508910163987E-4</v>
      </c>
      <c r="BD228" s="87">
        <v>1.9058601943283684E-4</v>
      </c>
      <c r="BE228" s="87">
        <v>1.9217353247457614E-4</v>
      </c>
      <c r="BF228" s="87">
        <v>2.6364185814300566E-4</v>
      </c>
      <c r="BG228" s="87">
        <v>3.3520625364112189E-4</v>
      </c>
      <c r="BH228" s="87">
        <v>3.8050175117662925E-4</v>
      </c>
      <c r="BI228" s="87">
        <v>4.2182830227852959E-4</v>
      </c>
      <c r="BJ228" s="87">
        <v>4.7520381803150337E-4</v>
      </c>
      <c r="BK228" s="87">
        <v>1.4086861575390589E-4</v>
      </c>
      <c r="BL228" s="87">
        <v>1.2872225722383685E-4</v>
      </c>
      <c r="BM228" s="87">
        <v>1.074537171469935E-4</v>
      </c>
      <c r="BN228" s="87">
        <v>1.9213039335990603E-4</v>
      </c>
      <c r="BO228" s="87">
        <v>2.6426405057070881E-4</v>
      </c>
      <c r="BP228" s="87">
        <v>1.8208038335310034E-4</v>
      </c>
      <c r="BQ228" s="87">
        <v>3.0034081862827575E-4</v>
      </c>
      <c r="BR228" s="87">
        <v>2.9569319068697118E-4</v>
      </c>
      <c r="BS228" s="87">
        <v>4.2610272494040949E-5</v>
      </c>
    </row>
    <row r="229" spans="2:71" x14ac:dyDescent="0.35">
      <c r="B229" s="87">
        <v>3.453282818928199E-4</v>
      </c>
      <c r="C229" s="87">
        <v>2.8543128498659406E-4</v>
      </c>
      <c r="D229" s="87">
        <v>4.7118000519690435E-4</v>
      </c>
      <c r="E229" s="87">
        <v>4.8205992431302998E-3</v>
      </c>
      <c r="F229" s="87">
        <v>1.1543308341503449</v>
      </c>
      <c r="G229" s="87">
        <v>6.3436460903204582E-4</v>
      </c>
      <c r="H229" s="87">
        <v>3.937105395260507E-4</v>
      </c>
      <c r="I229" s="87">
        <v>2.7633051813495164E-4</v>
      </c>
      <c r="J229" s="87">
        <v>3.7670873968139021E-4</v>
      </c>
      <c r="K229" s="87">
        <v>5.1762953484059729E-4</v>
      </c>
      <c r="L229" s="87">
        <v>4.3186428560991924E-4</v>
      </c>
      <c r="M229" s="87">
        <v>5.6102171672784752E-4</v>
      </c>
      <c r="N229" s="87">
        <v>5.0636370352692142E-4</v>
      </c>
      <c r="O229" s="87">
        <v>4.2729053766627797E-4</v>
      </c>
      <c r="P229" s="87">
        <v>1.0105798087381935E-3</v>
      </c>
      <c r="Q229" s="87">
        <v>4.2339616499056576E-3</v>
      </c>
      <c r="R229" s="87">
        <v>1.875098165203254E-4</v>
      </c>
      <c r="S229" s="87">
        <v>3.9743804071901362E-4</v>
      </c>
      <c r="T229" s="87">
        <v>5.8311434712927132E-4</v>
      </c>
      <c r="U229" s="87">
        <v>9.0510774010630344E-4</v>
      </c>
      <c r="V229" s="87">
        <v>5.4179580272228597E-4</v>
      </c>
      <c r="W229" s="87">
        <v>3.9966104231110432E-4</v>
      </c>
      <c r="X229" s="87">
        <v>2.6962553134636871E-4</v>
      </c>
      <c r="Y229" s="87">
        <v>1.7311713999418592E-4</v>
      </c>
      <c r="Z229" s="87">
        <v>2.5185397460666839E-4</v>
      </c>
      <c r="AA229" s="87">
        <v>2.2808013114497013E-4</v>
      </c>
      <c r="AB229" s="87">
        <v>1.7301588269928424E-4</v>
      </c>
      <c r="AC229" s="87">
        <v>9.5310347865294845E-5</v>
      </c>
      <c r="AD229" s="87">
        <v>6.402005191397388E-5</v>
      </c>
      <c r="AE229" s="87">
        <v>1.6077812877121492E-4</v>
      </c>
      <c r="AF229" s="87">
        <v>2.6826351495909558E-4</v>
      </c>
      <c r="AG229" s="87">
        <v>1.0918114607126105E-4</v>
      </c>
      <c r="AH229" s="87">
        <v>2.4250017147245577E-4</v>
      </c>
      <c r="AI229" s="87">
        <v>3.5783857677172074E-4</v>
      </c>
      <c r="AJ229" s="87">
        <v>0</v>
      </c>
      <c r="AK229" s="87">
        <v>2.3924522867187132E-5</v>
      </c>
      <c r="AL229" s="87">
        <v>1.5806639672945165E-5</v>
      </c>
      <c r="AM229" s="87">
        <v>3.718933725144762E-5</v>
      </c>
      <c r="AN229" s="87">
        <v>7.2251368472552697E-4</v>
      </c>
      <c r="AO229" s="87">
        <v>5.8908684106017371E-3</v>
      </c>
      <c r="AP229" s="87">
        <v>5.2856175340964963E-5</v>
      </c>
      <c r="AQ229" s="87">
        <v>1.2807291072066353E-4</v>
      </c>
      <c r="AR229" s="87">
        <v>2.2606787666252843E-5</v>
      </c>
      <c r="AS229" s="87">
        <v>4.8952474244401042E-5</v>
      </c>
      <c r="AT229" s="87">
        <v>1.0326727302242785E-4</v>
      </c>
      <c r="AU229" s="87">
        <v>4.9410851844177407E-5</v>
      </c>
      <c r="AV229" s="87">
        <v>5.0285764869982086E-5</v>
      </c>
      <c r="AW229" s="87">
        <v>6.2829975338349274E-5</v>
      </c>
      <c r="AX229" s="87">
        <v>5.9562010795062764E-5</v>
      </c>
      <c r="AY229" s="87">
        <v>2.6433903262314994E-4</v>
      </c>
      <c r="AZ229" s="87">
        <v>3.0487878744105482E-4</v>
      </c>
      <c r="BA229" s="87">
        <v>2.4448608117760368E-5</v>
      </c>
      <c r="BB229" s="87">
        <v>4.4171783662326398E-5</v>
      </c>
      <c r="BC229" s="87">
        <v>4.7646676066614269E-5</v>
      </c>
      <c r="BD229" s="87">
        <v>1.9897116732527551E-5</v>
      </c>
      <c r="BE229" s="87">
        <v>2.0068552720938278E-5</v>
      </c>
      <c r="BF229" s="87">
        <v>2.5000394269384117E-5</v>
      </c>
      <c r="BG229" s="87">
        <v>4.4392602589148167E-5</v>
      </c>
      <c r="BH229" s="87">
        <v>5.1847797246334583E-5</v>
      </c>
      <c r="BI229" s="87">
        <v>5.6468093988723009E-5</v>
      </c>
      <c r="BJ229" s="87">
        <v>5.8278217047089042E-5</v>
      </c>
      <c r="BK229" s="87">
        <v>2.4641887916830146E-5</v>
      </c>
      <c r="BL229" s="87">
        <v>1.5818647407016912E-5</v>
      </c>
      <c r="BM229" s="87">
        <v>9.0866367782745079E-6</v>
      </c>
      <c r="BN229" s="87">
        <v>2.4628066289335009E-5</v>
      </c>
      <c r="BO229" s="87">
        <v>8.1119081565651132E-5</v>
      </c>
      <c r="BP229" s="87">
        <v>2.3176323384135757E-5</v>
      </c>
      <c r="BQ229" s="87">
        <v>4.157284366182403E-5</v>
      </c>
      <c r="BR229" s="87">
        <v>4.4059750354567556E-5</v>
      </c>
      <c r="BS229" s="87">
        <v>6.4454309815512378E-6</v>
      </c>
    </row>
    <row r="230" spans="2:71" x14ac:dyDescent="0.35">
      <c r="B230" s="87">
        <v>7.0510180430790638E-3</v>
      </c>
      <c r="C230" s="87">
        <v>5.6684316417225343E-3</v>
      </c>
      <c r="D230" s="87">
        <v>7.0503512683089097E-3</v>
      </c>
      <c r="E230" s="87">
        <v>4.1414145303624245E-3</v>
      </c>
      <c r="F230" s="87">
        <v>6.2737614080017592E-3</v>
      </c>
      <c r="G230" s="87">
        <v>1.2459492412322082</v>
      </c>
      <c r="H230" s="87">
        <v>1.3366308349275347E-2</v>
      </c>
      <c r="I230" s="87">
        <v>3.2537937327741344E-3</v>
      </c>
      <c r="J230" s="87">
        <v>4.5089716624958955E-3</v>
      </c>
      <c r="K230" s="87">
        <v>7.1227964557109081E-3</v>
      </c>
      <c r="L230" s="87">
        <v>1.1980221960493519E-2</v>
      </c>
      <c r="M230" s="87">
        <v>1.0399381410495229E-2</v>
      </c>
      <c r="N230" s="87">
        <v>6.9743465969332816E-3</v>
      </c>
      <c r="O230" s="87">
        <v>4.8978353532098664E-3</v>
      </c>
      <c r="P230" s="87">
        <v>8.3758716306858837E-3</v>
      </c>
      <c r="Q230" s="87">
        <v>0.1141956117570609</v>
      </c>
      <c r="R230" s="87">
        <v>4.1753881303349385E-3</v>
      </c>
      <c r="S230" s="87">
        <v>3.2263746903014402E-2</v>
      </c>
      <c r="T230" s="87">
        <v>3.2484363645277001E-3</v>
      </c>
      <c r="U230" s="87">
        <v>3.1488356538380705E-3</v>
      </c>
      <c r="V230" s="87">
        <v>3.3886397559024888E-3</v>
      </c>
      <c r="W230" s="87">
        <v>4.2195660980023277E-3</v>
      </c>
      <c r="X230" s="87">
        <v>2.6232146142456093E-3</v>
      </c>
      <c r="Y230" s="87">
        <v>2.192008679133372E-3</v>
      </c>
      <c r="Z230" s="87">
        <v>2.5939716268781332E-3</v>
      </c>
      <c r="AA230" s="87">
        <v>4.1637844285166009E-3</v>
      </c>
      <c r="AB230" s="87">
        <v>2.2374201056179774E-3</v>
      </c>
      <c r="AC230" s="87">
        <v>1.4863673952062548E-3</v>
      </c>
      <c r="AD230" s="87">
        <v>4.0122059697483862E-3</v>
      </c>
      <c r="AE230" s="87">
        <v>2.3148065586620502E-3</v>
      </c>
      <c r="AF230" s="87">
        <v>2.8079219244840771E-3</v>
      </c>
      <c r="AG230" s="87">
        <v>2.1318631196591054E-3</v>
      </c>
      <c r="AH230" s="87">
        <v>1.8348868159785068E-3</v>
      </c>
      <c r="AI230" s="87">
        <v>6.0886818583787989E-3</v>
      </c>
      <c r="AJ230" s="87">
        <v>0</v>
      </c>
      <c r="AK230" s="87">
        <v>2.9784414876901188E-4</v>
      </c>
      <c r="AL230" s="87">
        <v>2.5780485212759471E-4</v>
      </c>
      <c r="AM230" s="87">
        <v>5.2755463732293787E-4</v>
      </c>
      <c r="AN230" s="87">
        <v>7.3641638878450084E-4</v>
      </c>
      <c r="AO230" s="87">
        <v>6.7980875881089341E-4</v>
      </c>
      <c r="AP230" s="87">
        <v>9.7876808306885249E-3</v>
      </c>
      <c r="AQ230" s="87">
        <v>1.3562374200939259E-3</v>
      </c>
      <c r="AR230" s="87">
        <v>3.2082488952761573E-4</v>
      </c>
      <c r="AS230" s="87">
        <v>5.8466418204431586E-4</v>
      </c>
      <c r="AT230" s="87">
        <v>8.0803008722445102E-4</v>
      </c>
      <c r="AU230" s="87">
        <v>1.0903543636650093E-3</v>
      </c>
      <c r="AV230" s="87">
        <v>8.3052319365907749E-4</v>
      </c>
      <c r="AW230" s="87">
        <v>9.0726859222173088E-4</v>
      </c>
      <c r="AX230" s="87">
        <v>7.3260003256368572E-4</v>
      </c>
      <c r="AY230" s="87">
        <v>1.0176532302653243E-3</v>
      </c>
      <c r="AZ230" s="87">
        <v>5.0101163557260573E-3</v>
      </c>
      <c r="BA230" s="87">
        <v>3.5613709172706683E-4</v>
      </c>
      <c r="BB230" s="87">
        <v>2.0197882695962358E-3</v>
      </c>
      <c r="BC230" s="87">
        <v>6.280024762904717E-4</v>
      </c>
      <c r="BD230" s="87">
        <v>3.5164169666142536E-4</v>
      </c>
      <c r="BE230" s="87">
        <v>3.0408924331343305E-4</v>
      </c>
      <c r="BF230" s="87">
        <v>3.7976397520589599E-4</v>
      </c>
      <c r="BG230" s="87">
        <v>5.2116152753770646E-4</v>
      </c>
      <c r="BH230" s="87">
        <v>4.4871678164661326E-4</v>
      </c>
      <c r="BI230" s="87">
        <v>5.0653669631226526E-4</v>
      </c>
      <c r="BJ230" s="87">
        <v>7.0598187680390937E-4</v>
      </c>
      <c r="BK230" s="87">
        <v>2.4312208236270305E-4</v>
      </c>
      <c r="BL230" s="87">
        <v>1.9000569786815113E-4</v>
      </c>
      <c r="BM230" s="87">
        <v>1.9900501845256468E-4</v>
      </c>
      <c r="BN230" s="87">
        <v>2.8016439126415992E-4</v>
      </c>
      <c r="BO230" s="87">
        <v>3.5963999155792369E-4</v>
      </c>
      <c r="BP230" s="87">
        <v>3.8989429788074948E-4</v>
      </c>
      <c r="BQ230" s="87">
        <v>3.4306259360744411E-4</v>
      </c>
      <c r="BR230" s="87">
        <v>3.9401367365517447E-4</v>
      </c>
      <c r="BS230" s="87">
        <v>1.4600212359371683E-4</v>
      </c>
    </row>
    <row r="231" spans="2:71" x14ac:dyDescent="0.35">
      <c r="B231" s="87">
        <v>1.2982991689933655E-2</v>
      </c>
      <c r="C231" s="87">
        <v>1.3224861451612644E-2</v>
      </c>
      <c r="D231" s="87">
        <v>3.61453990232539E-2</v>
      </c>
      <c r="E231" s="87">
        <v>2.6250712717423914E-2</v>
      </c>
      <c r="F231" s="87">
        <v>3.0555874814143482E-2</v>
      </c>
      <c r="G231" s="87">
        <v>2.8312512920437977E-2</v>
      </c>
      <c r="H231" s="87">
        <v>1.2620704517182686</v>
      </c>
      <c r="I231" s="87">
        <v>1.4299679567516191E-2</v>
      </c>
      <c r="J231" s="87">
        <v>3.1096566846083015E-2</v>
      </c>
      <c r="K231" s="87">
        <v>3.0562662535172931E-2</v>
      </c>
      <c r="L231" s="87">
        <v>2.6037846246607238E-2</v>
      </c>
      <c r="M231" s="87">
        <v>1.8507284945774367E-2</v>
      </c>
      <c r="N231" s="87">
        <v>2.0899173615281888E-2</v>
      </c>
      <c r="O231" s="87">
        <v>2.0735680649592528E-2</v>
      </c>
      <c r="P231" s="87">
        <v>1.9647962549239933E-2</v>
      </c>
      <c r="Q231" s="87">
        <v>3.8890203711302425E-2</v>
      </c>
      <c r="R231" s="87">
        <v>1.1908333845498576E-2</v>
      </c>
      <c r="S231" s="87">
        <v>1.6500981059707837E-2</v>
      </c>
      <c r="T231" s="87">
        <v>2.0595770758438589E-2</v>
      </c>
      <c r="U231" s="87">
        <v>2.4954155231043416E-2</v>
      </c>
      <c r="V231" s="87">
        <v>2.5426102269159902E-2</v>
      </c>
      <c r="W231" s="87">
        <v>1.9541079399229139E-2</v>
      </c>
      <c r="X231" s="87">
        <v>1.4342437636735521E-2</v>
      </c>
      <c r="Y231" s="87">
        <v>1.1393538798774328E-2</v>
      </c>
      <c r="Z231" s="87">
        <v>1.430756415687179E-2</v>
      </c>
      <c r="AA231" s="87">
        <v>2.1837007646245639E-2</v>
      </c>
      <c r="AB231" s="87">
        <v>1.8366222459120139E-2</v>
      </c>
      <c r="AC231" s="87">
        <v>2.3628668427732761E-2</v>
      </c>
      <c r="AD231" s="87">
        <v>7.4052786371145984E-3</v>
      </c>
      <c r="AE231" s="87">
        <v>3.3070021622739372E-2</v>
      </c>
      <c r="AF231" s="87">
        <v>2.0938200305415555E-2</v>
      </c>
      <c r="AG231" s="87">
        <v>2.038710980750625E-2</v>
      </c>
      <c r="AH231" s="87">
        <v>1.5489664909058728E-2</v>
      </c>
      <c r="AI231" s="87">
        <v>2.9971476961863652E-2</v>
      </c>
      <c r="AJ231" s="87">
        <v>0</v>
      </c>
      <c r="AK231" s="87">
        <v>1.3748416393502285E-3</v>
      </c>
      <c r="AL231" s="87">
        <v>9.195094125591149E-4</v>
      </c>
      <c r="AM231" s="87">
        <v>4.3678252552306783E-3</v>
      </c>
      <c r="AN231" s="87">
        <v>4.0436985121050564E-3</v>
      </c>
      <c r="AO231" s="87">
        <v>4.6219777836540828E-3</v>
      </c>
      <c r="AP231" s="87">
        <v>3.5785609367983938E-3</v>
      </c>
      <c r="AQ231" s="87">
        <v>2.2301740360916596E-2</v>
      </c>
      <c r="AR231" s="87">
        <v>1.3800021871687804E-3</v>
      </c>
      <c r="AS231" s="87">
        <v>3.789879920633058E-3</v>
      </c>
      <c r="AT231" s="87">
        <v>4.7258638303832069E-3</v>
      </c>
      <c r="AU231" s="87">
        <v>4.5004693304310072E-3</v>
      </c>
      <c r="AV231" s="87">
        <v>2.4583986754368376E-3</v>
      </c>
      <c r="AW231" s="87">
        <v>3.0828943563380542E-3</v>
      </c>
      <c r="AX231" s="87">
        <v>3.2382315593175288E-3</v>
      </c>
      <c r="AY231" s="87">
        <v>3.3339979163624998E-3</v>
      </c>
      <c r="AZ231" s="87">
        <v>4.493762648377659E-3</v>
      </c>
      <c r="BA231" s="87">
        <v>1.4504718620755681E-3</v>
      </c>
      <c r="BB231" s="87">
        <v>2.5321573066961174E-3</v>
      </c>
      <c r="BC231" s="87">
        <v>2.4527498712546762E-3</v>
      </c>
      <c r="BD231" s="87">
        <v>1.7038362164945036E-3</v>
      </c>
      <c r="BE231" s="87">
        <v>1.4563497794069843E-3</v>
      </c>
      <c r="BF231" s="87">
        <v>2.0447521645799516E-3</v>
      </c>
      <c r="BG231" s="87">
        <v>1.9582117470155415E-3</v>
      </c>
      <c r="BH231" s="87">
        <v>1.9333631532098365E-3</v>
      </c>
      <c r="BI231" s="87">
        <v>2.066986312914138E-3</v>
      </c>
      <c r="BJ231" s="87">
        <v>2.8082177360812433E-3</v>
      </c>
      <c r="BK231" s="87">
        <v>1.435111319386795E-3</v>
      </c>
      <c r="BL231" s="87">
        <v>1.8103925647862454E-3</v>
      </c>
      <c r="BM231" s="87">
        <v>6.7207893267514393E-4</v>
      </c>
      <c r="BN231" s="87">
        <v>2.0697311477161232E-3</v>
      </c>
      <c r="BO231" s="87">
        <v>2.3477242846927462E-3</v>
      </c>
      <c r="BP231" s="87">
        <v>2.2990527586331188E-3</v>
      </c>
      <c r="BQ231" s="87">
        <v>1.8614936020387145E-3</v>
      </c>
      <c r="BR231" s="87">
        <v>2.3470023119303088E-3</v>
      </c>
      <c r="BS231" s="87">
        <v>2.3848721902924532E-4</v>
      </c>
    </row>
    <row r="232" spans="2:71" x14ac:dyDescent="0.35">
      <c r="B232" s="87">
        <v>2.9850457171191707E-2</v>
      </c>
      <c r="C232" s="87">
        <v>1.74004250024145E-2</v>
      </c>
      <c r="D232" s="87">
        <v>1.8680477068632406E-2</v>
      </c>
      <c r="E232" s="87">
        <v>1.4954077236947206E-2</v>
      </c>
      <c r="F232" s="87">
        <v>1.4728459768070948E-2</v>
      </c>
      <c r="G232" s="87">
        <v>1.9251493324405063E-2</v>
      </c>
      <c r="H232" s="87">
        <v>1.3125508567335057E-2</v>
      </c>
      <c r="I232" s="87">
        <v>1.1553084543180259</v>
      </c>
      <c r="J232" s="87">
        <v>4.2784231709606081E-2</v>
      </c>
      <c r="K232" s="87">
        <v>2.122783615982924E-2</v>
      </c>
      <c r="L232" s="87">
        <v>2.2193591055632077E-2</v>
      </c>
      <c r="M232" s="87">
        <v>1.6771476551105294E-2</v>
      </c>
      <c r="N232" s="87">
        <v>1.1929734438999209E-2</v>
      </c>
      <c r="O232" s="87">
        <v>9.3026710625868439E-3</v>
      </c>
      <c r="P232" s="87">
        <v>1.2450758386707485E-2</v>
      </c>
      <c r="Q232" s="87">
        <v>1.7059195051272975E-2</v>
      </c>
      <c r="R232" s="87">
        <v>2.8263276074135806E-2</v>
      </c>
      <c r="S232" s="87">
        <v>1.4882708306776635E-2</v>
      </c>
      <c r="T232" s="87">
        <v>1.2340167555344237E-2</v>
      </c>
      <c r="U232" s="87">
        <v>1.7930900233047293E-2</v>
      </c>
      <c r="V232" s="87">
        <v>1.0505179813447755E-2</v>
      </c>
      <c r="W232" s="87">
        <v>1.150546873784096E-2</v>
      </c>
      <c r="X232" s="87">
        <v>5.7343652689746873E-2</v>
      </c>
      <c r="Y232" s="87">
        <v>3.2970061552701609E-2</v>
      </c>
      <c r="Z232" s="87">
        <v>7.469477885866059E-2</v>
      </c>
      <c r="AA232" s="87">
        <v>2.2292887892870775E-2</v>
      </c>
      <c r="AB232" s="87">
        <v>7.0552990269957911E-3</v>
      </c>
      <c r="AC232" s="87">
        <v>5.1323397796888114E-3</v>
      </c>
      <c r="AD232" s="87">
        <v>2.9851470353553077E-3</v>
      </c>
      <c r="AE232" s="87">
        <v>7.6271926075321241E-3</v>
      </c>
      <c r="AF232" s="87">
        <v>8.2658826154396719E-3</v>
      </c>
      <c r="AG232" s="87">
        <v>5.7465235366269581E-3</v>
      </c>
      <c r="AH232" s="87">
        <v>7.3104349339630547E-3</v>
      </c>
      <c r="AI232" s="87">
        <v>1.0376611899127957E-2</v>
      </c>
      <c r="AJ232" s="87">
        <v>0</v>
      </c>
      <c r="AK232" s="87">
        <v>1.7912292995945886E-3</v>
      </c>
      <c r="AL232" s="87">
        <v>1.0008133267996309E-3</v>
      </c>
      <c r="AM232" s="87">
        <v>2.0522273281495603E-3</v>
      </c>
      <c r="AN232" s="87">
        <v>2.8205708376713001E-3</v>
      </c>
      <c r="AO232" s="87">
        <v>2.6564803495223391E-3</v>
      </c>
      <c r="AP232" s="87">
        <v>2.4701645096141082E-3</v>
      </c>
      <c r="AQ232" s="87">
        <v>2.1639455688378792E-3</v>
      </c>
      <c r="AR232" s="87">
        <v>3.0660292655468732E-3</v>
      </c>
      <c r="AS232" s="87">
        <v>4.5677370280665774E-3</v>
      </c>
      <c r="AT232" s="87">
        <v>4.7043454634412459E-3</v>
      </c>
      <c r="AU232" s="87">
        <v>2.9057747026738912E-3</v>
      </c>
      <c r="AV232" s="87">
        <v>2.3199902512733945E-3</v>
      </c>
      <c r="AW232" s="87">
        <v>2.0914276166751314E-3</v>
      </c>
      <c r="AX232" s="87">
        <v>1.8999060578540081E-3</v>
      </c>
      <c r="AY232" s="87">
        <v>2.2683907454191508E-3</v>
      </c>
      <c r="AZ232" s="87">
        <v>2.2640306202298616E-3</v>
      </c>
      <c r="BA232" s="87">
        <v>2.3136963434803935E-3</v>
      </c>
      <c r="BB232" s="87">
        <v>2.2938188660662413E-3</v>
      </c>
      <c r="BC232" s="87">
        <v>1.3437842471093425E-3</v>
      </c>
      <c r="BD232" s="87">
        <v>7.3430509876755185E-4</v>
      </c>
      <c r="BE232" s="87">
        <v>6.7030327575126538E-4</v>
      </c>
      <c r="BF232" s="87">
        <v>1.1476429100282155E-3</v>
      </c>
      <c r="BG232" s="87">
        <v>3.7779673002992457E-3</v>
      </c>
      <c r="BH232" s="87">
        <v>3.4864946828422395E-3</v>
      </c>
      <c r="BI232" s="87">
        <v>4.7212039978605852E-3</v>
      </c>
      <c r="BJ232" s="87">
        <v>2.9125774339759962E-3</v>
      </c>
      <c r="BK232" s="87">
        <v>8.3335356142980141E-4</v>
      </c>
      <c r="BL232" s="87">
        <v>6.008325360274294E-4</v>
      </c>
      <c r="BM232" s="87">
        <v>4.3026650486393636E-4</v>
      </c>
      <c r="BN232" s="87">
        <v>9.523484744827157E-4</v>
      </c>
      <c r="BO232" s="87">
        <v>1.3030537714072438E-3</v>
      </c>
      <c r="BP232" s="87">
        <v>8.2720150308601692E-4</v>
      </c>
      <c r="BQ232" s="87">
        <v>1.3626376130486464E-3</v>
      </c>
      <c r="BR232" s="87">
        <v>1.086395182652793E-3</v>
      </c>
      <c r="BS232" s="87">
        <v>1.1205312776350056E-4</v>
      </c>
    </row>
    <row r="233" spans="2:71" x14ac:dyDescent="0.35">
      <c r="B233" s="87">
        <v>4.8197450585466761E-2</v>
      </c>
      <c r="C233" s="87">
        <v>2.0846376338895578E-2</v>
      </c>
      <c r="D233" s="87">
        <v>3.2324906747128859E-2</v>
      </c>
      <c r="E233" s="87">
        <v>6.5454609890397364E-2</v>
      </c>
      <c r="F233" s="87">
        <v>5.4236556283655694E-2</v>
      </c>
      <c r="G233" s="87">
        <v>4.7296718031146316E-2</v>
      </c>
      <c r="H233" s="87">
        <v>4.4537953397577122E-2</v>
      </c>
      <c r="I233" s="87">
        <v>4.8449633613407123E-2</v>
      </c>
      <c r="J233" s="87">
        <v>1.1982934109284189</v>
      </c>
      <c r="K233" s="87">
        <v>0.16627205808860179</v>
      </c>
      <c r="L233" s="87">
        <v>4.0035329114493985E-2</v>
      </c>
      <c r="M233" s="87">
        <v>3.3005663981076898E-2</v>
      </c>
      <c r="N233" s="87">
        <v>2.6764506990972225E-2</v>
      </c>
      <c r="O233" s="87">
        <v>2.7607566114253367E-2</v>
      </c>
      <c r="P233" s="87">
        <v>3.3572288484237212E-2</v>
      </c>
      <c r="Q233" s="87">
        <v>4.2738551365142048E-2</v>
      </c>
      <c r="R233" s="87">
        <v>1.2617735308365361E-2</v>
      </c>
      <c r="S233" s="87">
        <v>2.3909381095146728E-2</v>
      </c>
      <c r="T233" s="87">
        <v>1.6343017742793935E-2</v>
      </c>
      <c r="U233" s="87">
        <v>1.1703327665753972E-2</v>
      </c>
      <c r="V233" s="87">
        <v>9.4736525915282335E-3</v>
      </c>
      <c r="W233" s="87">
        <v>1.6067215755948563E-2</v>
      </c>
      <c r="X233" s="87">
        <v>1.1624177994838341E-2</v>
      </c>
      <c r="Y233" s="87">
        <v>8.2354247458019843E-3</v>
      </c>
      <c r="Z233" s="87">
        <v>1.2321773943011484E-2</v>
      </c>
      <c r="AA233" s="87">
        <v>9.8927403428394241E-3</v>
      </c>
      <c r="AB233" s="87">
        <v>7.1707751814802292E-3</v>
      </c>
      <c r="AC233" s="87">
        <v>5.1972547836386263E-3</v>
      </c>
      <c r="AD233" s="87">
        <v>4.3754438855327475E-3</v>
      </c>
      <c r="AE233" s="87">
        <v>9.5890968583997628E-3</v>
      </c>
      <c r="AF233" s="87">
        <v>9.041114032087778E-3</v>
      </c>
      <c r="AG233" s="87">
        <v>5.4068489533537758E-3</v>
      </c>
      <c r="AH233" s="87">
        <v>4.3415472480221734E-2</v>
      </c>
      <c r="AI233" s="87">
        <v>1.5557613609067272E-2</v>
      </c>
      <c r="AJ233" s="87">
        <v>0</v>
      </c>
      <c r="AK233" s="87">
        <v>7.783300160127217E-3</v>
      </c>
      <c r="AL233" s="87">
        <v>2.9125812773328234E-3</v>
      </c>
      <c r="AM233" s="87">
        <v>6.9707906366755059E-3</v>
      </c>
      <c r="AN233" s="87">
        <v>1.5581028445850707E-2</v>
      </c>
      <c r="AO233" s="87">
        <v>1.3631840188250088E-2</v>
      </c>
      <c r="AP233" s="87">
        <v>1.0473944995869939E-2</v>
      </c>
      <c r="AQ233" s="87">
        <v>1.0749330276854348E-2</v>
      </c>
      <c r="AR233" s="87">
        <v>4.9112538285015842E-3</v>
      </c>
      <c r="AS233" s="87">
        <v>3.4569343974850487E-2</v>
      </c>
      <c r="AT233" s="87">
        <v>3.9699007065685056E-2</v>
      </c>
      <c r="AU233" s="87">
        <v>9.3097185675120337E-3</v>
      </c>
      <c r="AV233" s="87">
        <v>6.258796945721754E-3</v>
      </c>
      <c r="AW233" s="87">
        <v>7.116780395692435E-3</v>
      </c>
      <c r="AX233" s="87">
        <v>8.454745683743806E-3</v>
      </c>
      <c r="AY233" s="87">
        <v>8.7694622015517341E-3</v>
      </c>
      <c r="AZ233" s="87">
        <v>1.0063229140194667E-2</v>
      </c>
      <c r="BA233" s="87">
        <v>3.6027556429261507E-3</v>
      </c>
      <c r="BB233" s="87">
        <v>6.4463861568073797E-3</v>
      </c>
      <c r="BC233" s="87">
        <v>3.7102383003480262E-3</v>
      </c>
      <c r="BD233" s="87">
        <v>1.4790243535080488E-3</v>
      </c>
      <c r="BE233" s="87">
        <v>1.3785696925041238E-3</v>
      </c>
      <c r="BF233" s="87">
        <v>3.2663450669406192E-3</v>
      </c>
      <c r="BG233" s="87">
        <v>3.3638554766453497E-3</v>
      </c>
      <c r="BH233" s="87">
        <v>3.3924888654024237E-3</v>
      </c>
      <c r="BI233" s="87">
        <v>3.619730584141057E-3</v>
      </c>
      <c r="BJ233" s="87">
        <v>4.4440341286604386E-3</v>
      </c>
      <c r="BK233" s="87">
        <v>1.6239057989718584E-3</v>
      </c>
      <c r="BL233" s="87">
        <v>1.2367143484480964E-3</v>
      </c>
      <c r="BM233" s="87">
        <v>1.1055303879383552E-3</v>
      </c>
      <c r="BN233" s="87">
        <v>2.4695589952736172E-3</v>
      </c>
      <c r="BO233" s="87">
        <v>3.3295044790298506E-3</v>
      </c>
      <c r="BP233" s="87">
        <v>2.2369978697047706E-3</v>
      </c>
      <c r="BQ233" s="87">
        <v>9.6125759015909529E-3</v>
      </c>
      <c r="BR233" s="87">
        <v>3.4114417275569403E-3</v>
      </c>
      <c r="BS233" s="87">
        <v>3.0069786058026829E-4</v>
      </c>
    </row>
    <row r="234" spans="2:71" x14ac:dyDescent="0.35">
      <c r="B234" s="87">
        <v>1.2437281018100439E-2</v>
      </c>
      <c r="C234" s="87">
        <v>1.2487690731801811E-2</v>
      </c>
      <c r="D234" s="87">
        <v>2.7292741596804199E-2</v>
      </c>
      <c r="E234" s="87">
        <v>2.2403908499369542E-2</v>
      </c>
      <c r="F234" s="87">
        <v>5.5306093004761851E-2</v>
      </c>
      <c r="G234" s="87">
        <v>1.8859158692672778E-2</v>
      </c>
      <c r="H234" s="87">
        <v>2.0137239362179468E-2</v>
      </c>
      <c r="I234" s="87">
        <v>2.8105115801795189E-2</v>
      </c>
      <c r="J234" s="87">
        <v>2.7051746535426687E-2</v>
      </c>
      <c r="K234" s="87">
        <v>1.1242560981628831</v>
      </c>
      <c r="L234" s="87">
        <v>1.9126268968906429E-2</v>
      </c>
      <c r="M234" s="87">
        <v>2.1602308910448138E-2</v>
      </c>
      <c r="N234" s="87">
        <v>3.741928290719005E-2</v>
      </c>
      <c r="O234" s="87">
        <v>3.5897784683615139E-2</v>
      </c>
      <c r="P234" s="87">
        <v>6.3170049868999004E-2</v>
      </c>
      <c r="Q234" s="87">
        <v>4.1809899083012712E-2</v>
      </c>
      <c r="R234" s="87">
        <v>8.8804410686644762E-3</v>
      </c>
      <c r="S234" s="87">
        <v>3.3877419618282327E-2</v>
      </c>
      <c r="T234" s="87">
        <v>2.2358471192951503E-2</v>
      </c>
      <c r="U234" s="87">
        <v>1.1672664961178298E-2</v>
      </c>
      <c r="V234" s="87">
        <v>1.0353977539476677E-2</v>
      </c>
      <c r="W234" s="87">
        <v>9.9248521125243679E-3</v>
      </c>
      <c r="X234" s="87">
        <v>1.7022357372044179E-2</v>
      </c>
      <c r="Y234" s="87">
        <v>6.6537617566092737E-3</v>
      </c>
      <c r="Z234" s="87">
        <v>1.0149292815663256E-2</v>
      </c>
      <c r="AA234" s="87">
        <v>1.1224163119681437E-2</v>
      </c>
      <c r="AB234" s="87">
        <v>9.6616743637850354E-3</v>
      </c>
      <c r="AC234" s="87">
        <v>3.7803031873066143E-3</v>
      </c>
      <c r="AD234" s="87">
        <v>3.9834740123600946E-3</v>
      </c>
      <c r="AE234" s="87">
        <v>6.4006255266206959E-3</v>
      </c>
      <c r="AF234" s="87">
        <v>6.608660297186447E-3</v>
      </c>
      <c r="AG234" s="87">
        <v>3.1588699637170436E-3</v>
      </c>
      <c r="AH234" s="87">
        <v>6.9362692037247065E-3</v>
      </c>
      <c r="AI234" s="87">
        <v>8.5810826719940909E-3</v>
      </c>
      <c r="AJ234" s="87">
        <v>0</v>
      </c>
      <c r="AK234" s="87">
        <v>1.1635314556924787E-3</v>
      </c>
      <c r="AL234" s="87">
        <v>8.9654675457108684E-4</v>
      </c>
      <c r="AM234" s="87">
        <v>2.6039273114436506E-3</v>
      </c>
      <c r="AN234" s="87">
        <v>3.330069116378421E-3</v>
      </c>
      <c r="AO234" s="87">
        <v>5.0478960336917782E-3</v>
      </c>
      <c r="AP234" s="87">
        <v>2.1024821631798803E-3</v>
      </c>
      <c r="AQ234" s="87">
        <v>2.8760105505794926E-3</v>
      </c>
      <c r="AR234" s="87">
        <v>1.2088111393966476E-3</v>
      </c>
      <c r="AS234" s="87">
        <v>3.1726464694755282E-3</v>
      </c>
      <c r="AT234" s="87">
        <v>1.0264405668266684E-2</v>
      </c>
      <c r="AU234" s="87">
        <v>2.6072304522561577E-3</v>
      </c>
      <c r="AV234" s="87">
        <v>2.3491194239343284E-3</v>
      </c>
      <c r="AW234" s="87">
        <v>4.0756549158248593E-3</v>
      </c>
      <c r="AX234" s="87">
        <v>4.4321025671995324E-3</v>
      </c>
      <c r="AY234" s="87">
        <v>6.9639891445202329E-3</v>
      </c>
      <c r="AZ234" s="87">
        <v>4.8089504879209304E-3</v>
      </c>
      <c r="BA234" s="87">
        <v>1.2577829821829787E-3</v>
      </c>
      <c r="BB234" s="87">
        <v>2.7951727856302907E-3</v>
      </c>
      <c r="BC234" s="87">
        <v>2.1090788595450769E-3</v>
      </c>
      <c r="BD234" s="87">
        <v>7.6172472256193636E-4</v>
      </c>
      <c r="BE234" s="87">
        <v>7.2313532191893668E-4</v>
      </c>
      <c r="BF234" s="87">
        <v>1.2088135390209624E-3</v>
      </c>
      <c r="BG234" s="87">
        <v>2.2450707620743655E-3</v>
      </c>
      <c r="BH234" s="87">
        <v>1.9491517445768883E-3</v>
      </c>
      <c r="BI234" s="87">
        <v>2.1552399985430384E-3</v>
      </c>
      <c r="BJ234" s="87">
        <v>2.061419895154416E-3</v>
      </c>
      <c r="BK234" s="87">
        <v>9.4393097158100689E-4</v>
      </c>
      <c r="BL234" s="87">
        <v>5.1240834508122304E-4</v>
      </c>
      <c r="BM234" s="87">
        <v>4.1659740880915834E-4</v>
      </c>
      <c r="BN234" s="87">
        <v>9.484595241348936E-4</v>
      </c>
      <c r="BO234" s="87">
        <v>1.0867322308582834E-3</v>
      </c>
      <c r="BP234" s="87">
        <v>8.232725026154755E-4</v>
      </c>
      <c r="BQ234" s="87">
        <v>1.29686284973099E-3</v>
      </c>
      <c r="BR234" s="87">
        <v>1.2488731522371775E-3</v>
      </c>
      <c r="BS234" s="87">
        <v>1.6044429615279306E-4</v>
      </c>
    </row>
    <row r="235" spans="2:71" x14ac:dyDescent="0.35">
      <c r="B235" s="87">
        <v>7.3078917722506137E-3</v>
      </c>
      <c r="C235" s="87">
        <v>1.782697446956966E-2</v>
      </c>
      <c r="D235" s="87">
        <v>1.2391320374978722E-2</v>
      </c>
      <c r="E235" s="87">
        <v>6.6867441777183163E-3</v>
      </c>
      <c r="F235" s="87">
        <v>6.3652547492376119E-3</v>
      </c>
      <c r="G235" s="87">
        <v>1.5928470172087338E-2</v>
      </c>
      <c r="H235" s="87">
        <v>5.2554598389862525E-3</v>
      </c>
      <c r="I235" s="87">
        <v>7.5923399574128686E-3</v>
      </c>
      <c r="J235" s="87">
        <v>1.0448999052241836E-2</v>
      </c>
      <c r="K235" s="87">
        <v>1.2103923718755641E-2</v>
      </c>
      <c r="L235" s="87">
        <v>1.13183455547781</v>
      </c>
      <c r="M235" s="87">
        <v>1.4956823976359101E-2</v>
      </c>
      <c r="N235" s="87">
        <v>1.0658096901584523E-2</v>
      </c>
      <c r="O235" s="87">
        <v>1.2480368589343828E-2</v>
      </c>
      <c r="P235" s="87">
        <v>1.4285168614118621E-2</v>
      </c>
      <c r="Q235" s="87">
        <v>1.3683127631650053E-2</v>
      </c>
      <c r="R235" s="87">
        <v>7.3429019517748315E-3</v>
      </c>
      <c r="S235" s="87">
        <v>8.401274878436267E-2</v>
      </c>
      <c r="T235" s="87">
        <v>7.064251638494317E-3</v>
      </c>
      <c r="U235" s="87">
        <v>4.8991980069917644E-3</v>
      </c>
      <c r="V235" s="87">
        <v>4.5862540781211837E-3</v>
      </c>
      <c r="W235" s="87">
        <v>7.7628626101020389E-3</v>
      </c>
      <c r="X235" s="87">
        <v>4.6406767350922083E-3</v>
      </c>
      <c r="Y235" s="87">
        <v>3.0654329193175048E-3</v>
      </c>
      <c r="Z235" s="87">
        <v>3.8058476801325299E-3</v>
      </c>
      <c r="AA235" s="87">
        <v>5.7354377545503522E-3</v>
      </c>
      <c r="AB235" s="87">
        <v>5.2118973003886506E-3</v>
      </c>
      <c r="AC235" s="87">
        <v>2.4009501161696327E-3</v>
      </c>
      <c r="AD235" s="87">
        <v>7.4499564792604844E-3</v>
      </c>
      <c r="AE235" s="87">
        <v>3.597454540039147E-3</v>
      </c>
      <c r="AF235" s="87">
        <v>4.8104964451561056E-3</v>
      </c>
      <c r="AG235" s="87">
        <v>2.9408235031736459E-3</v>
      </c>
      <c r="AH235" s="87">
        <v>3.7900115704617601E-3</v>
      </c>
      <c r="AI235" s="87">
        <v>6.066713314143872E-3</v>
      </c>
      <c r="AJ235" s="87">
        <v>0</v>
      </c>
      <c r="AK235" s="87">
        <v>3.5883815711573795E-4</v>
      </c>
      <c r="AL235" s="87">
        <v>3.8501377280271361E-4</v>
      </c>
      <c r="AM235" s="87">
        <v>6.7366910344645171E-4</v>
      </c>
      <c r="AN235" s="87">
        <v>7.9153213282743054E-4</v>
      </c>
      <c r="AO235" s="87">
        <v>7.4078043756269476E-4</v>
      </c>
      <c r="AP235" s="87">
        <v>8.6326266140953831E-4</v>
      </c>
      <c r="AQ235" s="87">
        <v>6.1073481721295555E-4</v>
      </c>
      <c r="AR235" s="87">
        <v>6.3153293870999241E-4</v>
      </c>
      <c r="AS235" s="87">
        <v>9.7342189442901623E-4</v>
      </c>
      <c r="AT235" s="87">
        <v>1.1813494017216034E-3</v>
      </c>
      <c r="AU235" s="87">
        <v>5.3121339016413867E-3</v>
      </c>
      <c r="AV235" s="87">
        <v>1.2966458970321074E-3</v>
      </c>
      <c r="AW235" s="87">
        <v>1.2705510878374458E-3</v>
      </c>
      <c r="AX235" s="87">
        <v>1.297631850777171E-3</v>
      </c>
      <c r="AY235" s="87">
        <v>1.5788657454840153E-3</v>
      </c>
      <c r="AZ235" s="87">
        <v>1.430716831394969E-3</v>
      </c>
      <c r="BA235" s="87">
        <v>5.3466915582288594E-4</v>
      </c>
      <c r="BB235" s="87">
        <v>4.3373297270325089E-3</v>
      </c>
      <c r="BC235" s="87">
        <v>6.7681823352690933E-4</v>
      </c>
      <c r="BD235" s="87">
        <v>2.3800312826393829E-4</v>
      </c>
      <c r="BE235" s="87">
        <v>2.3361019014865513E-4</v>
      </c>
      <c r="BF235" s="87">
        <v>4.7959058499682714E-4</v>
      </c>
      <c r="BG235" s="87">
        <v>5.7243221389646174E-4</v>
      </c>
      <c r="BH235" s="87">
        <v>5.9017978954476434E-4</v>
      </c>
      <c r="BI235" s="87">
        <v>6.0924430796057371E-4</v>
      </c>
      <c r="BJ235" s="87">
        <v>6.9244333333698133E-4</v>
      </c>
      <c r="BK235" s="87">
        <v>3.2976306975286305E-4</v>
      </c>
      <c r="BL235" s="87">
        <v>2.0809915993496165E-4</v>
      </c>
      <c r="BM235" s="87">
        <v>3.302193354060517E-4</v>
      </c>
      <c r="BN235" s="87">
        <v>3.1905203135333552E-4</v>
      </c>
      <c r="BO235" s="87">
        <v>4.2917593170655377E-4</v>
      </c>
      <c r="BP235" s="87">
        <v>3.5259004348609055E-4</v>
      </c>
      <c r="BQ235" s="87">
        <v>4.808084101690895E-4</v>
      </c>
      <c r="BR235" s="87">
        <v>4.1448870261111514E-4</v>
      </c>
      <c r="BS235" s="87">
        <v>6.5531692683790609E-5</v>
      </c>
    </row>
    <row r="236" spans="2:71" x14ac:dyDescent="0.35">
      <c r="B236" s="87">
        <v>2.407499827482833E-2</v>
      </c>
      <c r="C236" s="87">
        <v>5.6036765166837373E-2</v>
      </c>
      <c r="D236" s="87">
        <v>3.124653541212094E-2</v>
      </c>
      <c r="E236" s="87">
        <v>2.5354830056536316E-2</v>
      </c>
      <c r="F236" s="87">
        <v>3.5525621977731424E-2</v>
      </c>
      <c r="G236" s="87">
        <v>5.1476577427687964E-2</v>
      </c>
      <c r="H236" s="87">
        <v>2.4781266822356405E-2</v>
      </c>
      <c r="I236" s="87">
        <v>3.7586604541652038E-2</v>
      </c>
      <c r="J236" s="87">
        <v>3.430561409145888E-2</v>
      </c>
      <c r="K236" s="87">
        <v>5.4071207103229948E-2</v>
      </c>
      <c r="L236" s="87">
        <v>5.2625224610437657E-2</v>
      </c>
      <c r="M236" s="87">
        <v>1.3884516466130503</v>
      </c>
      <c r="N236" s="87">
        <v>0.22243491041412938</v>
      </c>
      <c r="O236" s="87">
        <v>0.10885685267621865</v>
      </c>
      <c r="P236" s="87">
        <v>0.17771525890072659</v>
      </c>
      <c r="Q236" s="87">
        <v>0.15448881402355644</v>
      </c>
      <c r="R236" s="87">
        <v>3.021408759340476E-2</v>
      </c>
      <c r="S236" s="87">
        <v>9.5611315492596979E-2</v>
      </c>
      <c r="T236" s="87">
        <v>3.6488087208317067E-2</v>
      </c>
      <c r="U236" s="87">
        <v>1.5820328126699555E-2</v>
      </c>
      <c r="V236" s="87">
        <v>1.3516761041595722E-2</v>
      </c>
      <c r="W236" s="87">
        <v>1.5162753346782137E-2</v>
      </c>
      <c r="X236" s="87">
        <v>2.0009547502878519E-2</v>
      </c>
      <c r="Y236" s="87">
        <v>1.3634550146854076E-2</v>
      </c>
      <c r="Z236" s="87">
        <v>2.0570826446163877E-2</v>
      </c>
      <c r="AA236" s="87">
        <v>2.011960661393325E-2</v>
      </c>
      <c r="AB236" s="87">
        <v>1.3519650953111376E-2</v>
      </c>
      <c r="AC236" s="87">
        <v>6.697799197323084E-3</v>
      </c>
      <c r="AD236" s="87">
        <v>9.6975561358335054E-3</v>
      </c>
      <c r="AE236" s="87">
        <v>1.1839976013408974E-2</v>
      </c>
      <c r="AF236" s="87">
        <v>1.740150495896671E-2</v>
      </c>
      <c r="AG236" s="87">
        <v>6.7625475973330119E-3</v>
      </c>
      <c r="AH236" s="87">
        <v>1.0904358213924017E-2</v>
      </c>
      <c r="AI236" s="87">
        <v>1.7177319095000806E-2</v>
      </c>
      <c r="AJ236" s="87">
        <v>0</v>
      </c>
      <c r="AK236" s="87">
        <v>2.2747850546639757E-3</v>
      </c>
      <c r="AL236" s="87">
        <v>3.1696071291509118E-3</v>
      </c>
      <c r="AM236" s="87">
        <v>3.6963919500128529E-3</v>
      </c>
      <c r="AN236" s="87">
        <v>4.7275331877351962E-3</v>
      </c>
      <c r="AO236" s="87">
        <v>4.9917223175412221E-3</v>
      </c>
      <c r="AP236" s="87">
        <v>5.4160880830716567E-3</v>
      </c>
      <c r="AQ236" s="87">
        <v>4.4362998088607036E-3</v>
      </c>
      <c r="AR236" s="87">
        <v>3.5390329615069037E-3</v>
      </c>
      <c r="AS236" s="87">
        <v>5.1536523449486659E-3</v>
      </c>
      <c r="AT236" s="87">
        <v>7.3093061958281113E-3</v>
      </c>
      <c r="AU236" s="87">
        <v>7.9990941014640455E-3</v>
      </c>
      <c r="AV236" s="87">
        <v>2.774947878247622E-2</v>
      </c>
      <c r="AW236" s="87">
        <v>2.3120873090803414E-2</v>
      </c>
      <c r="AX236" s="87">
        <v>1.4550437528799618E-2</v>
      </c>
      <c r="AY236" s="87">
        <v>2.1796212998776571E-2</v>
      </c>
      <c r="AZ236" s="87">
        <v>1.1909826572693964E-2</v>
      </c>
      <c r="BA236" s="87">
        <v>3.7617193145881751E-3</v>
      </c>
      <c r="BB236" s="87">
        <v>1.3212382986404991E-2</v>
      </c>
      <c r="BC236" s="87">
        <v>6.0975847992582296E-3</v>
      </c>
      <c r="BD236" s="87">
        <v>1.4996924962197666E-3</v>
      </c>
      <c r="BE236" s="87">
        <v>1.4427376339624942E-3</v>
      </c>
      <c r="BF236" s="87">
        <v>2.2911086396290698E-3</v>
      </c>
      <c r="BG236" s="87">
        <v>4.437998466479358E-3</v>
      </c>
      <c r="BH236" s="87">
        <v>5.2120724567558735E-3</v>
      </c>
      <c r="BI236" s="87">
        <v>4.916492584775731E-3</v>
      </c>
      <c r="BJ236" s="87">
        <v>5.0489831347289736E-3</v>
      </c>
      <c r="BK236" s="87">
        <v>2.3109418170396139E-3</v>
      </c>
      <c r="BL236" s="87">
        <v>1.2294093822028149E-3</v>
      </c>
      <c r="BM236" s="87">
        <v>1.2369857145354782E-3</v>
      </c>
      <c r="BN236" s="87">
        <v>2.3027679448287559E-3</v>
      </c>
      <c r="BO236" s="87">
        <v>2.8612273860252925E-3</v>
      </c>
      <c r="BP236" s="87">
        <v>2.0958837933384234E-3</v>
      </c>
      <c r="BQ236" s="87">
        <v>2.5666584059889979E-3</v>
      </c>
      <c r="BR236" s="87">
        <v>2.6436335686154232E-3</v>
      </c>
      <c r="BS236" s="87">
        <v>4.3818541535361663E-4</v>
      </c>
    </row>
    <row r="237" spans="2:71" x14ac:dyDescent="0.35">
      <c r="B237" s="87">
        <v>2.1045643739824076E-2</v>
      </c>
      <c r="C237" s="87">
        <v>3.6820677175268449E-2</v>
      </c>
      <c r="D237" s="87">
        <v>1.6376091128656987E-2</v>
      </c>
      <c r="E237" s="87">
        <v>1.666196683202888E-2</v>
      </c>
      <c r="F237" s="87">
        <v>1.5325839103224345E-2</v>
      </c>
      <c r="G237" s="87">
        <v>2.12377288831316E-2</v>
      </c>
      <c r="H237" s="87">
        <v>1.5667200613999826E-2</v>
      </c>
      <c r="I237" s="87">
        <v>1.9204832079884885E-2</v>
      </c>
      <c r="J237" s="87">
        <v>1.5377301338755704E-2</v>
      </c>
      <c r="K237" s="87">
        <v>2.387755589661554E-2</v>
      </c>
      <c r="L237" s="87">
        <v>2.5683061633487245E-2</v>
      </c>
      <c r="M237" s="87">
        <v>3.3337761154124151E-2</v>
      </c>
      <c r="N237" s="87">
        <v>1.1373895534901004</v>
      </c>
      <c r="O237" s="87">
        <v>2.5801374504248256E-2</v>
      </c>
      <c r="P237" s="87">
        <v>5.1549146643451331E-2</v>
      </c>
      <c r="Q237" s="87">
        <v>2.7491953360631427E-2</v>
      </c>
      <c r="R237" s="87">
        <v>1.7696455598545626E-2</v>
      </c>
      <c r="S237" s="87">
        <v>2.4637834509719066E-2</v>
      </c>
      <c r="T237" s="87">
        <v>1.5555896425406002E-2</v>
      </c>
      <c r="U237" s="87">
        <v>7.7923550206456804E-3</v>
      </c>
      <c r="V237" s="87">
        <v>7.145731775245928E-3</v>
      </c>
      <c r="W237" s="87">
        <v>9.0329768747033842E-3</v>
      </c>
      <c r="X237" s="87">
        <v>9.767293698535618E-3</v>
      </c>
      <c r="Y237" s="87">
        <v>7.4630446018870769E-3</v>
      </c>
      <c r="Z237" s="87">
        <v>9.173596664490467E-3</v>
      </c>
      <c r="AA237" s="87">
        <v>1.0121098608947991E-2</v>
      </c>
      <c r="AB237" s="87">
        <v>6.8175931010333235E-3</v>
      </c>
      <c r="AC237" s="87">
        <v>3.410175570721553E-3</v>
      </c>
      <c r="AD237" s="87">
        <v>3.4990144170059011E-3</v>
      </c>
      <c r="AE237" s="87">
        <v>6.1187807274671237E-3</v>
      </c>
      <c r="AF237" s="87">
        <v>1.7959840624677838E-2</v>
      </c>
      <c r="AG237" s="87">
        <v>2.8369365671329439E-3</v>
      </c>
      <c r="AH237" s="87">
        <v>5.8577806207446527E-3</v>
      </c>
      <c r="AI237" s="87">
        <v>8.3880953719198247E-3</v>
      </c>
      <c r="AJ237" s="87">
        <v>0</v>
      </c>
      <c r="AK237" s="87">
        <v>1.586637632321719E-3</v>
      </c>
      <c r="AL237" s="87">
        <v>2.425806732979729E-3</v>
      </c>
      <c r="AM237" s="87">
        <v>2.0162307752733485E-3</v>
      </c>
      <c r="AN237" s="87">
        <v>3.3601715801723337E-3</v>
      </c>
      <c r="AO237" s="87">
        <v>2.8763051194594332E-3</v>
      </c>
      <c r="AP237" s="87">
        <v>3.1141762941764421E-3</v>
      </c>
      <c r="AQ237" s="87">
        <v>2.609633060358402E-3</v>
      </c>
      <c r="AR237" s="87">
        <v>2.6129097126312241E-3</v>
      </c>
      <c r="AS237" s="87">
        <v>2.88180170022885E-3</v>
      </c>
      <c r="AT237" s="87">
        <v>3.7045762156508186E-3</v>
      </c>
      <c r="AU237" s="87">
        <v>4.3134386194232195E-3</v>
      </c>
      <c r="AV237" s="87">
        <v>5.3324191529825881E-3</v>
      </c>
      <c r="AW237" s="87">
        <v>1.6199231360157575E-2</v>
      </c>
      <c r="AX237" s="87">
        <v>4.8263156532670666E-3</v>
      </c>
      <c r="AY237" s="87">
        <v>9.7800649235792771E-3</v>
      </c>
      <c r="AZ237" s="87">
        <v>3.5846180225558777E-3</v>
      </c>
      <c r="BA237" s="87">
        <v>2.3213752133392019E-3</v>
      </c>
      <c r="BB237" s="87">
        <v>4.6320502177308121E-3</v>
      </c>
      <c r="BC237" s="87">
        <v>4.4962086813555048E-3</v>
      </c>
      <c r="BD237" s="87">
        <v>8.3218266154425004E-4</v>
      </c>
      <c r="BE237" s="87">
        <v>8.1528150781774711E-4</v>
      </c>
      <c r="BF237" s="87">
        <v>1.2480846298216777E-3</v>
      </c>
      <c r="BG237" s="87">
        <v>2.284835920132879E-3</v>
      </c>
      <c r="BH237" s="87">
        <v>3.0491871081065329E-3</v>
      </c>
      <c r="BI237" s="87">
        <v>2.7776713831352386E-3</v>
      </c>
      <c r="BJ237" s="87">
        <v>3.1116429990281423E-3</v>
      </c>
      <c r="BK237" s="87">
        <v>1.0287884358725237E-3</v>
      </c>
      <c r="BL237" s="87">
        <v>6.8508412249180964E-4</v>
      </c>
      <c r="BM237" s="87">
        <v>6.8321432646291347E-4</v>
      </c>
      <c r="BN237" s="87">
        <v>1.1911123692246964E-3</v>
      </c>
      <c r="BO237" s="87">
        <v>1.582995680654335E-3</v>
      </c>
      <c r="BP237" s="87">
        <v>1.1762156323142105E-3</v>
      </c>
      <c r="BQ237" s="87">
        <v>1.4184081713976761E-3</v>
      </c>
      <c r="BR237" s="87">
        <v>1.4173668893047754E-3</v>
      </c>
      <c r="BS237" s="87">
        <v>1.5968048062263031E-4</v>
      </c>
    </row>
    <row r="238" spans="2:71" x14ac:dyDescent="0.35">
      <c r="B238" s="87">
        <v>1.152563764962701E-2</v>
      </c>
      <c r="C238" s="87">
        <v>2.1455363218755828E-2</v>
      </c>
      <c r="D238" s="87">
        <v>1.5903106537772677E-2</v>
      </c>
      <c r="E238" s="87">
        <v>1.6457660768945916E-2</v>
      </c>
      <c r="F238" s="87">
        <v>1.8412139075446393E-2</v>
      </c>
      <c r="G238" s="87">
        <v>1.7419930889588247E-2</v>
      </c>
      <c r="H238" s="87">
        <v>1.8869066170948186E-2</v>
      </c>
      <c r="I238" s="87">
        <v>2.3158224560307125E-2</v>
      </c>
      <c r="J238" s="87">
        <v>2.1437035004879319E-2</v>
      </c>
      <c r="K238" s="87">
        <v>2.2694762252510922E-2</v>
      </c>
      <c r="L238" s="87">
        <v>2.1578501526482455E-2</v>
      </c>
      <c r="M238" s="87">
        <v>3.2514936464041563E-2</v>
      </c>
      <c r="N238" s="87">
        <v>8.8849170802311139E-2</v>
      </c>
      <c r="O238" s="87">
        <v>1.2332622360470027</v>
      </c>
      <c r="P238" s="87">
        <v>8.529772695553782E-2</v>
      </c>
      <c r="Q238" s="87">
        <v>2.8091639403388872E-2</v>
      </c>
      <c r="R238" s="87">
        <v>3.5449597531452791E-2</v>
      </c>
      <c r="S238" s="87">
        <v>5.2389067805942442E-2</v>
      </c>
      <c r="T238" s="87">
        <v>2.5427742604286922E-2</v>
      </c>
      <c r="U238" s="87">
        <v>1.6753500746552834E-2</v>
      </c>
      <c r="V238" s="87">
        <v>1.4232864204616313E-2</v>
      </c>
      <c r="W238" s="87">
        <v>1.3529379164422152E-2</v>
      </c>
      <c r="X238" s="87">
        <v>1.7751886071978373E-2</v>
      </c>
      <c r="Y238" s="87">
        <v>1.2226847210864212E-2</v>
      </c>
      <c r="Z238" s="87">
        <v>1.7061400436801332E-2</v>
      </c>
      <c r="AA238" s="87">
        <v>1.9093241051192589E-2</v>
      </c>
      <c r="AB238" s="87">
        <v>4.6233338335716211E-2</v>
      </c>
      <c r="AC238" s="87">
        <v>1.0553678759927194E-2</v>
      </c>
      <c r="AD238" s="87">
        <v>7.0539968129614324E-3</v>
      </c>
      <c r="AE238" s="87">
        <v>1.871477579630659E-2</v>
      </c>
      <c r="AF238" s="87">
        <v>2.1121517298966407E-2</v>
      </c>
      <c r="AG238" s="87">
        <v>8.2667195394077551E-3</v>
      </c>
      <c r="AH238" s="87">
        <v>2.8880516369521925E-2</v>
      </c>
      <c r="AI238" s="87">
        <v>1.7737790368097976E-2</v>
      </c>
      <c r="AJ238" s="87">
        <v>0</v>
      </c>
      <c r="AK238" s="87">
        <v>2.2027967068074974E-3</v>
      </c>
      <c r="AL238" s="87">
        <v>3.2435905473998431E-3</v>
      </c>
      <c r="AM238" s="87">
        <v>3.4676131507118606E-3</v>
      </c>
      <c r="AN238" s="87">
        <v>5.3157371549977846E-3</v>
      </c>
      <c r="AO238" s="87">
        <v>4.7865241508082881E-3</v>
      </c>
      <c r="AP238" s="87">
        <v>4.6318019172635286E-3</v>
      </c>
      <c r="AQ238" s="87">
        <v>5.070598176470602E-3</v>
      </c>
      <c r="AR238" s="87">
        <v>3.8087733061635126E-3</v>
      </c>
      <c r="AS238" s="87">
        <v>6.3894742677059356E-3</v>
      </c>
      <c r="AT238" s="87">
        <v>7.1198076920326063E-3</v>
      </c>
      <c r="AU238" s="87">
        <v>6.7041779978212566E-3</v>
      </c>
      <c r="AV238" s="87">
        <v>7.8967641600520399E-3</v>
      </c>
      <c r="AW238" s="87">
        <v>1.9672224542604175E-2</v>
      </c>
      <c r="AX238" s="87">
        <v>3.7026278947669244E-2</v>
      </c>
      <c r="AY238" s="87">
        <v>1.9426765916829451E-2</v>
      </c>
      <c r="AZ238" s="87">
        <v>8.5546854921470725E-3</v>
      </c>
      <c r="BA238" s="87">
        <v>9.2614632342876146E-3</v>
      </c>
      <c r="BB238" s="87">
        <v>9.539971273305357E-3</v>
      </c>
      <c r="BC238" s="87">
        <v>7.2184460418657746E-3</v>
      </c>
      <c r="BD238" s="87">
        <v>2.29918872832599E-3</v>
      </c>
      <c r="BE238" s="87">
        <v>2.1485652699711607E-3</v>
      </c>
      <c r="BF238" s="87">
        <v>2.7804688849968747E-3</v>
      </c>
      <c r="BG238" s="87">
        <v>4.9072881594229272E-3</v>
      </c>
      <c r="BH238" s="87">
        <v>4.8822250538633561E-3</v>
      </c>
      <c r="BI238" s="87">
        <v>5.1494327390338244E-3</v>
      </c>
      <c r="BJ238" s="87">
        <v>6.1909283328166788E-3</v>
      </c>
      <c r="BK238" s="87">
        <v>6.4511358156958912E-3</v>
      </c>
      <c r="BL238" s="87">
        <v>2.152012992930029E-3</v>
      </c>
      <c r="BM238" s="87">
        <v>1.442013749376172E-3</v>
      </c>
      <c r="BN238" s="87">
        <v>4.8650046955512911E-3</v>
      </c>
      <c r="BO238" s="87">
        <v>4.3426763695320345E-3</v>
      </c>
      <c r="BP238" s="87">
        <v>5.3120118544552151E-3</v>
      </c>
      <c r="BQ238" s="87">
        <v>5.468787648064838E-3</v>
      </c>
      <c r="BR238" s="87">
        <v>4.5779908531160306E-3</v>
      </c>
      <c r="BS238" s="87">
        <v>7.5366212841571772E-4</v>
      </c>
    </row>
    <row r="239" spans="2:71" x14ac:dyDescent="0.35">
      <c r="B239" s="87">
        <v>8.2019559165063816E-3</v>
      </c>
      <c r="C239" s="87">
        <v>1.1279377949688201E-2</v>
      </c>
      <c r="D239" s="87">
        <v>9.4379408096478719E-3</v>
      </c>
      <c r="E239" s="87">
        <v>1.0066535484793211E-2</v>
      </c>
      <c r="F239" s="87">
        <v>1.1224691764463713E-2</v>
      </c>
      <c r="G239" s="87">
        <v>9.7470497847222289E-3</v>
      </c>
      <c r="H239" s="87">
        <v>7.8869887770145874E-3</v>
      </c>
      <c r="I239" s="87">
        <v>8.7945827009009679E-3</v>
      </c>
      <c r="J239" s="87">
        <v>9.0705323239511516E-3</v>
      </c>
      <c r="K239" s="87">
        <v>1.1524162501976919E-2</v>
      </c>
      <c r="L239" s="87">
        <v>1.0901418234818213E-2</v>
      </c>
      <c r="M239" s="87">
        <v>1.5054475983331986E-2</v>
      </c>
      <c r="N239" s="87">
        <v>2.3690826343337034E-2</v>
      </c>
      <c r="O239" s="87">
        <v>1.2387294124672179E-2</v>
      </c>
      <c r="P239" s="87">
        <v>1.3030128630209681</v>
      </c>
      <c r="Q239" s="87">
        <v>1.7278128327172557E-2</v>
      </c>
      <c r="R239" s="87">
        <v>5.9613934828368015E-3</v>
      </c>
      <c r="S239" s="87">
        <v>9.1667660418117899E-3</v>
      </c>
      <c r="T239" s="87">
        <v>8.6241519228865166E-2</v>
      </c>
      <c r="U239" s="87">
        <v>8.6299744172832118E-3</v>
      </c>
      <c r="V239" s="87">
        <v>6.0449098842180748E-3</v>
      </c>
      <c r="W239" s="87">
        <v>6.3468906786571634E-3</v>
      </c>
      <c r="X239" s="87">
        <v>2.8796478527488855E-2</v>
      </c>
      <c r="Y239" s="87">
        <v>2.1381050711973399E-2</v>
      </c>
      <c r="Z239" s="87">
        <v>5.7250799417446575E-2</v>
      </c>
      <c r="AA239" s="87">
        <v>1.6015975358123883E-2</v>
      </c>
      <c r="AB239" s="87">
        <v>4.9210859736682835E-3</v>
      </c>
      <c r="AC239" s="87">
        <v>3.8151114719506343E-3</v>
      </c>
      <c r="AD239" s="87">
        <v>2.0595314382719537E-3</v>
      </c>
      <c r="AE239" s="87">
        <v>6.293045146735312E-3</v>
      </c>
      <c r="AF239" s="87">
        <v>1.9332186437192818E-2</v>
      </c>
      <c r="AG239" s="87">
        <v>2.4649776372679131E-3</v>
      </c>
      <c r="AH239" s="87">
        <v>4.7187262115875222E-3</v>
      </c>
      <c r="AI239" s="87">
        <v>7.3494114788904144E-3</v>
      </c>
      <c r="AJ239" s="87">
        <v>0</v>
      </c>
      <c r="AK239" s="87">
        <v>1.8950109004865808E-3</v>
      </c>
      <c r="AL239" s="87">
        <v>1.494692641496915E-3</v>
      </c>
      <c r="AM239" s="87">
        <v>2.1244315536899376E-3</v>
      </c>
      <c r="AN239" s="87">
        <v>2.4637156505406821E-3</v>
      </c>
      <c r="AO239" s="87">
        <v>2.3333218263389939E-3</v>
      </c>
      <c r="AP239" s="87">
        <v>2.7271829600494083E-3</v>
      </c>
      <c r="AQ239" s="87">
        <v>2.2534026728955586E-3</v>
      </c>
      <c r="AR239" s="87">
        <v>1.8743579605172184E-3</v>
      </c>
      <c r="AS239" s="87">
        <v>2.0887035956160668E-3</v>
      </c>
      <c r="AT239" s="87">
        <v>2.6708610321241042E-3</v>
      </c>
      <c r="AU239" s="87">
        <v>3.128270365113886E-3</v>
      </c>
      <c r="AV239" s="87">
        <v>3.2452795367604319E-3</v>
      </c>
      <c r="AW239" s="87">
        <v>5.1205072492586197E-3</v>
      </c>
      <c r="AX239" s="87">
        <v>2.7043220873113677E-3</v>
      </c>
      <c r="AY239" s="87">
        <v>3.7111679508648944E-2</v>
      </c>
      <c r="AZ239" s="87">
        <v>2.8180463465132971E-3</v>
      </c>
      <c r="BA239" s="87">
        <v>1.9497374463537231E-3</v>
      </c>
      <c r="BB239" s="87">
        <v>3.1432082689315031E-3</v>
      </c>
      <c r="BC239" s="87">
        <v>7.5700304692131641E-3</v>
      </c>
      <c r="BD239" s="87">
        <v>1.6543742514308255E-3</v>
      </c>
      <c r="BE239" s="87">
        <v>1.4473057965940347E-3</v>
      </c>
      <c r="BF239" s="87">
        <v>1.5821205725746169E-3</v>
      </c>
      <c r="BG239" s="87">
        <v>7.7650887665548837E-3</v>
      </c>
      <c r="BH239" s="87">
        <v>1.237223765487556E-2</v>
      </c>
      <c r="BI239" s="87">
        <v>1.0098563629807242E-2</v>
      </c>
      <c r="BJ239" s="87">
        <v>7.6438887408789265E-3</v>
      </c>
      <c r="BK239" s="87">
        <v>1.4661379686058738E-3</v>
      </c>
      <c r="BL239" s="87">
        <v>9.8298409691322496E-4</v>
      </c>
      <c r="BM239" s="87">
        <v>7.3054922659203348E-4</v>
      </c>
      <c r="BN239" s="87">
        <v>1.5870332462100797E-3</v>
      </c>
      <c r="BO239" s="87">
        <v>3.6218626778124498E-3</v>
      </c>
      <c r="BP239" s="87">
        <v>1.2989237960298943E-3</v>
      </c>
      <c r="BQ239" s="87">
        <v>1.1820402106983165E-3</v>
      </c>
      <c r="BR239" s="87">
        <v>2.2306023769518473E-3</v>
      </c>
      <c r="BS239" s="87">
        <v>2.1747211587664722E-4</v>
      </c>
    </row>
    <row r="240" spans="2:71" x14ac:dyDescent="0.35">
      <c r="B240" s="87">
        <v>2.4849383407103049E-3</v>
      </c>
      <c r="C240" s="87">
        <v>3.6265110459652371E-3</v>
      </c>
      <c r="D240" s="87">
        <v>3.9705768111449706E-3</v>
      </c>
      <c r="E240" s="87">
        <v>6.9594848732778937E-3</v>
      </c>
      <c r="F240" s="87">
        <v>6.5326749180345907E-3</v>
      </c>
      <c r="G240" s="87">
        <v>7.73977427222156E-3</v>
      </c>
      <c r="H240" s="87">
        <v>7.7431765807275703E-3</v>
      </c>
      <c r="I240" s="87">
        <v>4.3393842925144284E-3</v>
      </c>
      <c r="J240" s="87">
        <v>4.2593703409177291E-3</v>
      </c>
      <c r="K240" s="87">
        <v>7.5615307168668718E-3</v>
      </c>
      <c r="L240" s="87">
        <v>7.9601657846442922E-3</v>
      </c>
      <c r="M240" s="87">
        <v>3.0775355451436774E-2</v>
      </c>
      <c r="N240" s="87">
        <v>1.0867918556594525E-2</v>
      </c>
      <c r="O240" s="87">
        <v>6.654842122122126E-3</v>
      </c>
      <c r="P240" s="87">
        <v>1.2672209532688904E-2</v>
      </c>
      <c r="Q240" s="87">
        <v>1.0559831557342301</v>
      </c>
      <c r="R240" s="87">
        <v>2.8988777257733943E-3</v>
      </c>
      <c r="S240" s="87">
        <v>7.5545237713080093E-3</v>
      </c>
      <c r="T240" s="87">
        <v>4.0721804592287166E-3</v>
      </c>
      <c r="U240" s="87">
        <v>3.1294631948700878E-3</v>
      </c>
      <c r="V240" s="87">
        <v>3.194210411086197E-3</v>
      </c>
      <c r="W240" s="87">
        <v>4.1016465184161794E-3</v>
      </c>
      <c r="X240" s="87">
        <v>3.0454757769761949E-3</v>
      </c>
      <c r="Y240" s="87">
        <v>2.759336230761467E-3</v>
      </c>
      <c r="Z240" s="87">
        <v>4.6964141816009317E-3</v>
      </c>
      <c r="AA240" s="87">
        <v>3.371659430684017E-3</v>
      </c>
      <c r="AB240" s="87">
        <v>2.1210982312126463E-3</v>
      </c>
      <c r="AC240" s="87">
        <v>1.714979049980583E-3</v>
      </c>
      <c r="AD240" s="87">
        <v>1.2896043709398632E-3</v>
      </c>
      <c r="AE240" s="87">
        <v>2.7360602624592191E-3</v>
      </c>
      <c r="AF240" s="87">
        <v>3.1492401540606555E-3</v>
      </c>
      <c r="AG240" s="87">
        <v>2.4682369694076921E-3</v>
      </c>
      <c r="AH240" s="87">
        <v>2.6231782420563089E-3</v>
      </c>
      <c r="AI240" s="87">
        <v>8.3738983130979393E-3</v>
      </c>
      <c r="AJ240" s="87">
        <v>0</v>
      </c>
      <c r="AK240" s="87">
        <v>2.4680908471372195E-4</v>
      </c>
      <c r="AL240" s="87">
        <v>2.4596720088764364E-4</v>
      </c>
      <c r="AM240" s="87">
        <v>4.0539931249981555E-4</v>
      </c>
      <c r="AN240" s="87">
        <v>1.3575837415362424E-3</v>
      </c>
      <c r="AO240" s="87">
        <v>7.6566939370109935E-4</v>
      </c>
      <c r="AP240" s="87">
        <v>5.9092922470232589E-4</v>
      </c>
      <c r="AQ240" s="87">
        <v>6.3720446532108022E-4</v>
      </c>
      <c r="AR240" s="87">
        <v>3.526584692809902E-4</v>
      </c>
      <c r="AS240" s="87">
        <v>5.945409924749069E-4</v>
      </c>
      <c r="AT240" s="87">
        <v>7.7557048294818139E-4</v>
      </c>
      <c r="AU240" s="87">
        <v>7.0451966297104636E-4</v>
      </c>
      <c r="AV240" s="87">
        <v>1.2498394694819227E-3</v>
      </c>
      <c r="AW240" s="87">
        <v>1.2556694844551137E-3</v>
      </c>
      <c r="AX240" s="87">
        <v>8.995205323129201E-4</v>
      </c>
      <c r="AY240" s="87">
        <v>1.4771544782820995E-3</v>
      </c>
      <c r="AZ240" s="87">
        <v>7.8107529403454966E-3</v>
      </c>
      <c r="BA240" s="87">
        <v>5.3009253187904159E-4</v>
      </c>
      <c r="BB240" s="87">
        <v>9.0442802289142008E-4</v>
      </c>
      <c r="BC240" s="87">
        <v>4.7282845130978274E-4</v>
      </c>
      <c r="BD240" s="87">
        <v>1.9227932652347531E-4</v>
      </c>
      <c r="BE240" s="87">
        <v>2.1092966535966919E-4</v>
      </c>
      <c r="BF240" s="87">
        <v>3.629944487715445E-4</v>
      </c>
      <c r="BG240" s="87">
        <v>8.4178453288946773E-4</v>
      </c>
      <c r="BH240" s="87">
        <v>5.0565616177920217E-4</v>
      </c>
      <c r="BI240" s="87">
        <v>6.2991016127982187E-4</v>
      </c>
      <c r="BJ240" s="87">
        <v>5.219856643926598E-4</v>
      </c>
      <c r="BK240" s="87">
        <v>3.3440355871829455E-4</v>
      </c>
      <c r="BL240" s="87">
        <v>2.1308974666672074E-4</v>
      </c>
      <c r="BM240" s="87">
        <v>1.941156238971597E-4</v>
      </c>
      <c r="BN240" s="87">
        <v>2.9753843216694359E-4</v>
      </c>
      <c r="BO240" s="87">
        <v>3.5296960496798376E-4</v>
      </c>
      <c r="BP240" s="87">
        <v>3.9192314159044295E-4</v>
      </c>
      <c r="BQ240" s="87">
        <v>3.4397797659862123E-4</v>
      </c>
      <c r="BR240" s="87">
        <v>4.8565976631442245E-4</v>
      </c>
      <c r="BS240" s="87">
        <v>7.4559693863042551E-4</v>
      </c>
    </row>
    <row r="241" spans="2:71" x14ac:dyDescent="0.35">
      <c r="B241" s="87">
        <v>3.4834903979514477E-2</v>
      </c>
      <c r="C241" s="87">
        <v>7.2387534267211465E-2</v>
      </c>
      <c r="D241" s="87">
        <v>4.5163807807436972E-2</v>
      </c>
      <c r="E241" s="87">
        <v>4.5970614949640339E-2</v>
      </c>
      <c r="F241" s="87">
        <v>3.5475431632533291E-2</v>
      </c>
      <c r="G241" s="87">
        <v>4.4407697299443584E-2</v>
      </c>
      <c r="H241" s="87">
        <v>5.1384425485266852E-2</v>
      </c>
      <c r="I241" s="87">
        <v>4.485709135127558E-2</v>
      </c>
      <c r="J241" s="87">
        <v>4.9342272651134556E-2</v>
      </c>
      <c r="K241" s="87">
        <v>4.8874375732738513E-2</v>
      </c>
      <c r="L241" s="87">
        <v>7.9201906287825377E-2</v>
      </c>
      <c r="M241" s="87">
        <v>5.5714566609996949E-2</v>
      </c>
      <c r="N241" s="87">
        <v>3.5527082155098061E-2</v>
      </c>
      <c r="O241" s="87">
        <v>2.6188886449925473E-2</v>
      </c>
      <c r="P241" s="87">
        <v>3.5310753782404398E-2</v>
      </c>
      <c r="Q241" s="87">
        <v>3.7200134973295232E-2</v>
      </c>
      <c r="R241" s="87">
        <v>1.2812513156567482</v>
      </c>
      <c r="S241" s="87">
        <v>2.5255147634202047E-2</v>
      </c>
      <c r="T241" s="87">
        <v>2.4456287622447687E-2</v>
      </c>
      <c r="U241" s="87">
        <v>1.9602041305065539E-2</v>
      </c>
      <c r="V241" s="87">
        <v>3.0756218844385692E-2</v>
      </c>
      <c r="W241" s="87">
        <v>3.4911026541931067E-2</v>
      </c>
      <c r="X241" s="87">
        <v>2.7368310145780856E-2</v>
      </c>
      <c r="Y241" s="87">
        <v>1.4650270000908691E-2</v>
      </c>
      <c r="Z241" s="87">
        <v>1.7422183134353831E-2</v>
      </c>
      <c r="AA241" s="87">
        <v>2.5399870876175977E-2</v>
      </c>
      <c r="AB241" s="87">
        <v>1.8895588903957171E-2</v>
      </c>
      <c r="AC241" s="87">
        <v>1.3107451259852281E-2</v>
      </c>
      <c r="AD241" s="87">
        <v>1.3113218309689015E-2</v>
      </c>
      <c r="AE241" s="87">
        <v>1.5084218172579072E-2</v>
      </c>
      <c r="AF241" s="87">
        <v>2.5886664571319905E-2</v>
      </c>
      <c r="AG241" s="87">
        <v>2.1746800148246346E-2</v>
      </c>
      <c r="AH241" s="87">
        <v>2.171962972073856E-2</v>
      </c>
      <c r="AI241" s="87">
        <v>3.1151892921608249E-2</v>
      </c>
      <c r="AJ241" s="87">
        <v>0</v>
      </c>
      <c r="AK241" s="87">
        <v>1.0185524255612402E-3</v>
      </c>
      <c r="AL241" s="87">
        <v>7.7959280306681992E-4</v>
      </c>
      <c r="AM241" s="87">
        <v>1.6645240130414077E-3</v>
      </c>
      <c r="AN241" s="87">
        <v>2.4943164291942243E-3</v>
      </c>
      <c r="AO241" s="87">
        <v>2.3033065883786173E-3</v>
      </c>
      <c r="AP241" s="87">
        <v>2.0902298449760864E-3</v>
      </c>
      <c r="AQ241" s="87">
        <v>2.4031125135050178E-3</v>
      </c>
      <c r="AR241" s="87">
        <v>1.5218126376830541E-3</v>
      </c>
      <c r="AS241" s="87">
        <v>2.7432696326303205E-3</v>
      </c>
      <c r="AT241" s="87">
        <v>3.3316893581840901E-3</v>
      </c>
      <c r="AU241" s="87">
        <v>2.39175852896611E-3</v>
      </c>
      <c r="AV241" s="87">
        <v>2.5314854775809821E-3</v>
      </c>
      <c r="AW241" s="87">
        <v>2.838941761830594E-3</v>
      </c>
      <c r="AX241" s="87">
        <v>2.4472309949024121E-3</v>
      </c>
      <c r="AY241" s="87">
        <v>3.3344968793404457E-3</v>
      </c>
      <c r="AZ241" s="87">
        <v>2.4328214222647674E-3</v>
      </c>
      <c r="BA241" s="87">
        <v>1.7536592225901378E-3</v>
      </c>
      <c r="BB241" s="87">
        <v>2.1411781511611965E-3</v>
      </c>
      <c r="BC241" s="87">
        <v>1.3313541509671831E-3</v>
      </c>
      <c r="BD241" s="87">
        <v>6.0765267157596929E-4</v>
      </c>
      <c r="BE241" s="87">
        <v>5.9547075115573198E-4</v>
      </c>
      <c r="BF241" s="87">
        <v>1.0002384526155109E-3</v>
      </c>
      <c r="BG241" s="87">
        <v>1.3285215771876992E-3</v>
      </c>
      <c r="BH241" s="87">
        <v>1.7289404632411323E-3</v>
      </c>
      <c r="BI241" s="87">
        <v>1.5167058644959756E-3</v>
      </c>
      <c r="BJ241" s="87">
        <v>1.5541467754666702E-3</v>
      </c>
      <c r="BK241" s="87">
        <v>7.1895211316869785E-4</v>
      </c>
      <c r="BL241" s="87">
        <v>6.2158105947686295E-4</v>
      </c>
      <c r="BM241" s="87">
        <v>4.0106931542856309E-4</v>
      </c>
      <c r="BN241" s="87">
        <v>7.892700878195843E-4</v>
      </c>
      <c r="BO241" s="87">
        <v>9.5765409311992069E-4</v>
      </c>
      <c r="BP241" s="87">
        <v>8.8822147595555775E-4</v>
      </c>
      <c r="BQ241" s="87">
        <v>1.1243391041806828E-3</v>
      </c>
      <c r="BR241" s="87">
        <v>9.5779460981088439E-4</v>
      </c>
      <c r="BS241" s="87">
        <v>1.3196127752737916E-4</v>
      </c>
    </row>
    <row r="242" spans="2:71" x14ac:dyDescent="0.35">
      <c r="B242" s="87">
        <v>1.2613979320357004E-2</v>
      </c>
      <c r="C242" s="87">
        <v>2.6223357821647291E-2</v>
      </c>
      <c r="D242" s="87">
        <v>1.6094569715612485E-2</v>
      </c>
      <c r="E242" s="87">
        <v>1.7525816288793433E-2</v>
      </c>
      <c r="F242" s="87">
        <v>1.6723001765585398E-2</v>
      </c>
      <c r="G242" s="87">
        <v>1.8073014402034734E-2</v>
      </c>
      <c r="H242" s="87">
        <v>1.6321844946884063E-2</v>
      </c>
      <c r="I242" s="87">
        <v>2.0778655618629013E-2</v>
      </c>
      <c r="J242" s="87">
        <v>1.5082009462184767E-2</v>
      </c>
      <c r="K242" s="87">
        <v>1.4048011317504697E-2</v>
      </c>
      <c r="L242" s="87">
        <v>2.3442637412895668E-2</v>
      </c>
      <c r="M242" s="87">
        <v>1.9024489800514445E-2</v>
      </c>
      <c r="N242" s="87">
        <v>1.7245716077211985E-2</v>
      </c>
      <c r="O242" s="87">
        <v>1.294791122604454E-2</v>
      </c>
      <c r="P242" s="87">
        <v>1.602111162162681E-2</v>
      </c>
      <c r="Q242" s="87">
        <v>1.7924549816131449E-2</v>
      </c>
      <c r="R242" s="87">
        <v>3.3849962949884634E-2</v>
      </c>
      <c r="S242" s="87">
        <v>1.1849989641443965</v>
      </c>
      <c r="T242" s="87">
        <v>1.7950060245153113E-2</v>
      </c>
      <c r="U242" s="87">
        <v>1.5782990338575616E-2</v>
      </c>
      <c r="V242" s="87">
        <v>2.1137528002525073E-2</v>
      </c>
      <c r="W242" s="87">
        <v>1.9819385534381197E-2</v>
      </c>
      <c r="X242" s="87">
        <v>1.6903468551479037E-2</v>
      </c>
      <c r="Y242" s="87">
        <v>1.4213182938040001E-2</v>
      </c>
      <c r="Z242" s="87">
        <v>1.5390158485812251E-2</v>
      </c>
      <c r="AA242" s="87">
        <v>3.5699381079979615E-2</v>
      </c>
      <c r="AB242" s="87">
        <v>2.5422277263493113E-2</v>
      </c>
      <c r="AC242" s="87">
        <v>1.6291692777889544E-2</v>
      </c>
      <c r="AD242" s="87">
        <v>6.6108049296325938E-2</v>
      </c>
      <c r="AE242" s="87">
        <v>1.651396900188631E-2</v>
      </c>
      <c r="AF242" s="87">
        <v>3.2571661706216386E-2</v>
      </c>
      <c r="AG242" s="87">
        <v>1.3975077694790523E-2</v>
      </c>
      <c r="AH242" s="87">
        <v>1.4417956805372929E-2</v>
      </c>
      <c r="AI242" s="87">
        <v>2.4583917469206042E-2</v>
      </c>
      <c r="AJ242" s="87">
        <v>0</v>
      </c>
      <c r="AK242" s="87">
        <v>4.8065391617907748E-4</v>
      </c>
      <c r="AL242" s="87">
        <v>4.2507162237631206E-4</v>
      </c>
      <c r="AM242" s="87">
        <v>7.9016013796159802E-4</v>
      </c>
      <c r="AN242" s="87">
        <v>1.1352802800389463E-3</v>
      </c>
      <c r="AO242" s="87">
        <v>1.0542344963098825E-3</v>
      </c>
      <c r="AP242" s="87">
        <v>9.7467644562293997E-4</v>
      </c>
      <c r="AQ242" s="87">
        <v>9.8497445752661859E-4</v>
      </c>
      <c r="AR242" s="87">
        <v>6.8341782805321678E-4</v>
      </c>
      <c r="AS242" s="87">
        <v>1.1242811016613857E-3</v>
      </c>
      <c r="AT242" s="87">
        <v>1.3167601314443438E-3</v>
      </c>
      <c r="AU242" s="87">
        <v>1.1038311999676204E-3</v>
      </c>
      <c r="AV242" s="87">
        <v>1.1369914415189793E-3</v>
      </c>
      <c r="AW242" s="87">
        <v>1.4057440794232178E-3</v>
      </c>
      <c r="AX242" s="87">
        <v>1.2288527293256746E-3</v>
      </c>
      <c r="AY242" s="87">
        <v>1.6010736513071399E-3</v>
      </c>
      <c r="AZ242" s="87">
        <v>1.1988363616495421E-3</v>
      </c>
      <c r="BA242" s="87">
        <v>6.9648116521200628E-4</v>
      </c>
      <c r="BB242" s="87">
        <v>1.135783866856469E-3</v>
      </c>
      <c r="BC242" s="87">
        <v>9.3802655636465141E-4</v>
      </c>
      <c r="BD242" s="87">
        <v>4.2275751051725798E-4</v>
      </c>
      <c r="BE242" s="87">
        <v>3.7870020987024005E-4</v>
      </c>
      <c r="BF242" s="87">
        <v>5.678452392381797E-4</v>
      </c>
      <c r="BG242" s="87">
        <v>7.7213051370131119E-4</v>
      </c>
      <c r="BH242" s="87">
        <v>1.2421246780767096E-3</v>
      </c>
      <c r="BI242" s="87">
        <v>9.7208347862147036E-4</v>
      </c>
      <c r="BJ242" s="87">
        <v>1.1230739514192837E-3</v>
      </c>
      <c r="BK242" s="87">
        <v>5.5242645629533817E-4</v>
      </c>
      <c r="BL242" s="87">
        <v>4.662011581872694E-4</v>
      </c>
      <c r="BM242" s="87">
        <v>5.9329110020363415E-4</v>
      </c>
      <c r="BN242" s="87">
        <v>4.7232506059933089E-4</v>
      </c>
      <c r="BO242" s="87">
        <v>5.6310371898468973E-4</v>
      </c>
      <c r="BP242" s="87">
        <v>5.1843433529461099E-4</v>
      </c>
      <c r="BQ242" s="87">
        <v>6.565914845298546E-4</v>
      </c>
      <c r="BR242" s="87">
        <v>6.0343154564149225E-4</v>
      </c>
      <c r="BS242" s="87">
        <v>8.2922388346703919E-5</v>
      </c>
    </row>
    <row r="243" spans="2:71" x14ac:dyDescent="0.35">
      <c r="B243" s="87">
        <v>1.6293518392306756E-2</v>
      </c>
      <c r="C243" s="87">
        <v>1.2899927246776926E-2</v>
      </c>
      <c r="D243" s="87">
        <v>2.2699434716169375E-2</v>
      </c>
      <c r="E243" s="87">
        <v>2.2412120641213697E-2</v>
      </c>
      <c r="F243" s="87">
        <v>2.890169543462881E-2</v>
      </c>
      <c r="G243" s="87">
        <v>2.0551625436435274E-2</v>
      </c>
      <c r="H243" s="87">
        <v>1.6216300614332227E-2</v>
      </c>
      <c r="I243" s="87">
        <v>1.4201069090668103E-2</v>
      </c>
      <c r="J243" s="87">
        <v>1.7963311209450352E-2</v>
      </c>
      <c r="K243" s="87">
        <v>1.8538646243784106E-2</v>
      </c>
      <c r="L243" s="87">
        <v>1.8228815225525025E-2</v>
      </c>
      <c r="M243" s="87">
        <v>1.859006195222614E-2</v>
      </c>
      <c r="N243" s="87">
        <v>1.8025716297194835E-2</v>
      </c>
      <c r="O243" s="87">
        <v>1.4517274868163108E-2</v>
      </c>
      <c r="P243" s="87">
        <v>2.2634238983100661E-2</v>
      </c>
      <c r="Q243" s="87">
        <v>2.2356981432573007E-2</v>
      </c>
      <c r="R243" s="87">
        <v>9.2534189543022304E-3</v>
      </c>
      <c r="S243" s="87">
        <v>1.7453151294850044E-2</v>
      </c>
      <c r="T243" s="87">
        <v>1.0256060440986177</v>
      </c>
      <c r="U243" s="87">
        <v>1.1873481038269502E-2</v>
      </c>
      <c r="V243" s="87">
        <v>1.1807418008016601E-2</v>
      </c>
      <c r="W243" s="87">
        <v>1.7020040337157406E-2</v>
      </c>
      <c r="X243" s="87">
        <v>2.9953367801089169E-2</v>
      </c>
      <c r="Y243" s="87">
        <v>9.9097893626726823E-3</v>
      </c>
      <c r="Z243" s="87">
        <v>1.219265132324911E-2</v>
      </c>
      <c r="AA243" s="87">
        <v>1.7842058919658146E-2</v>
      </c>
      <c r="AB243" s="87">
        <v>7.214332329908528E-3</v>
      </c>
      <c r="AC243" s="87">
        <v>6.1745996971018704E-3</v>
      </c>
      <c r="AD243" s="87">
        <v>3.0845913431533476E-3</v>
      </c>
      <c r="AE243" s="87">
        <v>8.1616261576616424E-3</v>
      </c>
      <c r="AF243" s="87">
        <v>9.4431231120060879E-3</v>
      </c>
      <c r="AG243" s="87">
        <v>4.648192633540704E-3</v>
      </c>
      <c r="AH243" s="87">
        <v>8.7872897546673115E-3</v>
      </c>
      <c r="AI243" s="87">
        <v>1.0821217178396729E-2</v>
      </c>
      <c r="AJ243" s="87">
        <v>0</v>
      </c>
      <c r="AK243" s="87">
        <v>4.8570997488371252E-4</v>
      </c>
      <c r="AL243" s="87">
        <v>3.4707310487884269E-4</v>
      </c>
      <c r="AM243" s="87">
        <v>8.1825467891199729E-4</v>
      </c>
      <c r="AN243" s="87">
        <v>1.1371611308200332E-3</v>
      </c>
      <c r="AO243" s="87">
        <v>1.1298571979912004E-3</v>
      </c>
      <c r="AP243" s="87">
        <v>9.3341332332069792E-4</v>
      </c>
      <c r="AQ243" s="87">
        <v>9.2133500665791208E-4</v>
      </c>
      <c r="AR243" s="87">
        <v>5.3609480219618598E-4</v>
      </c>
      <c r="AS243" s="87">
        <v>1.0722990848845639E-3</v>
      </c>
      <c r="AT243" s="87">
        <v>1.345180502650453E-3</v>
      </c>
      <c r="AU243" s="87">
        <v>9.3251976256508262E-4</v>
      </c>
      <c r="AV243" s="87">
        <v>9.9631901386695995E-4</v>
      </c>
      <c r="AW243" s="87">
        <v>1.2306818222061438E-3</v>
      </c>
      <c r="AX243" s="87">
        <v>1.1100016112377781E-3</v>
      </c>
      <c r="AY243" s="87">
        <v>1.7051865647951141E-3</v>
      </c>
      <c r="AZ243" s="87">
        <v>1.1832985811245215E-3</v>
      </c>
      <c r="BA243" s="87">
        <v>5.3281123425424394E-4</v>
      </c>
      <c r="BB243" s="87">
        <v>9.0903610191397607E-4</v>
      </c>
      <c r="BC243" s="87">
        <v>6.5416303053187621E-4</v>
      </c>
      <c r="BD243" s="87">
        <v>3.1511446571691178E-4</v>
      </c>
      <c r="BE243" s="87">
        <v>2.7744699229116432E-4</v>
      </c>
      <c r="BF243" s="87">
        <v>4.5647691668033124E-4</v>
      </c>
      <c r="BG243" s="87">
        <v>7.0357609554242871E-4</v>
      </c>
      <c r="BH243" s="87">
        <v>1.0035682537177279E-3</v>
      </c>
      <c r="BI243" s="87">
        <v>8.0211019930155917E-4</v>
      </c>
      <c r="BJ243" s="87">
        <v>7.9644006649039428E-4</v>
      </c>
      <c r="BK243" s="87">
        <v>3.4087806020679037E-4</v>
      </c>
      <c r="BL243" s="87">
        <v>2.8772914485945258E-4</v>
      </c>
      <c r="BM243" s="87">
        <v>1.8390158090631853E-4</v>
      </c>
      <c r="BN243" s="87">
        <v>3.5150636570266728E-4</v>
      </c>
      <c r="BO243" s="87">
        <v>4.290610419428575E-4</v>
      </c>
      <c r="BP243" s="87">
        <v>3.5759269063734468E-4</v>
      </c>
      <c r="BQ243" s="87">
        <v>4.6452965435784816E-4</v>
      </c>
      <c r="BR243" s="87">
        <v>4.2578569137221553E-4</v>
      </c>
      <c r="BS243" s="87">
        <v>7.9762272982293549E-5</v>
      </c>
    </row>
    <row r="244" spans="2:71" x14ac:dyDescent="0.35">
      <c r="B244" s="87">
        <v>6.4029637934650011E-2</v>
      </c>
      <c r="C244" s="87">
        <v>4.3971872854069748E-2</v>
      </c>
      <c r="D244" s="87">
        <v>0.10741808989266227</v>
      </c>
      <c r="E244" s="87">
        <v>0.10917583644621222</v>
      </c>
      <c r="F244" s="87">
        <v>0.1313625907907949</v>
      </c>
      <c r="G244" s="87">
        <v>9.1504162626374563E-2</v>
      </c>
      <c r="H244" s="87">
        <v>7.9552366874507313E-2</v>
      </c>
      <c r="I244" s="87">
        <v>7.233514576038548E-2</v>
      </c>
      <c r="J244" s="87">
        <v>9.0554942760723164E-2</v>
      </c>
      <c r="K244" s="87">
        <v>9.2659077197920756E-2</v>
      </c>
      <c r="L244" s="87">
        <v>7.9602276550839915E-2</v>
      </c>
      <c r="M244" s="87">
        <v>9.1130626516307933E-2</v>
      </c>
      <c r="N244" s="87">
        <v>9.0978838999206946E-2</v>
      </c>
      <c r="O244" s="87">
        <v>7.4050510454322191E-2</v>
      </c>
      <c r="P244" s="87">
        <v>0.10228847450003374</v>
      </c>
      <c r="Q244" s="87">
        <v>0.10301642112690847</v>
      </c>
      <c r="R244" s="87">
        <v>3.4248592871553858E-2</v>
      </c>
      <c r="S244" s="87">
        <v>6.6248242406128782E-2</v>
      </c>
      <c r="T244" s="87">
        <v>5.1351439601084452E-2</v>
      </c>
      <c r="U244" s="87">
        <v>1.0620778447964405</v>
      </c>
      <c r="V244" s="87">
        <v>2.9336275965804962E-2</v>
      </c>
      <c r="W244" s="87">
        <v>6.9656922924674708E-2</v>
      </c>
      <c r="X244" s="87">
        <v>4.0605535268525887E-2</v>
      </c>
      <c r="Y244" s="87">
        <v>3.3159018290025717E-2</v>
      </c>
      <c r="Z244" s="87">
        <v>4.5331612248298347E-2</v>
      </c>
      <c r="AA244" s="87">
        <v>3.542735845406185E-2</v>
      </c>
      <c r="AB244" s="87">
        <v>2.5111524552840096E-2</v>
      </c>
      <c r="AC244" s="87">
        <v>1.4641335263437378E-2</v>
      </c>
      <c r="AD244" s="87">
        <v>1.1111095208068012E-2</v>
      </c>
      <c r="AE244" s="87">
        <v>2.532331166514178E-2</v>
      </c>
      <c r="AF244" s="87">
        <v>2.5513000174874675E-2</v>
      </c>
      <c r="AG244" s="87">
        <v>1.3963311926750233E-2</v>
      </c>
      <c r="AH244" s="87">
        <v>3.517301166619121E-2</v>
      </c>
      <c r="AI244" s="87">
        <v>3.1585041828308409E-2</v>
      </c>
      <c r="AJ244" s="87">
        <v>0</v>
      </c>
      <c r="AK244" s="87">
        <v>2.7365267037513493E-3</v>
      </c>
      <c r="AL244" s="87">
        <v>2.0308323317368288E-3</v>
      </c>
      <c r="AM244" s="87">
        <v>4.4772619887702867E-3</v>
      </c>
      <c r="AN244" s="87">
        <v>6.4198760286069446E-3</v>
      </c>
      <c r="AO244" s="87">
        <v>7.1632424344987532E-3</v>
      </c>
      <c r="AP244" s="87">
        <v>4.9650576955290052E-3</v>
      </c>
      <c r="AQ244" s="87">
        <v>5.0239868490864455E-3</v>
      </c>
      <c r="AR244" s="87">
        <v>3.2129502307459788E-3</v>
      </c>
      <c r="AS244" s="87">
        <v>6.0559499861849277E-3</v>
      </c>
      <c r="AT244" s="87">
        <v>7.6523341219701009E-3</v>
      </c>
      <c r="AU244" s="87">
        <v>5.1042973612377193E-3</v>
      </c>
      <c r="AV244" s="87">
        <v>5.7097357668915985E-3</v>
      </c>
      <c r="AW244" s="87">
        <v>7.0019193533783991E-3</v>
      </c>
      <c r="AX244" s="87">
        <v>6.4574541721444884E-3</v>
      </c>
      <c r="AY244" s="87">
        <v>8.6224532075605473E-3</v>
      </c>
      <c r="AZ244" s="87">
        <v>6.2086186113945192E-3</v>
      </c>
      <c r="BA244" s="87">
        <v>3.2939476274469084E-3</v>
      </c>
      <c r="BB244" s="87">
        <v>5.0429206725122752E-3</v>
      </c>
      <c r="BC244" s="87">
        <v>3.3733802163035311E-3</v>
      </c>
      <c r="BD244" s="87">
        <v>1.5590067874161166E-3</v>
      </c>
      <c r="BE244" s="87">
        <v>1.3343511661963081E-3</v>
      </c>
      <c r="BF244" s="87">
        <v>2.4430000509934827E-3</v>
      </c>
      <c r="BG244" s="87">
        <v>3.4508005037765747E-3</v>
      </c>
      <c r="BH244" s="87">
        <v>4.5569803380298198E-3</v>
      </c>
      <c r="BI244" s="87">
        <v>4.4003242727985439E-3</v>
      </c>
      <c r="BJ244" s="87">
        <v>4.2319369123368098E-3</v>
      </c>
      <c r="BK244" s="87">
        <v>1.7824644516514394E-3</v>
      </c>
      <c r="BL244" s="87">
        <v>1.3882979059678911E-3</v>
      </c>
      <c r="BM244" s="87">
        <v>1.0056696591766764E-3</v>
      </c>
      <c r="BN244" s="87">
        <v>1.8172155286425972E-3</v>
      </c>
      <c r="BO244" s="87">
        <v>2.1875176198511517E-3</v>
      </c>
      <c r="BP244" s="87">
        <v>1.8931435621746696E-3</v>
      </c>
      <c r="BQ244" s="87">
        <v>2.5362085930562476E-3</v>
      </c>
      <c r="BR244" s="87">
        <v>2.1714185449024088E-3</v>
      </c>
      <c r="BS244" s="87">
        <v>3.6274651494747257E-4</v>
      </c>
    </row>
    <row r="245" spans="2:71" x14ac:dyDescent="0.35">
      <c r="B245" s="87">
        <v>4.6774152550071391E-2</v>
      </c>
      <c r="C245" s="87">
        <v>3.0007205608265919E-2</v>
      </c>
      <c r="D245" s="87">
        <v>7.5627601740825223E-2</v>
      </c>
      <c r="E245" s="87">
        <v>7.8700708043869264E-2</v>
      </c>
      <c r="F245" s="87">
        <v>9.8151104704175332E-2</v>
      </c>
      <c r="G245" s="87">
        <v>6.1797591201879006E-2</v>
      </c>
      <c r="H245" s="87">
        <v>5.147097606539671E-2</v>
      </c>
      <c r="I245" s="87">
        <v>4.6715343783124787E-2</v>
      </c>
      <c r="J245" s="87">
        <v>6.0994206534028261E-2</v>
      </c>
      <c r="K245" s="87">
        <v>6.2608977734626065E-2</v>
      </c>
      <c r="L245" s="87">
        <v>5.217660309227394E-2</v>
      </c>
      <c r="M245" s="87">
        <v>5.9260598227139492E-2</v>
      </c>
      <c r="N245" s="87">
        <v>5.9273692578418816E-2</v>
      </c>
      <c r="O245" s="87">
        <v>4.9171764069392783E-2</v>
      </c>
      <c r="P245" s="87">
        <v>7.2576099182974807E-2</v>
      </c>
      <c r="Q245" s="87">
        <v>7.0758625584641077E-2</v>
      </c>
      <c r="R245" s="87">
        <v>2.2731438611270367E-2</v>
      </c>
      <c r="S245" s="87">
        <v>4.556174646833034E-2</v>
      </c>
      <c r="T245" s="87">
        <v>3.1618899428448664E-2</v>
      </c>
      <c r="U245" s="87">
        <v>1.9069031886257307E-2</v>
      </c>
      <c r="V245" s="87">
        <v>1.0196226364225747</v>
      </c>
      <c r="W245" s="87">
        <v>5.4519506679027031E-2</v>
      </c>
      <c r="X245" s="87">
        <v>2.4756578914384663E-2</v>
      </c>
      <c r="Y245" s="87">
        <v>1.8038408171558565E-2</v>
      </c>
      <c r="Z245" s="87">
        <v>2.6938377558486548E-2</v>
      </c>
      <c r="AA245" s="87">
        <v>1.9687288240810976E-2</v>
      </c>
      <c r="AB245" s="87">
        <v>1.7429829333410911E-2</v>
      </c>
      <c r="AC245" s="87">
        <v>9.1850630602010284E-3</v>
      </c>
      <c r="AD245" s="87">
        <v>6.5688864951238763E-3</v>
      </c>
      <c r="AE245" s="87">
        <v>1.4051460395735835E-2</v>
      </c>
      <c r="AF245" s="87">
        <v>1.856116513929856E-2</v>
      </c>
      <c r="AG245" s="87">
        <v>1.0094772040546303E-2</v>
      </c>
      <c r="AH245" s="87">
        <v>2.7167094167018048E-2</v>
      </c>
      <c r="AI245" s="87">
        <v>2.1610354795871849E-2</v>
      </c>
      <c r="AJ245" s="87">
        <v>0</v>
      </c>
      <c r="AK245" s="87">
        <v>1.2379708997351947E-3</v>
      </c>
      <c r="AL245" s="87">
        <v>8.3631122915582275E-4</v>
      </c>
      <c r="AM245" s="87">
        <v>1.9899088547111689E-3</v>
      </c>
      <c r="AN245" s="87">
        <v>3.3158793086289092E-3</v>
      </c>
      <c r="AO245" s="87">
        <v>3.2639564136115761E-3</v>
      </c>
      <c r="AP245" s="87">
        <v>2.4611839297220767E-3</v>
      </c>
      <c r="AQ245" s="87">
        <v>2.5489003639484523E-3</v>
      </c>
      <c r="AR245" s="87">
        <v>1.2415994758154436E-3</v>
      </c>
      <c r="AS245" s="87">
        <v>3.0997032359282245E-3</v>
      </c>
      <c r="AT245" s="87">
        <v>3.9306056091389626E-3</v>
      </c>
      <c r="AU245" s="87">
        <v>2.3640924015732876E-3</v>
      </c>
      <c r="AV245" s="87">
        <v>2.6680522939221962E-3</v>
      </c>
      <c r="AW245" s="87">
        <v>3.5444823551543359E-3</v>
      </c>
      <c r="AX245" s="87">
        <v>3.2892756641428392E-3</v>
      </c>
      <c r="AY245" s="87">
        <v>4.8618970714599096E-3</v>
      </c>
      <c r="AZ245" s="87">
        <v>3.2135440864016099E-3</v>
      </c>
      <c r="BA245" s="87">
        <v>1.3043099815716796E-3</v>
      </c>
      <c r="BB245" s="87">
        <v>2.3887973228607219E-3</v>
      </c>
      <c r="BC245" s="87">
        <v>1.6951211773733256E-3</v>
      </c>
      <c r="BD245" s="87">
        <v>6.9765631534097247E-4</v>
      </c>
      <c r="BE245" s="87">
        <v>6.1633356957931941E-4</v>
      </c>
      <c r="BF245" s="87">
        <v>1.1219015090211213E-3</v>
      </c>
      <c r="BG245" s="87">
        <v>1.6027165331787775E-3</v>
      </c>
      <c r="BH245" s="87">
        <v>2.2077970106667935E-3</v>
      </c>
      <c r="BI245" s="87">
        <v>1.9026539728601041E-3</v>
      </c>
      <c r="BJ245" s="87">
        <v>1.8566463817892777E-3</v>
      </c>
      <c r="BK245" s="87">
        <v>8.5052618159097901E-4</v>
      </c>
      <c r="BL245" s="87">
        <v>6.3351373312301091E-4</v>
      </c>
      <c r="BM245" s="87">
        <v>4.2686363472928452E-4</v>
      </c>
      <c r="BN245" s="87">
        <v>9.0692860001053972E-4</v>
      </c>
      <c r="BO245" s="87">
        <v>1.0917830743624073E-3</v>
      </c>
      <c r="BP245" s="87">
        <v>9.208267290730873E-4</v>
      </c>
      <c r="BQ245" s="87">
        <v>1.2861533482085158E-3</v>
      </c>
      <c r="BR245" s="87">
        <v>1.0705747280328997E-3</v>
      </c>
      <c r="BS245" s="87">
        <v>1.8810037933782812E-4</v>
      </c>
    </row>
    <row r="246" spans="2:71" x14ac:dyDescent="0.35">
      <c r="B246" s="87">
        <v>3.4821192733717064E-3</v>
      </c>
      <c r="C246" s="87">
        <v>4.9448906863422647E-3</v>
      </c>
      <c r="D246" s="87">
        <v>6.9059307792537867E-3</v>
      </c>
      <c r="E246" s="87">
        <v>8.2643473113476768E-3</v>
      </c>
      <c r="F246" s="87">
        <v>1.10230409542667E-2</v>
      </c>
      <c r="G246" s="87">
        <v>6.534720986825648E-3</v>
      </c>
      <c r="H246" s="87">
        <v>6.6199116158108537E-3</v>
      </c>
      <c r="I246" s="87">
        <v>5.4061811334319421E-3</v>
      </c>
      <c r="J246" s="87">
        <v>6.8788397145451308E-3</v>
      </c>
      <c r="K246" s="87">
        <v>6.7489346824646567E-3</v>
      </c>
      <c r="L246" s="87">
        <v>6.7153651998083002E-3</v>
      </c>
      <c r="M246" s="87">
        <v>6.8696801370476956E-3</v>
      </c>
      <c r="N246" s="87">
        <v>7.9635237050849021E-3</v>
      </c>
      <c r="O246" s="87">
        <v>6.1077537571278826E-3</v>
      </c>
      <c r="P246" s="87">
        <v>6.5287310350092154E-3</v>
      </c>
      <c r="Q246" s="87">
        <v>7.5459261827140207E-3</v>
      </c>
      <c r="R246" s="87">
        <v>4.1456855853981064E-3</v>
      </c>
      <c r="S246" s="87">
        <v>6.4784081599162727E-3</v>
      </c>
      <c r="T246" s="87">
        <v>7.4519808423481344E-3</v>
      </c>
      <c r="U246" s="87">
        <v>1.0851374296220576E-2</v>
      </c>
      <c r="V246" s="87">
        <v>9.0417395253668247E-3</v>
      </c>
      <c r="W246" s="87">
        <v>1.0106592553792111</v>
      </c>
      <c r="X246" s="87">
        <v>9.7854786769279879E-3</v>
      </c>
      <c r="Y246" s="87">
        <v>9.8125526834160707E-3</v>
      </c>
      <c r="Z246" s="87">
        <v>1.7506045941407592E-2</v>
      </c>
      <c r="AA246" s="87">
        <v>2.3807824197613771E-2</v>
      </c>
      <c r="AB246" s="87">
        <v>4.9120955573146389E-3</v>
      </c>
      <c r="AC246" s="87">
        <v>5.5172890929157375E-3</v>
      </c>
      <c r="AD246" s="87">
        <v>2.376263697041271E-3</v>
      </c>
      <c r="AE246" s="87">
        <v>8.6722115396197074E-3</v>
      </c>
      <c r="AF246" s="87">
        <v>6.1013875098807051E-3</v>
      </c>
      <c r="AG246" s="87">
        <v>4.0671038381074999E-3</v>
      </c>
      <c r="AH246" s="87">
        <v>6.8458544251782435E-3</v>
      </c>
      <c r="AI246" s="87">
        <v>9.9009614003739803E-3</v>
      </c>
      <c r="AJ246" s="87">
        <v>0</v>
      </c>
      <c r="AK246" s="87">
        <v>2.2224672570735508E-4</v>
      </c>
      <c r="AL246" s="87">
        <v>2.0824267711787016E-4</v>
      </c>
      <c r="AM246" s="87">
        <v>3.8889604047239037E-4</v>
      </c>
      <c r="AN246" s="87">
        <v>5.5225016503121797E-4</v>
      </c>
      <c r="AO246" s="87">
        <v>5.4207911978892238E-4</v>
      </c>
      <c r="AP246" s="87">
        <v>4.4594873891100318E-4</v>
      </c>
      <c r="AQ246" s="87">
        <v>4.7285200710659733E-4</v>
      </c>
      <c r="AR246" s="87">
        <v>2.9825955054262222E-4</v>
      </c>
      <c r="AS246" s="87">
        <v>5.2880797820553248E-4</v>
      </c>
      <c r="AT246" s="87">
        <v>6.2701044950295949E-4</v>
      </c>
      <c r="AU246" s="87">
        <v>5.1058136094039137E-4</v>
      </c>
      <c r="AV246" s="87">
        <v>4.9852530800366206E-4</v>
      </c>
      <c r="AW246" s="87">
        <v>6.0779598106064326E-4</v>
      </c>
      <c r="AX246" s="87">
        <v>5.4896775908791766E-4</v>
      </c>
      <c r="AY246" s="87">
        <v>6.9799289110324071E-4</v>
      </c>
      <c r="AZ246" s="87">
        <v>4.9533148390382435E-4</v>
      </c>
      <c r="BA246" s="87">
        <v>2.6797121566473768E-4</v>
      </c>
      <c r="BB246" s="87">
        <v>4.6923381997293146E-4</v>
      </c>
      <c r="BC246" s="87">
        <v>3.288681233283167E-4</v>
      </c>
      <c r="BD246" s="87">
        <v>2.1899010334717326E-4</v>
      </c>
      <c r="BE246" s="87">
        <v>1.9451544254251243E-4</v>
      </c>
      <c r="BF246" s="87">
        <v>2.645439734584484E-4</v>
      </c>
      <c r="BG246" s="87">
        <v>4.5250605072161114E-4</v>
      </c>
      <c r="BH246" s="87">
        <v>7.0898366611526315E-4</v>
      </c>
      <c r="BI246" s="87">
        <v>6.1711192949246655E-4</v>
      </c>
      <c r="BJ246" s="87">
        <v>5.7218739416527783E-4</v>
      </c>
      <c r="BK246" s="87">
        <v>2.5560154193555334E-4</v>
      </c>
      <c r="BL246" s="87">
        <v>2.7333037146411106E-4</v>
      </c>
      <c r="BM246" s="87">
        <v>1.2338644599174306E-4</v>
      </c>
      <c r="BN246" s="87">
        <v>2.953607350820839E-4</v>
      </c>
      <c r="BO246" s="87">
        <v>3.4403769077467807E-4</v>
      </c>
      <c r="BP246" s="87">
        <v>3.4320619567704161E-4</v>
      </c>
      <c r="BQ246" s="87">
        <v>3.6588835485328839E-4</v>
      </c>
      <c r="BR246" s="87">
        <v>4.0551129216479063E-4</v>
      </c>
      <c r="BS246" s="87">
        <v>3.8229247292750218E-5</v>
      </c>
    </row>
    <row r="247" spans="2:71" x14ac:dyDescent="0.35">
      <c r="B247" s="87">
        <v>2.2034774927247619E-2</v>
      </c>
      <c r="C247" s="87">
        <v>4.7478333401927135E-2</v>
      </c>
      <c r="D247" s="87">
        <v>4.3151643858658557E-2</v>
      </c>
      <c r="E247" s="87">
        <v>4.0373296732752986E-2</v>
      </c>
      <c r="F247" s="87">
        <v>5.5821934394578006E-2</v>
      </c>
      <c r="G247" s="87">
        <v>4.6168833453985293E-2</v>
      </c>
      <c r="H247" s="87">
        <v>3.9819730400667074E-2</v>
      </c>
      <c r="I247" s="87">
        <v>3.5632636010787699E-2</v>
      </c>
      <c r="J247" s="87">
        <v>3.3906305094627866E-2</v>
      </c>
      <c r="K247" s="87">
        <v>3.5960069813055967E-2</v>
      </c>
      <c r="L247" s="87">
        <v>5.7141006996816748E-2</v>
      </c>
      <c r="M247" s="87">
        <v>3.6955331072491993E-2</v>
      </c>
      <c r="N247" s="87">
        <v>3.2373775167611037E-2</v>
      </c>
      <c r="O247" s="87">
        <v>2.4097765834575544E-2</v>
      </c>
      <c r="P247" s="87">
        <v>3.4740665843248184E-2</v>
      </c>
      <c r="Q247" s="87">
        <v>4.3583908225348085E-2</v>
      </c>
      <c r="R247" s="87">
        <v>1.9848784448319556E-2</v>
      </c>
      <c r="S247" s="87">
        <v>2.6651288257516729E-2</v>
      </c>
      <c r="T247" s="87">
        <v>3.3920053256753832E-2</v>
      </c>
      <c r="U247" s="87">
        <v>5.5220353429867038E-2</v>
      </c>
      <c r="V247" s="87">
        <v>2.6362646237435883E-2</v>
      </c>
      <c r="W247" s="87">
        <v>2.3262832360628795E-2</v>
      </c>
      <c r="X247" s="87">
        <v>1.0790534214499097</v>
      </c>
      <c r="Y247" s="87">
        <v>4.3534789913966733E-2</v>
      </c>
      <c r="Z247" s="87">
        <v>3.876954452062422E-2</v>
      </c>
      <c r="AA247" s="87">
        <v>0.11329889145482014</v>
      </c>
      <c r="AB247" s="87">
        <v>1.3955381476618504E-2</v>
      </c>
      <c r="AC247" s="87">
        <v>8.5206197814523179E-3</v>
      </c>
      <c r="AD247" s="87">
        <v>4.5890121375499297E-3</v>
      </c>
      <c r="AE247" s="87">
        <v>1.2408905521837023E-2</v>
      </c>
      <c r="AF247" s="87">
        <v>1.4271439354429382E-2</v>
      </c>
      <c r="AG247" s="87">
        <v>1.4592625768864751E-2</v>
      </c>
      <c r="AH247" s="87">
        <v>1.3880371347192661E-2</v>
      </c>
      <c r="AI247" s="87">
        <v>1.6471886645947346E-2</v>
      </c>
      <c r="AJ247" s="87">
        <v>0</v>
      </c>
      <c r="AK247" s="87">
        <v>1.5607053980259587E-3</v>
      </c>
      <c r="AL247" s="87">
        <v>1.5118335167560424E-3</v>
      </c>
      <c r="AM247" s="87">
        <v>2.7332680440258286E-3</v>
      </c>
      <c r="AN247" s="87">
        <v>3.3898011647866366E-3</v>
      </c>
      <c r="AO247" s="87">
        <v>3.4497027023818261E-3</v>
      </c>
      <c r="AP247" s="87">
        <v>3.1969864957206782E-3</v>
      </c>
      <c r="AQ247" s="87">
        <v>2.7937474942306235E-3</v>
      </c>
      <c r="AR247" s="87">
        <v>2.2495161758411377E-3</v>
      </c>
      <c r="AS247" s="87">
        <v>3.0127202047503894E-3</v>
      </c>
      <c r="AT247" s="87">
        <v>3.6011237794837084E-3</v>
      </c>
      <c r="AU247" s="87">
        <v>3.4389463486891904E-3</v>
      </c>
      <c r="AV247" s="87">
        <v>3.0412575359438556E-3</v>
      </c>
      <c r="AW247" s="87">
        <v>3.2768281099358281E-3</v>
      </c>
      <c r="AX247" s="87">
        <v>2.7478364429080596E-3</v>
      </c>
      <c r="AY247" s="87">
        <v>3.813717043747767E-3</v>
      </c>
      <c r="AZ247" s="87">
        <v>3.0146048205972218E-3</v>
      </c>
      <c r="BA247" s="87">
        <v>1.7208514972463741E-3</v>
      </c>
      <c r="BB247" s="87">
        <v>3.0631951898635076E-3</v>
      </c>
      <c r="BC247" s="87">
        <v>2.7578460563019921E-3</v>
      </c>
      <c r="BD247" s="87">
        <v>1.5451176440358187E-3</v>
      </c>
      <c r="BE247" s="87">
        <v>1.2385421517309594E-3</v>
      </c>
      <c r="BF247" s="87">
        <v>1.3903292777407781E-3</v>
      </c>
      <c r="BG247" s="87">
        <v>2.2725723330286073E-3</v>
      </c>
      <c r="BH247" s="87">
        <v>3.4993445616501024E-3</v>
      </c>
      <c r="BI247" s="87">
        <v>2.3313116467397897E-3</v>
      </c>
      <c r="BJ247" s="87">
        <v>2.9506292114386112E-3</v>
      </c>
      <c r="BK247" s="87">
        <v>1.0087551318504529E-3</v>
      </c>
      <c r="BL247" s="87">
        <v>8.1601188823868644E-4</v>
      </c>
      <c r="BM247" s="87">
        <v>5.4891926173404799E-4</v>
      </c>
      <c r="BN247" s="87">
        <v>9.8663654971376403E-4</v>
      </c>
      <c r="BO247" s="87">
        <v>1.2587921185530243E-3</v>
      </c>
      <c r="BP247" s="87">
        <v>1.0334517577792659E-3</v>
      </c>
      <c r="BQ247" s="87">
        <v>1.2324955599695255E-3</v>
      </c>
      <c r="BR247" s="87">
        <v>1.2558729438141699E-3</v>
      </c>
      <c r="BS247" s="87">
        <v>1.5292895182153951E-4</v>
      </c>
    </row>
    <row r="248" spans="2:71" x14ac:dyDescent="0.35">
      <c r="B248" s="87">
        <v>1.3156090668744766E-3</v>
      </c>
      <c r="C248" s="87">
        <v>3.8064039589729361E-3</v>
      </c>
      <c r="D248" s="87">
        <v>1.9565123284627098E-3</v>
      </c>
      <c r="E248" s="87">
        <v>2.2380110791722606E-3</v>
      </c>
      <c r="F248" s="87">
        <v>2.4906022283611522E-3</v>
      </c>
      <c r="G248" s="87">
        <v>3.0237951790611905E-3</v>
      </c>
      <c r="H248" s="87">
        <v>2.2854418343039012E-3</v>
      </c>
      <c r="I248" s="87">
        <v>4.2992797601864464E-3</v>
      </c>
      <c r="J248" s="87">
        <v>2.7224749516452608E-3</v>
      </c>
      <c r="K248" s="87">
        <v>1.9472962043656991E-3</v>
      </c>
      <c r="L248" s="87">
        <v>2.2921976540526468E-3</v>
      </c>
      <c r="M248" s="87">
        <v>3.4021408890460769E-3</v>
      </c>
      <c r="N248" s="87">
        <v>2.5234575498800709E-3</v>
      </c>
      <c r="O248" s="87">
        <v>1.9313404194525464E-3</v>
      </c>
      <c r="P248" s="87">
        <v>3.2801449271625334E-3</v>
      </c>
      <c r="Q248" s="87">
        <v>2.4272134033571278E-3</v>
      </c>
      <c r="R248" s="87">
        <v>1.7320659850648744E-3</v>
      </c>
      <c r="S248" s="87">
        <v>1.5227636139368739E-3</v>
      </c>
      <c r="T248" s="87">
        <v>1.7494292690070491E-3</v>
      </c>
      <c r="U248" s="87">
        <v>3.2715195122467997E-3</v>
      </c>
      <c r="V248" s="87">
        <v>9.9360600162283529E-4</v>
      </c>
      <c r="W248" s="87">
        <v>1.1666371781811618E-3</v>
      </c>
      <c r="X248" s="87">
        <v>2.3875145978207333E-3</v>
      </c>
      <c r="Y248" s="87">
        <v>1.0331581818180404</v>
      </c>
      <c r="Z248" s="87">
        <v>4.1484337920458508E-3</v>
      </c>
      <c r="AA248" s="87">
        <v>9.7254301727915694E-3</v>
      </c>
      <c r="AB248" s="87">
        <v>8.5913288553495371E-4</v>
      </c>
      <c r="AC248" s="87">
        <v>4.9848140899954891E-4</v>
      </c>
      <c r="AD248" s="87">
        <v>2.9053947909059611E-4</v>
      </c>
      <c r="AE248" s="87">
        <v>7.0205259835747467E-4</v>
      </c>
      <c r="AF248" s="87">
        <v>8.687494452728887E-4</v>
      </c>
      <c r="AG248" s="87">
        <v>4.2099804300085679E-4</v>
      </c>
      <c r="AH248" s="87">
        <v>6.770903657494871E-4</v>
      </c>
      <c r="AI248" s="87">
        <v>8.6001559102504412E-4</v>
      </c>
      <c r="AJ248" s="87">
        <v>0</v>
      </c>
      <c r="AK248" s="87">
        <v>1.6129557758836951E-3</v>
      </c>
      <c r="AL248" s="87">
        <v>1.9608334004108077E-3</v>
      </c>
      <c r="AM248" s="87">
        <v>3.533880254397033E-3</v>
      </c>
      <c r="AN248" s="87">
        <v>3.9153773477775405E-3</v>
      </c>
      <c r="AO248" s="87">
        <v>3.7837597819315766E-3</v>
      </c>
      <c r="AP248" s="87">
        <v>4.7400016274101392E-3</v>
      </c>
      <c r="AQ248" s="87">
        <v>2.6777017944304331E-3</v>
      </c>
      <c r="AR248" s="87">
        <v>2.5032048078672572E-3</v>
      </c>
      <c r="AS248" s="87">
        <v>2.8814657897022105E-3</v>
      </c>
      <c r="AT248" s="87">
        <v>3.2495584534596085E-3</v>
      </c>
      <c r="AU248" s="87">
        <v>5.3089210892055139E-3</v>
      </c>
      <c r="AV248" s="87">
        <v>4.0140979108685571E-3</v>
      </c>
      <c r="AW248" s="87">
        <v>3.4103025587791081E-3</v>
      </c>
      <c r="AX248" s="87">
        <v>2.5811185011375046E-3</v>
      </c>
      <c r="AY248" s="87">
        <v>3.2863779344238621E-3</v>
      </c>
      <c r="AZ248" s="87">
        <v>2.6759868346971603E-3</v>
      </c>
      <c r="BA248" s="87">
        <v>2.0219413236617608E-3</v>
      </c>
      <c r="BB248" s="87">
        <v>3.2371040339317396E-3</v>
      </c>
      <c r="BC248" s="87">
        <v>1.9799880249147619E-3</v>
      </c>
      <c r="BD248" s="87">
        <v>2.5310215436906642E-3</v>
      </c>
      <c r="BE248" s="87">
        <v>1.8652918788325578E-3</v>
      </c>
      <c r="BF248" s="87">
        <v>1.7759373478089841E-3</v>
      </c>
      <c r="BG248" s="87">
        <v>2.2209772137935274E-3</v>
      </c>
      <c r="BH248" s="87">
        <v>2.8695082654270909E-2</v>
      </c>
      <c r="BI248" s="87">
        <v>2.366720223218554E-3</v>
      </c>
      <c r="BJ248" s="87">
        <v>2.2945471169371471E-3</v>
      </c>
      <c r="BK248" s="87">
        <v>1.0862719498352599E-3</v>
      </c>
      <c r="BL248" s="87">
        <v>8.5963903549912115E-4</v>
      </c>
      <c r="BM248" s="87">
        <v>1.5112878815991672E-3</v>
      </c>
      <c r="BN248" s="87">
        <v>1.2832201783929793E-3</v>
      </c>
      <c r="BO248" s="87">
        <v>1.2239275322805962E-3</v>
      </c>
      <c r="BP248" s="87">
        <v>1.0451374253456053E-3</v>
      </c>
      <c r="BQ248" s="87">
        <v>1.0942496901940883E-3</v>
      </c>
      <c r="BR248" s="87">
        <v>1.3937208862933154E-3</v>
      </c>
      <c r="BS248" s="87">
        <v>1.0603580603052433E-4</v>
      </c>
    </row>
    <row r="249" spans="2:71" x14ac:dyDescent="0.35">
      <c r="B249" s="87">
        <v>1.7265075141765624E-3</v>
      </c>
      <c r="C249" s="87">
        <v>4.5807281774742983E-3</v>
      </c>
      <c r="D249" s="87">
        <v>3.098744368202541E-3</v>
      </c>
      <c r="E249" s="87">
        <v>3.5316087189823236E-3</v>
      </c>
      <c r="F249" s="87">
        <v>5.876289263132984E-3</v>
      </c>
      <c r="G249" s="87">
        <v>3.229761715552669E-3</v>
      </c>
      <c r="H249" s="87">
        <v>4.0520533153145409E-3</v>
      </c>
      <c r="I249" s="87">
        <v>3.6741008136124582E-3</v>
      </c>
      <c r="J249" s="87">
        <v>3.8167091652452447E-3</v>
      </c>
      <c r="K249" s="87">
        <v>3.5437493839993693E-3</v>
      </c>
      <c r="L249" s="87">
        <v>3.6483342855676078E-3</v>
      </c>
      <c r="M249" s="87">
        <v>3.4368605173492601E-3</v>
      </c>
      <c r="N249" s="87">
        <v>4.3974659266811768E-3</v>
      </c>
      <c r="O249" s="87">
        <v>3.9351329100568424E-3</v>
      </c>
      <c r="P249" s="87">
        <v>4.3155271012853113E-3</v>
      </c>
      <c r="Q249" s="87">
        <v>3.524421527218091E-3</v>
      </c>
      <c r="R249" s="87">
        <v>1.9912906160226194E-3</v>
      </c>
      <c r="S249" s="87">
        <v>2.8350141231176023E-3</v>
      </c>
      <c r="T249" s="87">
        <v>3.6288979436218945E-3</v>
      </c>
      <c r="U249" s="87">
        <v>5.0470592354040144E-3</v>
      </c>
      <c r="V249" s="87">
        <v>2.9313230182344409E-3</v>
      </c>
      <c r="W249" s="87">
        <v>2.4106717004867581E-3</v>
      </c>
      <c r="X249" s="87">
        <v>5.0023427216864492E-3</v>
      </c>
      <c r="Y249" s="87">
        <v>1.0077961442681279E-2</v>
      </c>
      <c r="Z249" s="87">
        <v>1.0287339455341946</v>
      </c>
      <c r="AA249" s="87">
        <v>2.5458085064449829E-2</v>
      </c>
      <c r="AB249" s="87">
        <v>4.3058176653453708E-3</v>
      </c>
      <c r="AC249" s="87">
        <v>4.6773159263153946E-3</v>
      </c>
      <c r="AD249" s="87">
        <v>1.1891754168736014E-3</v>
      </c>
      <c r="AE249" s="87">
        <v>4.094133991469121E-3</v>
      </c>
      <c r="AF249" s="87">
        <v>4.1805630589554638E-3</v>
      </c>
      <c r="AG249" s="87">
        <v>1.2045305821105118E-3</v>
      </c>
      <c r="AH249" s="87">
        <v>1.720159529976369E-3</v>
      </c>
      <c r="AI249" s="87">
        <v>4.2074472336979408E-3</v>
      </c>
      <c r="AJ249" s="87">
        <v>0</v>
      </c>
      <c r="AK249" s="87">
        <v>4.3597137372924395E-4</v>
      </c>
      <c r="AL249" s="87">
        <v>4.1691495009359348E-4</v>
      </c>
      <c r="AM249" s="87">
        <v>8.394409979771934E-4</v>
      </c>
      <c r="AN249" s="87">
        <v>1.1850782396708045E-3</v>
      </c>
      <c r="AO249" s="87">
        <v>1.1999075787736779E-3</v>
      </c>
      <c r="AP249" s="87">
        <v>1.0816273055196965E-3</v>
      </c>
      <c r="AQ249" s="87">
        <v>1.0051760297930075E-3</v>
      </c>
      <c r="AR249" s="87">
        <v>5.2589749382197072E-4</v>
      </c>
      <c r="AS249" s="87">
        <v>9.6130761552144762E-4</v>
      </c>
      <c r="AT249" s="87">
        <v>1.071692717836572E-3</v>
      </c>
      <c r="AU249" s="87">
        <v>1.0287259499934074E-3</v>
      </c>
      <c r="AV249" s="87">
        <v>8.5561993314603381E-4</v>
      </c>
      <c r="AW249" s="87">
        <v>1.2130655764888399E-3</v>
      </c>
      <c r="AX249" s="87">
        <v>1.0951737858515965E-3</v>
      </c>
      <c r="AY249" s="87">
        <v>1.1865161065997957E-3</v>
      </c>
      <c r="AZ249" s="87">
        <v>8.5043840789374701E-4</v>
      </c>
      <c r="BA249" s="87">
        <v>5.3914592591570488E-4</v>
      </c>
      <c r="BB249" s="87">
        <v>8.7558953746608571E-4</v>
      </c>
      <c r="BC249" s="87">
        <v>6.1267405943012229E-4</v>
      </c>
      <c r="BD249" s="87">
        <v>7.2727134947654312E-4</v>
      </c>
      <c r="BE249" s="87">
        <v>5.4756770943283875E-4</v>
      </c>
      <c r="BF249" s="87">
        <v>7.100879126248214E-4</v>
      </c>
      <c r="BG249" s="87">
        <v>9.0409062552400268E-4</v>
      </c>
      <c r="BH249" s="87">
        <v>1.8085239235215555E-3</v>
      </c>
      <c r="BI249" s="87">
        <v>5.308123257101686E-3</v>
      </c>
      <c r="BJ249" s="87">
        <v>1.2447388135276532E-3</v>
      </c>
      <c r="BK249" s="87">
        <v>1.0020347972838077E-3</v>
      </c>
      <c r="BL249" s="87">
        <v>9.0878375396817059E-4</v>
      </c>
      <c r="BM249" s="87">
        <v>2.8458497350281254E-4</v>
      </c>
      <c r="BN249" s="87">
        <v>1.0825076045212951E-3</v>
      </c>
      <c r="BO249" s="87">
        <v>1.0589365606689341E-3</v>
      </c>
      <c r="BP249" s="87">
        <v>1.3849667544790451E-3</v>
      </c>
      <c r="BQ249" s="87">
        <v>5.8675291609997795E-4</v>
      </c>
      <c r="BR249" s="87">
        <v>1.1023311647819114E-3</v>
      </c>
      <c r="BS249" s="87">
        <v>6.2375098089201812E-5</v>
      </c>
    </row>
    <row r="250" spans="2:71" x14ac:dyDescent="0.35">
      <c r="B250" s="87">
        <v>1.5355373005285937E-2</v>
      </c>
      <c r="C250" s="87">
        <v>2.5951810355343954E-2</v>
      </c>
      <c r="D250" s="87">
        <v>3.2433689667049341E-2</v>
      </c>
      <c r="E250" s="87">
        <v>2.7617674422325798E-2</v>
      </c>
      <c r="F250" s="87">
        <v>3.4360401787307641E-2</v>
      </c>
      <c r="G250" s="87">
        <v>3.3106133470310765E-2</v>
      </c>
      <c r="H250" s="87">
        <v>3.1911653221312182E-2</v>
      </c>
      <c r="I250" s="87">
        <v>4.3668124266649462E-2</v>
      </c>
      <c r="J250" s="87">
        <v>2.7209383526388901E-2</v>
      </c>
      <c r="K250" s="87">
        <v>2.7252564556705623E-2</v>
      </c>
      <c r="L250" s="87">
        <v>3.5947856593239527E-2</v>
      </c>
      <c r="M250" s="87">
        <v>2.8249552302590793E-2</v>
      </c>
      <c r="N250" s="87">
        <v>2.7947511340960556E-2</v>
      </c>
      <c r="O250" s="87">
        <v>2.154601908677297E-2</v>
      </c>
      <c r="P250" s="87">
        <v>3.0408822902368935E-2</v>
      </c>
      <c r="Q250" s="87">
        <v>2.9138635920539464E-2</v>
      </c>
      <c r="R250" s="87">
        <v>1.5948869864548482E-2</v>
      </c>
      <c r="S250" s="87">
        <v>1.9964427803099923E-2</v>
      </c>
      <c r="T250" s="87">
        <v>3.327921000222489E-2</v>
      </c>
      <c r="U250" s="87">
        <v>7.0389337255834045E-2</v>
      </c>
      <c r="V250" s="87">
        <v>2.4654646174991326E-2</v>
      </c>
      <c r="W250" s="87">
        <v>2.113703288459428E-2</v>
      </c>
      <c r="X250" s="87">
        <v>0.11872261842746763</v>
      </c>
      <c r="Y250" s="87">
        <v>0.29614549167572451</v>
      </c>
      <c r="Z250" s="87">
        <v>0.21040319773054447</v>
      </c>
      <c r="AA250" s="87">
        <v>1.2278231212241075</v>
      </c>
      <c r="AB250" s="87">
        <v>1.6002336916044357E-2</v>
      </c>
      <c r="AC250" s="87">
        <v>1.0647664089096735E-2</v>
      </c>
      <c r="AD250" s="87">
        <v>5.1956414696049313E-3</v>
      </c>
      <c r="AE250" s="87">
        <v>1.4177367374198944E-2</v>
      </c>
      <c r="AF250" s="87">
        <v>1.0293693565775601E-2</v>
      </c>
      <c r="AG250" s="87">
        <v>7.1063465484471006E-3</v>
      </c>
      <c r="AH250" s="87">
        <v>8.679464167273521E-3</v>
      </c>
      <c r="AI250" s="87">
        <v>1.5478355288830441E-2</v>
      </c>
      <c r="AJ250" s="87">
        <v>0</v>
      </c>
      <c r="AK250" s="87">
        <v>1.6917723407352992E-3</v>
      </c>
      <c r="AL250" s="87">
        <v>1.6740286124662964E-3</v>
      </c>
      <c r="AM250" s="87">
        <v>3.1662310909713145E-3</v>
      </c>
      <c r="AN250" s="87">
        <v>3.7500551093356863E-3</v>
      </c>
      <c r="AO250" s="87">
        <v>3.7816903165115599E-3</v>
      </c>
      <c r="AP250" s="87">
        <v>3.6614867070413216E-3</v>
      </c>
      <c r="AQ250" s="87">
        <v>3.0449296502630652E-3</v>
      </c>
      <c r="AR250" s="87">
        <v>2.4275319460363423E-3</v>
      </c>
      <c r="AS250" s="87">
        <v>3.2766089418984111E-3</v>
      </c>
      <c r="AT250" s="87">
        <v>3.8200540727875189E-3</v>
      </c>
      <c r="AU250" s="87">
        <v>4.0943721023325398E-3</v>
      </c>
      <c r="AV250" s="87">
        <v>3.5924571238589577E-3</v>
      </c>
      <c r="AW250" s="87">
        <v>3.6653231547698071E-3</v>
      </c>
      <c r="AX250" s="87">
        <v>3.096980508774827E-3</v>
      </c>
      <c r="AY250" s="87">
        <v>4.1107015105490002E-3</v>
      </c>
      <c r="AZ250" s="87">
        <v>3.0905885485126533E-3</v>
      </c>
      <c r="BA250" s="87">
        <v>2.0158044729960247E-3</v>
      </c>
      <c r="BB250" s="87">
        <v>3.6124969392494696E-3</v>
      </c>
      <c r="BC250" s="87">
        <v>2.5265663201846002E-3</v>
      </c>
      <c r="BD250" s="87">
        <v>1.9575071814027082E-3</v>
      </c>
      <c r="BE250" s="87">
        <v>1.5364251942933927E-3</v>
      </c>
      <c r="BF250" s="87">
        <v>1.7461364366044246E-3</v>
      </c>
      <c r="BG250" s="87">
        <v>2.795269620033596E-3</v>
      </c>
      <c r="BH250" s="87">
        <v>1.5094897721182259E-2</v>
      </c>
      <c r="BI250" s="87">
        <v>4.8318763183500509E-3</v>
      </c>
      <c r="BJ250" s="87">
        <v>3.8626147997910831E-3</v>
      </c>
      <c r="BK250" s="87">
        <v>1.3458797963192576E-3</v>
      </c>
      <c r="BL250" s="87">
        <v>1.0590132946101281E-3</v>
      </c>
      <c r="BM250" s="87">
        <v>9.1913370729766112E-4</v>
      </c>
      <c r="BN250" s="87">
        <v>1.3523041808619352E-3</v>
      </c>
      <c r="BO250" s="87">
        <v>1.5125734726576081E-3</v>
      </c>
      <c r="BP250" s="87">
        <v>1.3642063917789311E-3</v>
      </c>
      <c r="BQ250" s="87">
        <v>1.3985119956075088E-3</v>
      </c>
      <c r="BR250" s="87">
        <v>1.6289218823300358E-3</v>
      </c>
      <c r="BS250" s="87">
        <v>1.5902672720678092E-4</v>
      </c>
    </row>
    <row r="251" spans="2:71" x14ac:dyDescent="0.35">
      <c r="B251" s="87">
        <v>1.5873724276890058E-2</v>
      </c>
      <c r="C251" s="87">
        <v>2.3185832080481285E-2</v>
      </c>
      <c r="D251" s="87">
        <v>2.6208133126211171E-2</v>
      </c>
      <c r="E251" s="87">
        <v>2.8048410823492853E-2</v>
      </c>
      <c r="F251" s="87">
        <v>2.833502114672105E-2</v>
      </c>
      <c r="G251" s="87">
        <v>2.3601072663538645E-2</v>
      </c>
      <c r="H251" s="87">
        <v>3.7919796617177537E-2</v>
      </c>
      <c r="I251" s="87">
        <v>2.0056048344704352E-2</v>
      </c>
      <c r="J251" s="87">
        <v>2.8156717361682009E-2</v>
      </c>
      <c r="K251" s="87">
        <v>2.4566375488194809E-2</v>
      </c>
      <c r="L251" s="87">
        <v>2.6273111411603094E-2</v>
      </c>
      <c r="M251" s="87">
        <v>2.4563529435629679E-2</v>
      </c>
      <c r="N251" s="87">
        <v>2.8206195379385943E-2</v>
      </c>
      <c r="O251" s="87">
        <v>2.5561130533683998E-2</v>
      </c>
      <c r="P251" s="87">
        <v>2.5816515771627583E-2</v>
      </c>
      <c r="Q251" s="87">
        <v>2.7245466637163641E-2</v>
      </c>
      <c r="R251" s="87">
        <v>2.5493737406959288E-2</v>
      </c>
      <c r="S251" s="87">
        <v>2.5753051659824205E-2</v>
      </c>
      <c r="T251" s="87">
        <v>3.628689769058413E-2</v>
      </c>
      <c r="U251" s="87">
        <v>4.1480163731636523E-2</v>
      </c>
      <c r="V251" s="87">
        <v>4.4859255567636508E-2</v>
      </c>
      <c r="W251" s="87">
        <v>3.3658874334328043E-2</v>
      </c>
      <c r="X251" s="87">
        <v>3.0682194022120888E-2</v>
      </c>
      <c r="Y251" s="87">
        <v>2.2382084248360939E-2</v>
      </c>
      <c r="Z251" s="87">
        <v>3.1147354826673097E-2</v>
      </c>
      <c r="AA251" s="87">
        <v>4.100597768853538E-2</v>
      </c>
      <c r="AB251" s="87">
        <v>1.1811852613056995</v>
      </c>
      <c r="AC251" s="87">
        <v>6.8524452183225629E-2</v>
      </c>
      <c r="AD251" s="87">
        <v>1.5394912154775686E-2</v>
      </c>
      <c r="AE251" s="87">
        <v>4.4419436142747411E-2</v>
      </c>
      <c r="AF251" s="87">
        <v>4.323168514072058E-2</v>
      </c>
      <c r="AG251" s="87">
        <v>1.4951834139653744E-2</v>
      </c>
      <c r="AH251" s="87">
        <v>2.4028584353843276E-2</v>
      </c>
      <c r="AI251" s="87">
        <v>4.374524990097671E-2</v>
      </c>
      <c r="AJ251" s="87">
        <v>0</v>
      </c>
      <c r="AK251" s="87">
        <v>1.0348212843822892E-3</v>
      </c>
      <c r="AL251" s="87">
        <v>8.726698677201418E-4</v>
      </c>
      <c r="AM251" s="87">
        <v>1.669141082803811E-3</v>
      </c>
      <c r="AN251" s="87">
        <v>2.4787684262713907E-3</v>
      </c>
      <c r="AO251" s="87">
        <v>2.3780044893991878E-3</v>
      </c>
      <c r="AP251" s="87">
        <v>1.8929269042025985E-3</v>
      </c>
      <c r="AQ251" s="87">
        <v>2.2541605221838876E-3</v>
      </c>
      <c r="AR251" s="87">
        <v>1.301843919930991E-3</v>
      </c>
      <c r="AS251" s="87">
        <v>2.3286727963963468E-3</v>
      </c>
      <c r="AT251" s="87">
        <v>2.6535241621018588E-3</v>
      </c>
      <c r="AU251" s="87">
        <v>2.0783190857615133E-3</v>
      </c>
      <c r="AV251" s="87">
        <v>2.2713158699970049E-3</v>
      </c>
      <c r="AW251" s="87">
        <v>2.6418297255033441E-3</v>
      </c>
      <c r="AX251" s="87">
        <v>2.5943675254509447E-3</v>
      </c>
      <c r="AY251" s="87">
        <v>2.9825895671143987E-3</v>
      </c>
      <c r="AZ251" s="87">
        <v>2.2642729550095566E-3</v>
      </c>
      <c r="BA251" s="87">
        <v>1.307487998197318E-3</v>
      </c>
      <c r="BB251" s="87">
        <v>2.1580035223358325E-3</v>
      </c>
      <c r="BC251" s="87">
        <v>1.7939467485136422E-3</v>
      </c>
      <c r="BD251" s="87">
        <v>1.0658734007456146E-3</v>
      </c>
      <c r="BE251" s="87">
        <v>1.041833646490623E-3</v>
      </c>
      <c r="BF251" s="87">
        <v>1.2030932024552693E-3</v>
      </c>
      <c r="BG251" s="87">
        <v>1.9592796071925254E-3</v>
      </c>
      <c r="BH251" s="87">
        <v>2.7874231859498599E-3</v>
      </c>
      <c r="BI251" s="87">
        <v>2.2007664615097352E-3</v>
      </c>
      <c r="BJ251" s="87">
        <v>2.5335929314011306E-3</v>
      </c>
      <c r="BK251" s="87">
        <v>2.5104574156807062E-3</v>
      </c>
      <c r="BL251" s="87">
        <v>1.7152046437526268E-3</v>
      </c>
      <c r="BM251" s="87">
        <v>6.7011236897365734E-4</v>
      </c>
      <c r="BN251" s="87">
        <v>1.3585073005132247E-3</v>
      </c>
      <c r="BO251" s="87">
        <v>1.5250328263414807E-3</v>
      </c>
      <c r="BP251" s="87">
        <v>1.3366598396888092E-3</v>
      </c>
      <c r="BQ251" s="87">
        <v>1.3518528502578008E-3</v>
      </c>
      <c r="BR251" s="87">
        <v>1.5890678890287419E-3</v>
      </c>
      <c r="BS251" s="87">
        <v>1.9458686015078242E-4</v>
      </c>
    </row>
    <row r="252" spans="2:71" x14ac:dyDescent="0.35">
      <c r="B252" s="87">
        <v>4.7282236907995975E-2</v>
      </c>
      <c r="C252" s="87">
        <v>5.7125637546700761E-2</v>
      </c>
      <c r="D252" s="87">
        <v>5.6162394230829221E-2</v>
      </c>
      <c r="E252" s="87">
        <v>5.6153463105135616E-2</v>
      </c>
      <c r="F252" s="87">
        <v>5.6915502602580145E-2</v>
      </c>
      <c r="G252" s="87">
        <v>5.3585157800823464E-2</v>
      </c>
      <c r="H252" s="87">
        <v>5.2659192430943191E-2</v>
      </c>
      <c r="I252" s="87">
        <v>5.1140955449422904E-2</v>
      </c>
      <c r="J252" s="87">
        <v>4.8437885327386798E-2</v>
      </c>
      <c r="K252" s="87">
        <v>4.4137677966048033E-2</v>
      </c>
      <c r="L252" s="87">
        <v>5.0077493218030691E-2</v>
      </c>
      <c r="M252" s="87">
        <v>5.044913052535864E-2</v>
      </c>
      <c r="N252" s="87">
        <v>5.2302712328469801E-2</v>
      </c>
      <c r="O252" s="87">
        <v>4.1327574020192985E-2</v>
      </c>
      <c r="P252" s="87">
        <v>4.9768981830121371E-2</v>
      </c>
      <c r="Q252" s="87">
        <v>5.528684362056617E-2</v>
      </c>
      <c r="R252" s="87">
        <v>4.7052062653821267E-2</v>
      </c>
      <c r="S252" s="87">
        <v>5.5298476266792074E-2</v>
      </c>
      <c r="T252" s="87">
        <v>5.4785565739861312E-2</v>
      </c>
      <c r="U252" s="87">
        <v>6.2131056346442406E-2</v>
      </c>
      <c r="V252" s="87">
        <v>6.2276398516145137E-2</v>
      </c>
      <c r="W252" s="87">
        <v>5.3428550079288158E-2</v>
      </c>
      <c r="X252" s="87">
        <v>6.3371803808810426E-2</v>
      </c>
      <c r="Y252" s="87">
        <v>4.2334880717830412E-2</v>
      </c>
      <c r="Z252" s="87">
        <v>5.351074782496941E-2</v>
      </c>
      <c r="AA252" s="87">
        <v>6.0116770493791216E-2</v>
      </c>
      <c r="AB252" s="87">
        <v>4.248323448720933E-2</v>
      </c>
      <c r="AC252" s="87">
        <v>1.302739860959891</v>
      </c>
      <c r="AD252" s="87">
        <v>8.3486509166236456E-2</v>
      </c>
      <c r="AE252" s="87">
        <v>5.0079548276191717E-2</v>
      </c>
      <c r="AF252" s="87">
        <v>4.6387253677187747E-2</v>
      </c>
      <c r="AG252" s="87">
        <v>2.1260541105007601E-2</v>
      </c>
      <c r="AH252" s="87">
        <v>3.0424710296766452E-2</v>
      </c>
      <c r="AI252" s="87">
        <v>5.3372429996341196E-2</v>
      </c>
      <c r="AJ252" s="87">
        <v>0</v>
      </c>
      <c r="AK252" s="87">
        <v>3.0857815290242334E-3</v>
      </c>
      <c r="AL252" s="87">
        <v>2.633415534725827E-3</v>
      </c>
      <c r="AM252" s="87">
        <v>5.3558888728610877E-3</v>
      </c>
      <c r="AN252" s="87">
        <v>8.7655106509084649E-3</v>
      </c>
      <c r="AO252" s="87">
        <v>7.4837878073989589E-3</v>
      </c>
      <c r="AP252" s="87">
        <v>5.6245924405663892E-3</v>
      </c>
      <c r="AQ252" s="87">
        <v>5.8480161307809852E-3</v>
      </c>
      <c r="AR252" s="87">
        <v>4.1938670791751339E-3</v>
      </c>
      <c r="AS252" s="87">
        <v>6.5605272500696473E-3</v>
      </c>
      <c r="AT252" s="87">
        <v>7.0584076376278612E-3</v>
      </c>
      <c r="AU252" s="87">
        <v>6.7257728326707922E-3</v>
      </c>
      <c r="AV252" s="87">
        <v>6.1508649654191524E-3</v>
      </c>
      <c r="AW252" s="87">
        <v>7.1813712135469984E-3</v>
      </c>
      <c r="AX252" s="87">
        <v>6.1387863686917449E-3</v>
      </c>
      <c r="AY252" s="87">
        <v>8.4135544972805537E-3</v>
      </c>
      <c r="AZ252" s="87">
        <v>7.2633242097482403E-3</v>
      </c>
      <c r="BA252" s="87">
        <v>4.387409470065563E-3</v>
      </c>
      <c r="BB252" s="87">
        <v>5.9381248406915966E-3</v>
      </c>
      <c r="BC252" s="87">
        <v>4.1539165052152755E-3</v>
      </c>
      <c r="BD252" s="87">
        <v>3.5482624740226657E-3</v>
      </c>
      <c r="BE252" s="87">
        <v>3.79227590131329E-3</v>
      </c>
      <c r="BF252" s="87">
        <v>3.9390189054376345E-3</v>
      </c>
      <c r="BG252" s="87">
        <v>7.1290771792915548E-3</v>
      </c>
      <c r="BH252" s="87">
        <v>6.6367026306272305E-3</v>
      </c>
      <c r="BI252" s="87">
        <v>5.9598507036150205E-3</v>
      </c>
      <c r="BJ252" s="87">
        <v>7.5827536100386813E-3</v>
      </c>
      <c r="BK252" s="87">
        <v>2.9127898664336642E-3</v>
      </c>
      <c r="BL252" s="87">
        <v>9.1474939160107304E-3</v>
      </c>
      <c r="BM252" s="87">
        <v>3.1374077177516364E-3</v>
      </c>
      <c r="BN252" s="87">
        <v>3.4375173902905149E-3</v>
      </c>
      <c r="BO252" s="87">
        <v>3.799984255232041E-3</v>
      </c>
      <c r="BP252" s="87">
        <v>3.0712210412912008E-3</v>
      </c>
      <c r="BQ252" s="87">
        <v>3.6909390304272708E-3</v>
      </c>
      <c r="BR252" s="87">
        <v>4.496769110962009E-3</v>
      </c>
      <c r="BS252" s="87">
        <v>9.675010527046673E-4</v>
      </c>
    </row>
    <row r="253" spans="2:71" x14ac:dyDescent="0.35">
      <c r="B253" s="87">
        <v>1.5923625567733312E-2</v>
      </c>
      <c r="C253" s="87">
        <v>2.0918832452698613E-2</v>
      </c>
      <c r="D253" s="87">
        <v>2.8831077966145438E-2</v>
      </c>
      <c r="E253" s="87">
        <v>3.1940123323930682E-2</v>
      </c>
      <c r="F253" s="87">
        <v>3.3147454799405285E-2</v>
      </c>
      <c r="G253" s="87">
        <v>2.7882669416032235E-2</v>
      </c>
      <c r="H253" s="87">
        <v>3.2371098362458377E-2</v>
      </c>
      <c r="I253" s="87">
        <v>2.0979261346049508E-2</v>
      </c>
      <c r="J253" s="87">
        <v>2.6788606871039379E-2</v>
      </c>
      <c r="K253" s="87">
        <v>2.696497247059667E-2</v>
      </c>
      <c r="L253" s="87">
        <v>2.6768175913374388E-2</v>
      </c>
      <c r="M253" s="87">
        <v>2.8474964490335233E-2</v>
      </c>
      <c r="N253" s="87">
        <v>3.0706444529047472E-2</v>
      </c>
      <c r="O253" s="87">
        <v>2.5679804781518729E-2</v>
      </c>
      <c r="P253" s="87">
        <v>3.4512112128923453E-2</v>
      </c>
      <c r="Q253" s="87">
        <v>3.3847428116699309E-2</v>
      </c>
      <c r="R253" s="87">
        <v>1.9816164621393382E-2</v>
      </c>
      <c r="S253" s="87">
        <v>4.2254384676982115E-2</v>
      </c>
      <c r="T253" s="87">
        <v>4.5942423584848735E-2</v>
      </c>
      <c r="U253" s="87">
        <v>4.555424265064114E-2</v>
      </c>
      <c r="V253" s="87">
        <v>8.3722651342114207E-2</v>
      </c>
      <c r="W253" s="87">
        <v>5.4478751482298297E-2</v>
      </c>
      <c r="X253" s="87">
        <v>2.5423382124688282E-2</v>
      </c>
      <c r="Y253" s="87">
        <v>1.8356412319159323E-2</v>
      </c>
      <c r="Z253" s="87">
        <v>2.3980032723009397E-2</v>
      </c>
      <c r="AA253" s="87">
        <v>3.5887968569314602E-2</v>
      </c>
      <c r="AB253" s="87">
        <v>2.7370145085870729E-2</v>
      </c>
      <c r="AC253" s="87">
        <v>3.927572581182643E-2</v>
      </c>
      <c r="AD253" s="87">
        <v>1.0357084328555255</v>
      </c>
      <c r="AE253" s="87">
        <v>3.3651394793017021E-2</v>
      </c>
      <c r="AF253" s="87">
        <v>2.9219830107720779E-2</v>
      </c>
      <c r="AG253" s="87">
        <v>2.6177757539463126E-2</v>
      </c>
      <c r="AH253" s="87">
        <v>2.6568248710731397E-2</v>
      </c>
      <c r="AI253" s="87">
        <v>3.5490201186399582E-2</v>
      </c>
      <c r="AJ253" s="87">
        <v>0</v>
      </c>
      <c r="AK253" s="87">
        <v>7.2201675455556562E-4</v>
      </c>
      <c r="AL253" s="87">
        <v>6.5136954270252892E-4</v>
      </c>
      <c r="AM253" s="87">
        <v>1.2170399314804165E-3</v>
      </c>
      <c r="AN253" s="87">
        <v>1.8559751488057914E-3</v>
      </c>
      <c r="AO253" s="87">
        <v>1.759538921430358E-3</v>
      </c>
      <c r="AP253" s="87">
        <v>1.4290984626567846E-3</v>
      </c>
      <c r="AQ253" s="87">
        <v>1.6337801104694797E-3</v>
      </c>
      <c r="AR253" s="87">
        <v>9.0472867180279941E-4</v>
      </c>
      <c r="AS253" s="87">
        <v>1.7673471459032544E-3</v>
      </c>
      <c r="AT253" s="87">
        <v>2.1242942767940092E-3</v>
      </c>
      <c r="AU253" s="87">
        <v>1.5290151166491408E-3</v>
      </c>
      <c r="AV253" s="87">
        <v>1.6281042991310886E-3</v>
      </c>
      <c r="AW253" s="87">
        <v>2.0823117641744068E-3</v>
      </c>
      <c r="AX253" s="87">
        <v>1.9368968487741799E-3</v>
      </c>
      <c r="AY253" s="87">
        <v>2.6945751430522938E-3</v>
      </c>
      <c r="AZ253" s="87">
        <v>1.7748795756772128E-3</v>
      </c>
      <c r="BA253" s="87">
        <v>9.0084960781651219E-4</v>
      </c>
      <c r="BB253" s="87">
        <v>1.5041831720778581E-3</v>
      </c>
      <c r="BC253" s="87">
        <v>1.1086823535529078E-3</v>
      </c>
      <c r="BD253" s="87">
        <v>5.9321559793298689E-4</v>
      </c>
      <c r="BE253" s="87">
        <v>5.8052819021219221E-4</v>
      </c>
      <c r="BF253" s="87">
        <v>7.91845996779808E-4</v>
      </c>
      <c r="BG253" s="87">
        <v>1.1583382129757755E-3</v>
      </c>
      <c r="BH253" s="87">
        <v>1.7459147755681779E-3</v>
      </c>
      <c r="BI253" s="87">
        <v>1.3869583403263524E-3</v>
      </c>
      <c r="BJ253" s="87">
        <v>1.3802109817405805E-3</v>
      </c>
      <c r="BK253" s="87">
        <v>6.6522351792554267E-4</v>
      </c>
      <c r="BL253" s="87">
        <v>7.544903298882978E-4</v>
      </c>
      <c r="BM253" s="87">
        <v>3.9154553461604938E-4</v>
      </c>
      <c r="BN253" s="87">
        <v>7.2541709876718162E-4</v>
      </c>
      <c r="BO253" s="87">
        <v>8.1453216191451681E-4</v>
      </c>
      <c r="BP253" s="87">
        <v>6.9695986057361577E-4</v>
      </c>
      <c r="BQ253" s="87">
        <v>8.6356985274687974E-4</v>
      </c>
      <c r="BR253" s="87">
        <v>8.5651143866643229E-4</v>
      </c>
      <c r="BS253" s="87">
        <v>1.3172351813755249E-4</v>
      </c>
    </row>
    <row r="254" spans="2:71" x14ac:dyDescent="0.35">
      <c r="B254" s="87">
        <v>9.4425827506739113E-2</v>
      </c>
      <c r="C254" s="87">
        <v>0.13174337375284201</v>
      </c>
      <c r="D254" s="87">
        <v>0.16039201392299798</v>
      </c>
      <c r="E254" s="87">
        <v>0.14468110012209792</v>
      </c>
      <c r="F254" s="87">
        <v>0.15167446986462541</v>
      </c>
      <c r="G254" s="87">
        <v>0.11882861605705466</v>
      </c>
      <c r="H254" s="87">
        <v>0.18432033332817666</v>
      </c>
      <c r="I254" s="87">
        <v>0.13631672436324185</v>
      </c>
      <c r="J254" s="87">
        <v>0.19787919307884741</v>
      </c>
      <c r="K254" s="87">
        <v>0.16237217578543831</v>
      </c>
      <c r="L254" s="87">
        <v>0.14578731202599493</v>
      </c>
      <c r="M254" s="87">
        <v>0.14171142437092757</v>
      </c>
      <c r="N254" s="87">
        <v>0.16848031103917455</v>
      </c>
      <c r="O254" s="87">
        <v>0.16257380716072156</v>
      </c>
      <c r="P254" s="87">
        <v>0.17288075145785853</v>
      </c>
      <c r="Q254" s="87">
        <v>0.148605260525243</v>
      </c>
      <c r="R254" s="87">
        <v>0.12080059387232414</v>
      </c>
      <c r="S254" s="87">
        <v>0.15831144543483483</v>
      </c>
      <c r="T254" s="87">
        <v>0.15434560044193138</v>
      </c>
      <c r="U254" s="87">
        <v>0.16534659759642045</v>
      </c>
      <c r="V254" s="87">
        <v>0.15591453249021059</v>
      </c>
      <c r="W254" s="87">
        <v>0.12369344829458938</v>
      </c>
      <c r="X254" s="87">
        <v>0.13722139576418221</v>
      </c>
      <c r="Y254" s="87">
        <v>0.11132133771951641</v>
      </c>
      <c r="Z254" s="87">
        <v>0.1606643183959193</v>
      </c>
      <c r="AA254" s="87">
        <v>0.16766395133568962</v>
      </c>
      <c r="AB254" s="87">
        <v>0.13310527017866738</v>
      </c>
      <c r="AC254" s="87">
        <v>0.21286679857818092</v>
      </c>
      <c r="AD254" s="87">
        <v>6.9051678728809698E-2</v>
      </c>
      <c r="AE254" s="87">
        <v>1.2750042067881338</v>
      </c>
      <c r="AF254" s="87">
        <v>0.12096292282972425</v>
      </c>
      <c r="AG254" s="87">
        <v>6.3670197127085049E-2</v>
      </c>
      <c r="AH254" s="87">
        <v>0.10019063414216883</v>
      </c>
      <c r="AI254" s="87">
        <v>0.17292600991312237</v>
      </c>
      <c r="AJ254" s="87">
        <v>0</v>
      </c>
      <c r="AK254" s="87">
        <v>5.8734777505557072E-3</v>
      </c>
      <c r="AL254" s="87">
        <v>5.2163039442481053E-3</v>
      </c>
      <c r="AM254" s="87">
        <v>1.0523465041580388E-2</v>
      </c>
      <c r="AN254" s="87">
        <v>1.5045658303928348E-2</v>
      </c>
      <c r="AO254" s="87">
        <v>1.3489434766672427E-2</v>
      </c>
      <c r="AP254" s="87">
        <v>1.109727566638612E-2</v>
      </c>
      <c r="AQ254" s="87">
        <v>1.3631199984318824E-2</v>
      </c>
      <c r="AR254" s="87">
        <v>7.3123557804229897E-3</v>
      </c>
      <c r="AS254" s="87">
        <v>1.5946250247920731E-2</v>
      </c>
      <c r="AT254" s="87">
        <v>1.7114708002144756E-2</v>
      </c>
      <c r="AU254" s="87">
        <v>1.2195742462836803E-2</v>
      </c>
      <c r="AV254" s="87">
        <v>1.1993210261917677E-2</v>
      </c>
      <c r="AW254" s="87">
        <v>1.5782603723821412E-2</v>
      </c>
      <c r="AX254" s="87">
        <v>1.6294692602222851E-2</v>
      </c>
      <c r="AY254" s="87">
        <v>1.9448723885901811E-2</v>
      </c>
      <c r="AZ254" s="87">
        <v>1.2574865161081507E-2</v>
      </c>
      <c r="BA254" s="87">
        <v>7.5704426189367405E-3</v>
      </c>
      <c r="BB254" s="87">
        <v>1.2190742213419942E-2</v>
      </c>
      <c r="BC254" s="87">
        <v>8.2317627145840414E-3</v>
      </c>
      <c r="BD254" s="87">
        <v>6.1214816381857072E-3</v>
      </c>
      <c r="BE254" s="87">
        <v>5.5909101857421119E-3</v>
      </c>
      <c r="BF254" s="87">
        <v>7.853596819843052E-3</v>
      </c>
      <c r="BG254" s="87">
        <v>9.0482279532236934E-3</v>
      </c>
      <c r="BH254" s="87">
        <v>1.3369706217087093E-2</v>
      </c>
      <c r="BI254" s="87">
        <v>1.2557258587692893E-2</v>
      </c>
      <c r="BJ254" s="87">
        <v>1.0920908560458109E-2</v>
      </c>
      <c r="BK254" s="87">
        <v>7.0106855905823296E-3</v>
      </c>
      <c r="BL254" s="87">
        <v>9.4489329761627671E-3</v>
      </c>
      <c r="BM254" s="87">
        <v>3.822369841475741E-3</v>
      </c>
      <c r="BN254" s="87">
        <v>9.1414448774157827E-3</v>
      </c>
      <c r="BO254" s="87">
        <v>8.3454497851990477E-3</v>
      </c>
      <c r="BP254" s="87">
        <v>6.634900785684095E-3</v>
      </c>
      <c r="BQ254" s="87">
        <v>8.8116472305283643E-3</v>
      </c>
      <c r="BR254" s="87">
        <v>8.5433572602070344E-3</v>
      </c>
      <c r="BS254" s="87">
        <v>1.4295273259615786E-3</v>
      </c>
    </row>
    <row r="255" spans="2:71" x14ac:dyDescent="0.35">
      <c r="B255" s="87">
        <v>3.3769718229936969E-3</v>
      </c>
      <c r="C255" s="87">
        <v>6.0527278497333635E-3</v>
      </c>
      <c r="D255" s="87">
        <v>5.1940802726874171E-3</v>
      </c>
      <c r="E255" s="87">
        <v>4.4523523059381148E-3</v>
      </c>
      <c r="F255" s="87">
        <v>4.5564639079186823E-3</v>
      </c>
      <c r="G255" s="87">
        <v>5.7528073560515515E-3</v>
      </c>
      <c r="H255" s="87">
        <v>5.9379222482726412E-3</v>
      </c>
      <c r="I255" s="87">
        <v>4.4982828476881802E-3</v>
      </c>
      <c r="J255" s="87">
        <v>6.099537336033284E-3</v>
      </c>
      <c r="K255" s="87">
        <v>5.179058420826577E-3</v>
      </c>
      <c r="L255" s="87">
        <v>5.9231163290015872E-3</v>
      </c>
      <c r="M255" s="87">
        <v>5.1207974323125866E-3</v>
      </c>
      <c r="N255" s="87">
        <v>4.7219077756486001E-3</v>
      </c>
      <c r="O255" s="87">
        <v>4.5592389569381912E-3</v>
      </c>
      <c r="P255" s="87">
        <v>5.4635753096683518E-3</v>
      </c>
      <c r="Q255" s="87">
        <v>5.8506495465488447E-3</v>
      </c>
      <c r="R255" s="87">
        <v>1.4931009270977649E-2</v>
      </c>
      <c r="S255" s="87">
        <v>5.3827912563622158E-3</v>
      </c>
      <c r="T255" s="87">
        <v>4.2576699764405564E-3</v>
      </c>
      <c r="U255" s="87">
        <v>4.4084028810651979E-3</v>
      </c>
      <c r="V255" s="87">
        <v>4.6458070950377928E-3</v>
      </c>
      <c r="W255" s="87">
        <v>4.3013798150673688E-3</v>
      </c>
      <c r="X255" s="87">
        <v>8.7483527145941816E-3</v>
      </c>
      <c r="Y255" s="87">
        <v>4.4696901219058154E-3</v>
      </c>
      <c r="Z255" s="87">
        <v>5.4000526594178153E-3</v>
      </c>
      <c r="AA255" s="87">
        <v>5.9252112794906716E-3</v>
      </c>
      <c r="AB255" s="87">
        <v>3.9514835859475192E-3</v>
      </c>
      <c r="AC255" s="87">
        <v>3.4112254147516782E-3</v>
      </c>
      <c r="AD255" s="87">
        <v>7.3176526898207648E-3</v>
      </c>
      <c r="AE255" s="87">
        <v>6.1474832069119204E-3</v>
      </c>
      <c r="AF255" s="87">
        <v>1.010314531088349</v>
      </c>
      <c r="AG255" s="87">
        <v>6.8103769223985507E-3</v>
      </c>
      <c r="AH255" s="87">
        <v>4.6012537719857735E-3</v>
      </c>
      <c r="AI255" s="87">
        <v>8.1504846813754729E-3</v>
      </c>
      <c r="AJ255" s="87">
        <v>0</v>
      </c>
      <c r="AK255" s="87">
        <v>2.0037707518825418E-4</v>
      </c>
      <c r="AL255" s="87">
        <v>1.6284509592536024E-4</v>
      </c>
      <c r="AM255" s="87">
        <v>3.0967926064398511E-4</v>
      </c>
      <c r="AN255" s="87">
        <v>4.2683781335197128E-4</v>
      </c>
      <c r="AO255" s="87">
        <v>4.0198579712163665E-4</v>
      </c>
      <c r="AP255" s="87">
        <v>3.7426868218049317E-4</v>
      </c>
      <c r="AQ255" s="87">
        <v>3.9422718789252395E-4</v>
      </c>
      <c r="AR255" s="87">
        <v>2.7165182378975601E-4</v>
      </c>
      <c r="AS255" s="87">
        <v>4.4796446713982652E-4</v>
      </c>
      <c r="AT255" s="87">
        <v>5.0416651796557235E-4</v>
      </c>
      <c r="AU255" s="87">
        <v>3.9237931970212073E-4</v>
      </c>
      <c r="AV255" s="87">
        <v>3.8003920817525767E-4</v>
      </c>
      <c r="AW255" s="87">
        <v>4.5386693039172382E-4</v>
      </c>
      <c r="AX255" s="87">
        <v>4.2926219676712421E-4</v>
      </c>
      <c r="AY255" s="87">
        <v>5.5324632003289187E-4</v>
      </c>
      <c r="AZ255" s="87">
        <v>3.8809077610162221E-4</v>
      </c>
      <c r="BA255" s="87">
        <v>2.39387028369668E-4</v>
      </c>
      <c r="BB255" s="87">
        <v>3.6442031401422501E-4</v>
      </c>
      <c r="BC255" s="87">
        <v>2.8531620224454737E-4</v>
      </c>
      <c r="BD255" s="87">
        <v>1.6135840965835789E-4</v>
      </c>
      <c r="BE255" s="87">
        <v>1.4340442679280029E-4</v>
      </c>
      <c r="BF255" s="87">
        <v>2.1788918934662806E-4</v>
      </c>
      <c r="BG255" s="87">
        <v>3.6266459828711013E-4</v>
      </c>
      <c r="BH255" s="87">
        <v>4.3579520655360674E-4</v>
      </c>
      <c r="BI255" s="87">
        <v>4.4278712481450144E-4</v>
      </c>
      <c r="BJ255" s="87">
        <v>3.7380352724313514E-4</v>
      </c>
      <c r="BK255" s="87">
        <v>1.902908719192264E-4</v>
      </c>
      <c r="BL255" s="87">
        <v>1.9998871628776528E-4</v>
      </c>
      <c r="BM255" s="87">
        <v>1.1962090416826029E-4</v>
      </c>
      <c r="BN255" s="87">
        <v>2.0144502695966938E-4</v>
      </c>
      <c r="BO255" s="87">
        <v>2.7698545785685285E-4</v>
      </c>
      <c r="BP255" s="87">
        <v>1.9004622311081794E-4</v>
      </c>
      <c r="BQ255" s="87">
        <v>2.6310136704681022E-4</v>
      </c>
      <c r="BR255" s="87">
        <v>2.3562113408601227E-4</v>
      </c>
      <c r="BS255" s="87">
        <v>3.6138033883222154E-5</v>
      </c>
    </row>
    <row r="256" spans="2:71" x14ac:dyDescent="0.35">
      <c r="B256" s="87">
        <v>1.9877928954051944E-3</v>
      </c>
      <c r="C256" s="87">
        <v>2.5233877700206607E-3</v>
      </c>
      <c r="D256" s="87">
        <v>3.1504482219445948E-3</v>
      </c>
      <c r="E256" s="87">
        <v>2.9865517403068506E-3</v>
      </c>
      <c r="F256" s="87">
        <v>3.3054609192479105E-3</v>
      </c>
      <c r="G256" s="87">
        <v>2.7741309234312317E-3</v>
      </c>
      <c r="H256" s="87">
        <v>3.2440915402303962E-3</v>
      </c>
      <c r="I256" s="87">
        <v>3.0687847755184582E-3</v>
      </c>
      <c r="J256" s="87">
        <v>4.3303415096878671E-3</v>
      </c>
      <c r="K256" s="87">
        <v>3.6842499749425812E-3</v>
      </c>
      <c r="L256" s="87">
        <v>3.0297227346403051E-3</v>
      </c>
      <c r="M256" s="87">
        <v>3.3893598618163555E-3</v>
      </c>
      <c r="N256" s="87">
        <v>3.8095639158067249E-3</v>
      </c>
      <c r="O256" s="87">
        <v>3.9419179212485745E-3</v>
      </c>
      <c r="P256" s="87">
        <v>4.6427448216735789E-3</v>
      </c>
      <c r="Q256" s="87">
        <v>3.0635080102085852E-3</v>
      </c>
      <c r="R256" s="87">
        <v>2.9178375771954923E-3</v>
      </c>
      <c r="S256" s="87">
        <v>2.9263984640697537E-3</v>
      </c>
      <c r="T256" s="87">
        <v>3.2998910632895148E-3</v>
      </c>
      <c r="U256" s="87">
        <v>3.3091546447285014E-3</v>
      </c>
      <c r="V256" s="87">
        <v>3.188736686501421E-3</v>
      </c>
      <c r="W256" s="87">
        <v>2.8688490308727368E-3</v>
      </c>
      <c r="X256" s="87">
        <v>3.6525242885006907E-3</v>
      </c>
      <c r="Y256" s="87">
        <v>2.2702988400936943E-3</v>
      </c>
      <c r="Z256" s="87">
        <v>6.0379596798987778E-3</v>
      </c>
      <c r="AA256" s="87">
        <v>4.1368551015836755E-3</v>
      </c>
      <c r="AB256" s="87">
        <v>3.8770608785248135E-3</v>
      </c>
      <c r="AC256" s="87">
        <v>4.4131729741156882E-3</v>
      </c>
      <c r="AD256" s="87">
        <v>1.4873184156652401E-3</v>
      </c>
      <c r="AE256" s="87">
        <v>6.8197274918356992E-3</v>
      </c>
      <c r="AF256" s="87">
        <v>7.6070753322766095E-3</v>
      </c>
      <c r="AG256" s="87">
        <v>1.0360880018519474</v>
      </c>
      <c r="AH256" s="87">
        <v>3.8653919450205767E-3</v>
      </c>
      <c r="AI256" s="87">
        <v>4.2643123551069752E-3</v>
      </c>
      <c r="AJ256" s="87">
        <v>0</v>
      </c>
      <c r="AK256" s="87">
        <v>1.3861944440056583E-4</v>
      </c>
      <c r="AL256" s="87">
        <v>1.1782699893056224E-4</v>
      </c>
      <c r="AM256" s="87">
        <v>2.1251989987274182E-4</v>
      </c>
      <c r="AN256" s="87">
        <v>3.0747816523377211E-4</v>
      </c>
      <c r="AO256" s="87">
        <v>2.9199463759752736E-4</v>
      </c>
      <c r="AP256" s="87">
        <v>2.3345150906753753E-4</v>
      </c>
      <c r="AQ256" s="87">
        <v>2.6158978052061023E-4</v>
      </c>
      <c r="AR256" s="87">
        <v>1.7062330187619132E-4</v>
      </c>
      <c r="AS256" s="87">
        <v>3.5058487125871841E-4</v>
      </c>
      <c r="AT256" s="87">
        <v>3.7706769376262404E-4</v>
      </c>
      <c r="AU256" s="87">
        <v>2.6969368393077155E-4</v>
      </c>
      <c r="AV256" s="87">
        <v>2.8438984871521352E-4</v>
      </c>
      <c r="AW256" s="87">
        <v>3.8793941899138023E-4</v>
      </c>
      <c r="AX256" s="87">
        <v>3.9938331122883741E-4</v>
      </c>
      <c r="AY256" s="87">
        <v>4.6885430274893101E-4</v>
      </c>
      <c r="AZ256" s="87">
        <v>2.7838745158943989E-4</v>
      </c>
      <c r="BA256" s="87">
        <v>1.7735538587288041E-4</v>
      </c>
      <c r="BB256" s="87">
        <v>2.6489832094603294E-4</v>
      </c>
      <c r="BC256" s="87">
        <v>2.1230827524967345E-4</v>
      </c>
      <c r="BD256" s="87">
        <v>1.1419321211178541E-4</v>
      </c>
      <c r="BE256" s="87">
        <v>1.0860012189636045E-4</v>
      </c>
      <c r="BF256" s="87">
        <v>1.4219438988333604E-4</v>
      </c>
      <c r="BG256" s="87">
        <v>2.112882417103816E-4</v>
      </c>
      <c r="BH256" s="87">
        <v>2.6815007185674011E-4</v>
      </c>
      <c r="BI256" s="87">
        <v>2.5284575872494449E-4</v>
      </c>
      <c r="BJ256" s="87">
        <v>2.609802504312987E-4</v>
      </c>
      <c r="BK256" s="87">
        <v>1.3451985226713118E-4</v>
      </c>
      <c r="BL256" s="87">
        <v>1.7157386053261864E-4</v>
      </c>
      <c r="BM256" s="87">
        <v>6.9659439377902814E-5</v>
      </c>
      <c r="BN256" s="87">
        <v>1.6984412086244348E-4</v>
      </c>
      <c r="BO256" s="87">
        <v>2.2939505551000238E-4</v>
      </c>
      <c r="BP256" s="87">
        <v>3.2404092031787437E-4</v>
      </c>
      <c r="BQ256" s="87">
        <v>1.7170621151445283E-4</v>
      </c>
      <c r="BR256" s="87">
        <v>1.6510796262981278E-4</v>
      </c>
      <c r="BS256" s="87">
        <v>4.7119095277537217E-5</v>
      </c>
    </row>
    <row r="257" spans="2:71" x14ac:dyDescent="0.35">
      <c r="B257" s="87">
        <v>5.5999127464885206E-3</v>
      </c>
      <c r="C257" s="87">
        <v>1.347190089861912E-3</v>
      </c>
      <c r="D257" s="87">
        <v>2.8547040196146654E-3</v>
      </c>
      <c r="E257" s="87">
        <v>1.5322239915518654E-3</v>
      </c>
      <c r="F257" s="87">
        <v>1.6450680032218464E-3</v>
      </c>
      <c r="G257" s="87">
        <v>1.986024882193676E-3</v>
      </c>
      <c r="H257" s="87">
        <v>1.5546918777548013E-3</v>
      </c>
      <c r="I257" s="87">
        <v>1.2387973312969218E-3</v>
      </c>
      <c r="J257" s="87">
        <v>1.7271485091037043E-3</v>
      </c>
      <c r="K257" s="87">
        <v>1.5393406391029487E-3</v>
      </c>
      <c r="L257" s="87">
        <v>1.2111141827221151E-3</v>
      </c>
      <c r="M257" s="87">
        <v>1.1511480869378548E-3</v>
      </c>
      <c r="N257" s="87">
        <v>1.3160666335279164E-3</v>
      </c>
      <c r="O257" s="87">
        <v>1.1476104419807099E-3</v>
      </c>
      <c r="P257" s="87">
        <v>1.4809243890672175E-3</v>
      </c>
      <c r="Q257" s="87">
        <v>1.5963959726701326E-3</v>
      </c>
      <c r="R257" s="87">
        <v>1.1805236404744655E-3</v>
      </c>
      <c r="S257" s="87">
        <v>1.2547809086783034E-3</v>
      </c>
      <c r="T257" s="87">
        <v>1.4929950501230262E-3</v>
      </c>
      <c r="U257" s="87">
        <v>1.4529340109410514E-3</v>
      </c>
      <c r="V257" s="87">
        <v>1.4529218295637485E-3</v>
      </c>
      <c r="W257" s="87">
        <v>2.215167670190042E-3</v>
      </c>
      <c r="X257" s="87">
        <v>1.2212145793860077E-3</v>
      </c>
      <c r="Y257" s="87">
        <v>9.9944436507478675E-4</v>
      </c>
      <c r="Z257" s="87">
        <v>1.2692828013466256E-3</v>
      </c>
      <c r="AA257" s="87">
        <v>1.3031315167048687E-3</v>
      </c>
      <c r="AB257" s="87">
        <v>1.4903032755225732E-3</v>
      </c>
      <c r="AC257" s="87">
        <v>2.0973693077106438E-3</v>
      </c>
      <c r="AD257" s="87">
        <v>4.6877040107926407E-4</v>
      </c>
      <c r="AE257" s="87">
        <v>1.4979740093334455E-3</v>
      </c>
      <c r="AF257" s="87">
        <v>2.5288214747410252E-3</v>
      </c>
      <c r="AG257" s="87">
        <v>1.7123626612519747E-3</v>
      </c>
      <c r="AH257" s="87">
        <v>1.0728616290012605</v>
      </c>
      <c r="AI257" s="87">
        <v>3.0357055986785899E-3</v>
      </c>
      <c r="AJ257" s="87">
        <v>0</v>
      </c>
      <c r="AK257" s="87">
        <v>5.5866962080643352E-5</v>
      </c>
      <c r="AL257" s="87">
        <v>3.2868003842556181E-5</v>
      </c>
      <c r="AM257" s="87">
        <v>9.5097222010943281E-5</v>
      </c>
      <c r="AN257" s="87">
        <v>1.1537930468311914E-4</v>
      </c>
      <c r="AO257" s="87">
        <v>1.1258731724131121E-4</v>
      </c>
      <c r="AP257" s="87">
        <v>1.1353508851394692E-4</v>
      </c>
      <c r="AQ257" s="87">
        <v>9.8090013249283524E-5</v>
      </c>
      <c r="AR257" s="87">
        <v>4.9422034586516182E-5</v>
      </c>
      <c r="AS257" s="87">
        <v>1.1510186125732417E-4</v>
      </c>
      <c r="AT257" s="87">
        <v>1.340100142345116E-4</v>
      </c>
      <c r="AU257" s="87">
        <v>8.7406093771015553E-5</v>
      </c>
      <c r="AV257" s="87">
        <v>8.5092438300007458E-5</v>
      </c>
      <c r="AW257" s="87">
        <v>1.1243004185406155E-4</v>
      </c>
      <c r="AX257" s="87">
        <v>1.1278799675574195E-4</v>
      </c>
      <c r="AY257" s="87">
        <v>1.4069032821367191E-4</v>
      </c>
      <c r="AZ257" s="87">
        <v>1.024377964012108E-4</v>
      </c>
      <c r="BA257" s="87">
        <v>5.4119383292845279E-5</v>
      </c>
      <c r="BB257" s="87">
        <v>8.2156750880553432E-5</v>
      </c>
      <c r="BC257" s="87">
        <v>5.9721655028538259E-5</v>
      </c>
      <c r="BD257" s="87">
        <v>3.2797591799288114E-5</v>
      </c>
      <c r="BE257" s="87">
        <v>3.0365997848120784E-5</v>
      </c>
      <c r="BF257" s="87">
        <v>5.2170733713370913E-5</v>
      </c>
      <c r="BG257" s="87">
        <v>6.1085702923310042E-5</v>
      </c>
      <c r="BH257" s="87">
        <v>9.3855087412054769E-5</v>
      </c>
      <c r="BI257" s="87">
        <v>7.5460495240197077E-5</v>
      </c>
      <c r="BJ257" s="87">
        <v>7.7777721376915692E-5</v>
      </c>
      <c r="BK257" s="87">
        <v>3.9844585698958056E-5</v>
      </c>
      <c r="BL257" s="87">
        <v>4.3016517142038979E-5</v>
      </c>
      <c r="BM257" s="87">
        <v>2.1037621079798965E-5</v>
      </c>
      <c r="BN257" s="87">
        <v>4.2683090427220431E-5</v>
      </c>
      <c r="BO257" s="87">
        <v>7.253500881122601E-5</v>
      </c>
      <c r="BP257" s="87">
        <v>5.092919221731284E-5</v>
      </c>
      <c r="BQ257" s="87">
        <v>7.9304302541849549E-5</v>
      </c>
      <c r="BR257" s="87">
        <v>5.2455870416660255E-5</v>
      </c>
      <c r="BS257" s="87">
        <v>7.7528096477687913E-6</v>
      </c>
    </row>
    <row r="258" spans="2:71" x14ac:dyDescent="0.35">
      <c r="B258" s="87">
        <v>1.0283169337042946E-2</v>
      </c>
      <c r="C258" s="87">
        <v>1.5565198525111927E-2</v>
      </c>
      <c r="D258" s="87">
        <v>1.7867547472539061E-2</v>
      </c>
      <c r="E258" s="87">
        <v>1.7337975086059613E-2</v>
      </c>
      <c r="F258" s="87">
        <v>1.9831474547570026E-2</v>
      </c>
      <c r="G258" s="87">
        <v>1.549304108853432E-2</v>
      </c>
      <c r="H258" s="87">
        <v>3.843798942000793E-2</v>
      </c>
      <c r="I258" s="87">
        <v>1.4363552504058959E-2</v>
      </c>
      <c r="J258" s="87">
        <v>2.0871648780760834E-2</v>
      </c>
      <c r="K258" s="87">
        <v>1.5460760284479257E-2</v>
      </c>
      <c r="L258" s="87">
        <v>1.5736484241155441E-2</v>
      </c>
      <c r="M258" s="87">
        <v>1.6281146117114245E-2</v>
      </c>
      <c r="N258" s="87">
        <v>1.4353616962750936E-2</v>
      </c>
      <c r="O258" s="87">
        <v>1.2255891104604042E-2</v>
      </c>
      <c r="P258" s="87">
        <v>1.6479108657324559E-2</v>
      </c>
      <c r="Q258" s="87">
        <v>1.7977770998960311E-2</v>
      </c>
      <c r="R258" s="87">
        <v>1.5031408648103059E-2</v>
      </c>
      <c r="S258" s="87">
        <v>1.3701532237525739E-2</v>
      </c>
      <c r="T258" s="87">
        <v>1.5938656685521586E-2</v>
      </c>
      <c r="U258" s="87">
        <v>1.5040030516676147E-2</v>
      </c>
      <c r="V258" s="87">
        <v>2.0991946627255485E-2</v>
      </c>
      <c r="W258" s="87">
        <v>2.179782998389547E-2</v>
      </c>
      <c r="X258" s="87">
        <v>1.3013098939213113E-2</v>
      </c>
      <c r="Y258" s="87">
        <v>1.0683943664464256E-2</v>
      </c>
      <c r="Z258" s="87">
        <v>1.355241317984285E-2</v>
      </c>
      <c r="AA258" s="87">
        <v>1.9520692289530909E-2</v>
      </c>
      <c r="AB258" s="87">
        <v>1.3695471872555702E-2</v>
      </c>
      <c r="AC258" s="87">
        <v>1.3974329239511626E-2</v>
      </c>
      <c r="AD258" s="87">
        <v>9.606139950674936E-3</v>
      </c>
      <c r="AE258" s="87">
        <v>2.7598988022965142E-2</v>
      </c>
      <c r="AF258" s="87">
        <v>2.60312329214934E-2</v>
      </c>
      <c r="AG258" s="87">
        <v>9.880984144241621E-3</v>
      </c>
      <c r="AH258" s="87">
        <v>1.8870120151069997E-2</v>
      </c>
      <c r="AI258" s="87">
        <v>1.1355426130778927</v>
      </c>
      <c r="AJ258" s="87">
        <v>0</v>
      </c>
      <c r="AK258" s="87">
        <v>4.985635539000796E-4</v>
      </c>
      <c r="AL258" s="87">
        <v>4.0661229783845956E-4</v>
      </c>
      <c r="AM258" s="87">
        <v>8.6674299873778615E-4</v>
      </c>
      <c r="AN258" s="87">
        <v>1.2530131431403803E-3</v>
      </c>
      <c r="AO258" s="87">
        <v>1.2024539498857768E-3</v>
      </c>
      <c r="AP258" s="87">
        <v>9.9986474167798167E-4</v>
      </c>
      <c r="AQ258" s="87">
        <v>1.4804556314916785E-3</v>
      </c>
      <c r="AR258" s="87">
        <v>5.8305080472030916E-4</v>
      </c>
      <c r="AS258" s="87">
        <v>1.3165423660765345E-3</v>
      </c>
      <c r="AT258" s="87">
        <v>1.5243976211957748E-3</v>
      </c>
      <c r="AU258" s="87">
        <v>1.0514603259959275E-3</v>
      </c>
      <c r="AV258" s="87">
        <v>1.0315871317240497E-3</v>
      </c>
      <c r="AW258" s="87">
        <v>1.2533221098376024E-3</v>
      </c>
      <c r="AX258" s="87">
        <v>1.1830872861544332E-3</v>
      </c>
      <c r="AY258" s="87">
        <v>1.5637314547792434E-3</v>
      </c>
      <c r="AZ258" s="87">
        <v>1.1499315440601208E-3</v>
      </c>
      <c r="BA258" s="87">
        <v>5.7896583952844576E-4</v>
      </c>
      <c r="BB258" s="87">
        <v>9.7489495079869262E-4</v>
      </c>
      <c r="BC258" s="87">
        <v>6.729448496289917E-4</v>
      </c>
      <c r="BD258" s="87">
        <v>4.4787652440241867E-4</v>
      </c>
      <c r="BE258" s="87">
        <v>4.1797286799100726E-4</v>
      </c>
      <c r="BF258" s="87">
        <v>6.1743834085610104E-4</v>
      </c>
      <c r="BG258" s="87">
        <v>8.5203411378632357E-4</v>
      </c>
      <c r="BH258" s="87">
        <v>1.0654429479533692E-3</v>
      </c>
      <c r="BI258" s="87">
        <v>9.174039328546116E-4</v>
      </c>
      <c r="BJ258" s="87">
        <v>8.953612411945124E-4</v>
      </c>
      <c r="BK258" s="87">
        <v>5.6558379971943492E-4</v>
      </c>
      <c r="BL258" s="87">
        <v>6.0772249734204482E-4</v>
      </c>
      <c r="BM258" s="87">
        <v>2.9284640058509432E-4</v>
      </c>
      <c r="BN258" s="87">
        <v>6.5745126359794195E-4</v>
      </c>
      <c r="BO258" s="87">
        <v>6.393554943168562E-4</v>
      </c>
      <c r="BP258" s="87">
        <v>5.384363973131637E-4</v>
      </c>
      <c r="BQ258" s="87">
        <v>6.6048490781613132E-4</v>
      </c>
      <c r="BR258" s="87">
        <v>1.1337745328776768E-3</v>
      </c>
      <c r="BS258" s="87">
        <v>1.0508919494773829E-4</v>
      </c>
    </row>
    <row r="259" spans="2:71" x14ac:dyDescent="0.35">
      <c r="B259" s="87">
        <v>5.6787523451178401E-6</v>
      </c>
      <c r="C259" s="87">
        <v>9.3415125580729408E-6</v>
      </c>
      <c r="D259" s="87">
        <v>1.0285972489402929E-5</v>
      </c>
      <c r="E259" s="87">
        <v>1.1331249000901348E-5</v>
      </c>
      <c r="F259" s="87">
        <v>1.1659998073004899E-5</v>
      </c>
      <c r="G259" s="87">
        <v>9.9813210388522387E-6</v>
      </c>
      <c r="H259" s="87">
        <v>1.170969822137735E-5</v>
      </c>
      <c r="I259" s="87">
        <v>7.5902214138610846E-6</v>
      </c>
      <c r="J259" s="87">
        <v>9.4824907572924513E-6</v>
      </c>
      <c r="K259" s="87">
        <v>9.6781612662208086E-6</v>
      </c>
      <c r="L259" s="87">
        <v>9.8104760383974042E-6</v>
      </c>
      <c r="M259" s="87">
        <v>1.026614888194086E-5</v>
      </c>
      <c r="N259" s="87">
        <v>1.0886931886165484E-5</v>
      </c>
      <c r="O259" s="87">
        <v>9.0943436768034751E-6</v>
      </c>
      <c r="P259" s="87">
        <v>1.2225711085527314E-5</v>
      </c>
      <c r="Q259" s="87">
        <v>1.2129843623977942E-5</v>
      </c>
      <c r="R259" s="87">
        <v>7.1630931478319506E-6</v>
      </c>
      <c r="S259" s="87">
        <v>1.6587580049155381E-5</v>
      </c>
      <c r="T259" s="87">
        <v>1.6885216725402702E-5</v>
      </c>
      <c r="U259" s="87">
        <v>1.5948599940421005E-5</v>
      </c>
      <c r="V259" s="87">
        <v>2.9015900536329388E-5</v>
      </c>
      <c r="W259" s="87">
        <v>1.8810249150162755E-5</v>
      </c>
      <c r="X259" s="87">
        <v>1.0743395841616731E-5</v>
      </c>
      <c r="Y259" s="87">
        <v>6.6798434707089491E-6</v>
      </c>
      <c r="Z259" s="87">
        <v>8.63557343189354E-6</v>
      </c>
      <c r="AA259" s="87">
        <v>1.3440120186009973E-5</v>
      </c>
      <c r="AB259" s="87">
        <v>9.6724812582576087E-6</v>
      </c>
      <c r="AC259" s="87">
        <v>1.3724503849264661E-5</v>
      </c>
      <c r="AD259" s="87">
        <v>3.5046320006384442E-4</v>
      </c>
      <c r="AE259" s="87">
        <v>1.1843313363009132E-5</v>
      </c>
      <c r="AF259" s="87">
        <v>1.0226023634902175E-5</v>
      </c>
      <c r="AG259" s="87">
        <v>9.6972156495614765E-6</v>
      </c>
      <c r="AH259" s="87">
        <v>9.6490284897011872E-6</v>
      </c>
      <c r="AI259" s="87">
        <v>1.2842699072383784E-5</v>
      </c>
      <c r="AJ259" s="87">
        <v>1</v>
      </c>
      <c r="AK259" s="87">
        <v>2.5817858541497447E-7</v>
      </c>
      <c r="AL259" s="87">
        <v>2.3264399456877326E-7</v>
      </c>
      <c r="AM259" s="87">
        <v>4.3587031582404276E-7</v>
      </c>
      <c r="AN259" s="87">
        <v>6.6152240280644502E-7</v>
      </c>
      <c r="AO259" s="87">
        <v>6.2724089596132756E-7</v>
      </c>
      <c r="AP259" s="87">
        <v>5.1219914790527718E-7</v>
      </c>
      <c r="AQ259" s="87">
        <v>5.8584912687024734E-7</v>
      </c>
      <c r="AR259" s="87">
        <v>3.2905226374173225E-7</v>
      </c>
      <c r="AS259" s="87">
        <v>6.3036664017232858E-7</v>
      </c>
      <c r="AT259" s="87">
        <v>7.5766383543088064E-7</v>
      </c>
      <c r="AU259" s="87">
        <v>5.5157578363452961E-7</v>
      </c>
      <c r="AV259" s="87">
        <v>5.8520168087413555E-7</v>
      </c>
      <c r="AW259" s="87">
        <v>7.4410027217436547E-7</v>
      </c>
      <c r="AX259" s="87">
        <v>6.9349594362603634E-7</v>
      </c>
      <c r="AY259" s="87">
        <v>9.6017822474194382E-7</v>
      </c>
      <c r="AZ259" s="87">
        <v>6.3614153837626151E-7</v>
      </c>
      <c r="BA259" s="87">
        <v>3.2224583370882882E-7</v>
      </c>
      <c r="BB259" s="87">
        <v>5.4101058898948267E-7</v>
      </c>
      <c r="BC259" s="87">
        <v>3.9713842953705127E-7</v>
      </c>
      <c r="BD259" s="87">
        <v>2.1247468494341176E-7</v>
      </c>
      <c r="BE259" s="87">
        <v>2.0721878109020366E-7</v>
      </c>
      <c r="BF259" s="87">
        <v>2.8240237487138988E-7</v>
      </c>
      <c r="BG259" s="87">
        <v>4.1408530382053546E-7</v>
      </c>
      <c r="BH259" s="87">
        <v>6.4552136223154862E-7</v>
      </c>
      <c r="BI259" s="87">
        <v>5.0396433720385826E-7</v>
      </c>
      <c r="BJ259" s="87">
        <v>4.9513157273151332E-7</v>
      </c>
      <c r="BK259" s="87">
        <v>2.3862065458841287E-7</v>
      </c>
      <c r="BL259" s="87">
        <v>2.6718475604396607E-7</v>
      </c>
      <c r="BM259" s="87">
        <v>1.3965268415028681E-7</v>
      </c>
      <c r="BN259" s="87">
        <v>2.584370644765073E-7</v>
      </c>
      <c r="BO259" s="87">
        <v>2.9027211584362275E-7</v>
      </c>
      <c r="BP259" s="87">
        <v>2.4816927707580882E-7</v>
      </c>
      <c r="BQ259" s="87">
        <v>3.0725652384899796E-7</v>
      </c>
      <c r="BR259" s="87">
        <v>3.0491893247269282E-7</v>
      </c>
      <c r="BS259" s="87">
        <v>4.6823331792762552E-8</v>
      </c>
    </row>
    <row r="260" spans="2:71" x14ac:dyDescent="0.35">
      <c r="B260" s="87">
        <v>1.1903437850975441E-2</v>
      </c>
      <c r="C260" s="87">
        <v>1.6726322601683984E-3</v>
      </c>
      <c r="D260" s="87">
        <v>2.6596230175082957E-2</v>
      </c>
      <c r="E260" s="87">
        <v>9.5588169496452335E-3</v>
      </c>
      <c r="F260" s="87">
        <v>1.2209974795835715E-2</v>
      </c>
      <c r="G260" s="87">
        <v>1.3633862638354234E-2</v>
      </c>
      <c r="H260" s="87">
        <v>3.5926088813784973E-3</v>
      </c>
      <c r="I260" s="87">
        <v>3.1762939304460659E-3</v>
      </c>
      <c r="J260" s="87">
        <v>3.7114655045068765E-3</v>
      </c>
      <c r="K260" s="87">
        <v>3.969029852403428E-3</v>
      </c>
      <c r="L260" s="87">
        <v>1.9360091676710702E-3</v>
      </c>
      <c r="M260" s="87">
        <v>2.3376472939203694E-3</v>
      </c>
      <c r="N260" s="87">
        <v>2.3659176675620876E-3</v>
      </c>
      <c r="O260" s="87">
        <v>2.8083177014622748E-3</v>
      </c>
      <c r="P260" s="87">
        <v>3.0343588935041639E-3</v>
      </c>
      <c r="Q260" s="87">
        <v>5.94533170616244E-3</v>
      </c>
      <c r="R260" s="87">
        <v>1.528791900646843E-3</v>
      </c>
      <c r="S260" s="87">
        <v>2.3853955327139712E-3</v>
      </c>
      <c r="T260" s="87">
        <v>1.527032281956816E-3</v>
      </c>
      <c r="U260" s="87">
        <v>1.8837352640061606E-3</v>
      </c>
      <c r="V260" s="87">
        <v>2.2118400628074225E-3</v>
      </c>
      <c r="W260" s="87">
        <v>1.039813060017681E-2</v>
      </c>
      <c r="X260" s="87">
        <v>1.448357248617508E-3</v>
      </c>
      <c r="Y260" s="87">
        <v>3.1011170484601166E-3</v>
      </c>
      <c r="Z260" s="87">
        <v>2.7212570289237444E-3</v>
      </c>
      <c r="AA260" s="87">
        <v>2.0916215663850514E-3</v>
      </c>
      <c r="AB260" s="87">
        <v>1.0605314818744177E-3</v>
      </c>
      <c r="AC260" s="87">
        <v>8.5366163884124404E-4</v>
      </c>
      <c r="AD260" s="87">
        <v>5.8258945749568522E-4</v>
      </c>
      <c r="AE260" s="87">
        <v>1.0759997054002022E-3</v>
      </c>
      <c r="AF260" s="87">
        <v>1.6776277984803737E-3</v>
      </c>
      <c r="AG260" s="87">
        <v>9.8037259328244658E-4</v>
      </c>
      <c r="AH260" s="87">
        <v>2.2730884670214774E-3</v>
      </c>
      <c r="AI260" s="87">
        <v>2.0995982235562588E-3</v>
      </c>
      <c r="AJ260" s="87">
        <v>0</v>
      </c>
      <c r="AK260" s="87">
        <v>1.1603807514400577</v>
      </c>
      <c r="AL260" s="87">
        <v>4.1801530940849011E-3</v>
      </c>
      <c r="AM260" s="87">
        <v>0.39419017668448869</v>
      </c>
      <c r="AN260" s="87">
        <v>0.13067393247456907</v>
      </c>
      <c r="AO260" s="87">
        <v>0.18131507861948068</v>
      </c>
      <c r="AP260" s="87">
        <v>0.22468374813453329</v>
      </c>
      <c r="AQ260" s="87">
        <v>4.3021443570499154E-2</v>
      </c>
      <c r="AR260" s="87">
        <v>9.5309552158082504E-3</v>
      </c>
      <c r="AS260" s="87">
        <v>2.8553282941314744E-2</v>
      </c>
      <c r="AT260" s="87">
        <v>3.7740622450897029E-2</v>
      </c>
      <c r="AU260" s="87">
        <v>1.3180673045244916E-2</v>
      </c>
      <c r="AV260" s="87">
        <v>9.8511577277950683E-3</v>
      </c>
      <c r="AW260" s="87">
        <v>1.0241125159037755E-2</v>
      </c>
      <c r="AX260" s="87">
        <v>9.5024108068937369E-3</v>
      </c>
      <c r="AY260" s="87">
        <v>1.1113167042097451E-2</v>
      </c>
      <c r="AZ260" s="87">
        <v>4.7086143702001662E-2</v>
      </c>
      <c r="BA260" s="87">
        <v>4.8711672838409317E-3</v>
      </c>
      <c r="BB260" s="87">
        <v>1.9792669579957456E-2</v>
      </c>
      <c r="BC260" s="87">
        <v>6.5381472675399227E-3</v>
      </c>
      <c r="BD260" s="87">
        <v>7.3351904271234131E-3</v>
      </c>
      <c r="BE260" s="87">
        <v>5.848614483751376E-3</v>
      </c>
      <c r="BF260" s="87">
        <v>0.11704268654468031</v>
      </c>
      <c r="BG260" s="87">
        <v>9.7419035589487221E-3</v>
      </c>
      <c r="BH260" s="87">
        <v>9.2245957226197786E-3</v>
      </c>
      <c r="BI260" s="87">
        <v>1.0978240556168473E-2</v>
      </c>
      <c r="BJ260" s="87">
        <v>2.4373393753570994E-2</v>
      </c>
      <c r="BK260" s="87">
        <v>4.9066563220683413E-3</v>
      </c>
      <c r="BL260" s="87">
        <v>5.2599520364498839E-3</v>
      </c>
      <c r="BM260" s="87">
        <v>2.6994032336460009E-3</v>
      </c>
      <c r="BN260" s="87">
        <v>8.5557019809075346E-3</v>
      </c>
      <c r="BO260" s="87">
        <v>1.0800732682297542E-2</v>
      </c>
      <c r="BP260" s="87">
        <v>1.3257523060166388E-2</v>
      </c>
      <c r="BQ260" s="87">
        <v>1.3286076669521921E-2</v>
      </c>
      <c r="BR260" s="87">
        <v>1.3456455015769902E-2</v>
      </c>
      <c r="BS260" s="87">
        <v>6.9236779077613624E-4</v>
      </c>
    </row>
    <row r="261" spans="2:71" x14ac:dyDescent="0.35">
      <c r="B261" s="87">
        <v>1.4747578732109624E-2</v>
      </c>
      <c r="C261" s="87">
        <v>4.7764862984059964E-2</v>
      </c>
      <c r="D261" s="87">
        <v>1.3238328706609499E-2</v>
      </c>
      <c r="E261" s="87">
        <v>1.4342533755670375E-2</v>
      </c>
      <c r="F261" s="87">
        <v>1.2491164415162423E-2</v>
      </c>
      <c r="G261" s="87">
        <v>1.4204747140720467E-2</v>
      </c>
      <c r="H261" s="87">
        <v>1.2280170476981588E-2</v>
      </c>
      <c r="I261" s="87">
        <v>0.28300256470842139</v>
      </c>
      <c r="J261" s="87">
        <v>2.8015859205181567E-2</v>
      </c>
      <c r="K261" s="87">
        <v>1.8427159243811067E-2</v>
      </c>
      <c r="L261" s="87">
        <v>2.9133648778307111E-2</v>
      </c>
      <c r="M261" s="87">
        <v>3.7490796270482893E-2</v>
      </c>
      <c r="N261" s="87">
        <v>1.7858751229328288E-2</v>
      </c>
      <c r="O261" s="87">
        <v>1.5641773584780805E-2</v>
      </c>
      <c r="P261" s="87">
        <v>1.8176789611299708E-2</v>
      </c>
      <c r="Q261" s="87">
        <v>1.9323553051953702E-2</v>
      </c>
      <c r="R261" s="87">
        <v>8.4160107166438486E-2</v>
      </c>
      <c r="S261" s="87">
        <v>1.5412012104070588E-2</v>
      </c>
      <c r="T261" s="87">
        <v>8.8450301255637367E-3</v>
      </c>
      <c r="U261" s="87">
        <v>9.0977365182483682E-3</v>
      </c>
      <c r="V261" s="87">
        <v>7.1220631458993634E-3</v>
      </c>
      <c r="W261" s="87">
        <v>8.2955550191698545E-3</v>
      </c>
      <c r="X261" s="87">
        <v>2.2261390955074935E-2</v>
      </c>
      <c r="Y261" s="87">
        <v>1.8838819280155888E-2</v>
      </c>
      <c r="Z261" s="87">
        <v>2.8839712535588594E-2</v>
      </c>
      <c r="AA261" s="87">
        <v>1.1946823767859415E-2</v>
      </c>
      <c r="AB261" s="87">
        <v>5.8641951326407907E-3</v>
      </c>
      <c r="AC261" s="87">
        <v>3.6947437221145729E-3</v>
      </c>
      <c r="AD261" s="87">
        <v>2.8942830243294279E-3</v>
      </c>
      <c r="AE261" s="87">
        <v>5.0647179265632331E-3</v>
      </c>
      <c r="AF261" s="87">
        <v>6.9131291930384364E-3</v>
      </c>
      <c r="AG261" s="87">
        <v>4.1670681495500558E-3</v>
      </c>
      <c r="AH261" s="87">
        <v>6.5920260751553029E-3</v>
      </c>
      <c r="AI261" s="87">
        <v>7.6237432875130391E-3</v>
      </c>
      <c r="AJ261" s="87">
        <v>0</v>
      </c>
      <c r="AK261" s="87">
        <v>2.365903293922152E-2</v>
      </c>
      <c r="AL261" s="87">
        <v>1.1259566712820712</v>
      </c>
      <c r="AM261" s="87">
        <v>3.0548809451264161E-2</v>
      </c>
      <c r="AN261" s="87">
        <v>4.4852984564304352E-2</v>
      </c>
      <c r="AO261" s="87">
        <v>3.7891450763083603E-2</v>
      </c>
      <c r="AP261" s="87">
        <v>4.393344651236171E-2</v>
      </c>
      <c r="AQ261" s="87">
        <v>3.9650242185914029E-2</v>
      </c>
      <c r="AR261" s="87">
        <v>0.54372898166856098</v>
      </c>
      <c r="AS261" s="87">
        <v>0.11776248305228298</v>
      </c>
      <c r="AT261" s="87">
        <v>6.5819969229526265E-2</v>
      </c>
      <c r="AU261" s="87">
        <v>0.15943227726342912</v>
      </c>
      <c r="AV261" s="87">
        <v>0.16139695726108372</v>
      </c>
      <c r="AW261" s="87">
        <v>5.9869545542059206E-2</v>
      </c>
      <c r="AX261" s="87">
        <v>4.0960117745515924E-2</v>
      </c>
      <c r="AY261" s="87">
        <v>4.6686446467869402E-2</v>
      </c>
      <c r="AZ261" s="87">
        <v>4.1822993475471533E-2</v>
      </c>
      <c r="BA261" s="87">
        <v>0.17793406933792988</v>
      </c>
      <c r="BB261" s="87">
        <v>8.7924374765651805E-2</v>
      </c>
      <c r="BC261" s="87">
        <v>2.0301646320163302E-2</v>
      </c>
      <c r="BD261" s="87">
        <v>9.3930698507597686E-3</v>
      </c>
      <c r="BE261" s="87">
        <v>1.125356753041303E-2</v>
      </c>
      <c r="BF261" s="87">
        <v>2.3761394732799174E-2</v>
      </c>
      <c r="BG261" s="87">
        <v>5.7579597752956214E-2</v>
      </c>
      <c r="BH261" s="87">
        <v>7.5653854140947954E-2</v>
      </c>
      <c r="BI261" s="87">
        <v>7.8951117348389679E-2</v>
      </c>
      <c r="BJ261" s="87">
        <v>4.8722347158280388E-2</v>
      </c>
      <c r="BK261" s="87">
        <v>1.27153576225715E-2</v>
      </c>
      <c r="BL261" s="87">
        <v>8.278149928448034E-3</v>
      </c>
      <c r="BM261" s="87">
        <v>1.0645710923953888E-2</v>
      </c>
      <c r="BN261" s="87">
        <v>1.5233753627420427E-2</v>
      </c>
      <c r="BO261" s="87">
        <v>2.3985402171156932E-2</v>
      </c>
      <c r="BP261" s="87">
        <v>1.8123398877770699E-2</v>
      </c>
      <c r="BQ261" s="87">
        <v>2.3432206021621143E-2</v>
      </c>
      <c r="BR261" s="87">
        <v>2.2610969626355736E-2</v>
      </c>
      <c r="BS261" s="87">
        <v>1.2999098200866274E-3</v>
      </c>
    </row>
    <row r="262" spans="2:71" x14ac:dyDescent="0.35">
      <c r="B262" s="87">
        <v>8.0041436425559356E-3</v>
      </c>
      <c r="C262" s="87">
        <v>1.5754954309603153E-3</v>
      </c>
      <c r="D262" s="87">
        <v>1.6869592934202402E-2</v>
      </c>
      <c r="E262" s="87">
        <v>4.0171199706485004E-3</v>
      </c>
      <c r="F262" s="87">
        <v>1.3135252928636451E-2</v>
      </c>
      <c r="G262" s="87">
        <v>3.7356164661292339E-3</v>
      </c>
      <c r="H262" s="87">
        <v>2.286078205855354E-3</v>
      </c>
      <c r="I262" s="87">
        <v>3.1596624503144343E-3</v>
      </c>
      <c r="J262" s="87">
        <v>4.1933404961110926E-3</v>
      </c>
      <c r="K262" s="87">
        <v>3.230861447386075E-3</v>
      </c>
      <c r="L262" s="87">
        <v>1.7137431412311765E-3</v>
      </c>
      <c r="M262" s="87">
        <v>2.2045252552030728E-3</v>
      </c>
      <c r="N262" s="87">
        <v>2.2881905491588138E-3</v>
      </c>
      <c r="O262" s="87">
        <v>2.8206707013721313E-3</v>
      </c>
      <c r="P262" s="87">
        <v>2.7172123159923643E-3</v>
      </c>
      <c r="Q262" s="87">
        <v>3.1049258137173519E-3</v>
      </c>
      <c r="R262" s="87">
        <v>1.3904034614349334E-3</v>
      </c>
      <c r="S262" s="87">
        <v>1.6823615745110803E-3</v>
      </c>
      <c r="T262" s="87">
        <v>1.4772370749351774E-3</v>
      </c>
      <c r="U262" s="87">
        <v>1.7332406280272717E-3</v>
      </c>
      <c r="V262" s="87">
        <v>2.3982779392116194E-3</v>
      </c>
      <c r="W262" s="87">
        <v>1.4549035744647358E-2</v>
      </c>
      <c r="X262" s="87">
        <v>1.4323405622928458E-3</v>
      </c>
      <c r="Y262" s="87">
        <v>2.6608625958207165E-3</v>
      </c>
      <c r="Z262" s="87">
        <v>2.9466424514134658E-3</v>
      </c>
      <c r="AA262" s="87">
        <v>2.3022114295606858E-3</v>
      </c>
      <c r="AB262" s="87">
        <v>1.0900267606746322E-3</v>
      </c>
      <c r="AC262" s="87">
        <v>9.4520789621029965E-4</v>
      </c>
      <c r="AD262" s="87">
        <v>4.4247034023262911E-4</v>
      </c>
      <c r="AE262" s="87">
        <v>1.1297882496608537E-3</v>
      </c>
      <c r="AF262" s="87">
        <v>1.5742043991617068E-3</v>
      </c>
      <c r="AG262" s="87">
        <v>1.0798127653401167E-3</v>
      </c>
      <c r="AH262" s="87">
        <v>2.6693658233703402E-3</v>
      </c>
      <c r="AI262" s="87">
        <v>2.1252647631812608E-3</v>
      </c>
      <c r="AJ262" s="87">
        <v>0</v>
      </c>
      <c r="AK262" s="87">
        <v>9.4633271295791077E-2</v>
      </c>
      <c r="AL262" s="87">
        <v>4.0393567586488226E-3</v>
      </c>
      <c r="AM262" s="87">
        <v>1.2398881960081762</v>
      </c>
      <c r="AN262" s="87">
        <v>3.332049012540117E-2</v>
      </c>
      <c r="AO262" s="87">
        <v>0.20183302815442467</v>
      </c>
      <c r="AP262" s="87">
        <v>3.0323237707954698E-2</v>
      </c>
      <c r="AQ262" s="87">
        <v>1.6175863844972264E-2</v>
      </c>
      <c r="AR262" s="87">
        <v>7.4149191243994645E-3</v>
      </c>
      <c r="AS262" s="87">
        <v>2.7516442416885497E-2</v>
      </c>
      <c r="AT262" s="87">
        <v>2.1120461369216074E-2</v>
      </c>
      <c r="AU262" s="87">
        <v>1.2720545836232815E-2</v>
      </c>
      <c r="AV262" s="87">
        <v>1.1197051396312992E-2</v>
      </c>
      <c r="AW262" s="87">
        <v>1.1395446433711666E-2</v>
      </c>
      <c r="AX262" s="87">
        <v>1.0425656393484676E-2</v>
      </c>
      <c r="AY262" s="87">
        <v>1.1050124523954208E-2</v>
      </c>
      <c r="AZ262" s="87">
        <v>1.5528941814078184E-2</v>
      </c>
      <c r="BA262" s="87">
        <v>5.6896266583671799E-3</v>
      </c>
      <c r="BB262" s="87">
        <v>1.1183823086344824E-2</v>
      </c>
      <c r="BC262" s="87">
        <v>5.9045648223756981E-3</v>
      </c>
      <c r="BD262" s="87">
        <v>8.8001106646833065E-3</v>
      </c>
      <c r="BE262" s="87">
        <v>5.8699750324559307E-3</v>
      </c>
      <c r="BF262" s="87">
        <v>0.19116201578263675</v>
      </c>
      <c r="BG262" s="87">
        <v>8.681443408653405E-3</v>
      </c>
      <c r="BH262" s="87">
        <v>1.316966906809996E-2</v>
      </c>
      <c r="BI262" s="87">
        <v>1.5344279681519466E-2</v>
      </c>
      <c r="BJ262" s="87">
        <v>1.2894737037060816E-2</v>
      </c>
      <c r="BK262" s="87">
        <v>6.2070450904807796E-3</v>
      </c>
      <c r="BL262" s="87">
        <v>6.4586424697736858E-3</v>
      </c>
      <c r="BM262" s="87">
        <v>2.5225054125630596E-3</v>
      </c>
      <c r="BN262" s="87">
        <v>9.480432852947052E-3</v>
      </c>
      <c r="BO262" s="87">
        <v>1.4907153926732981E-2</v>
      </c>
      <c r="BP262" s="87">
        <v>1.6382109856422751E-2</v>
      </c>
      <c r="BQ262" s="87">
        <v>1.9189325030193098E-2</v>
      </c>
      <c r="BR262" s="87">
        <v>1.6794730161622494E-2</v>
      </c>
      <c r="BS262" s="87">
        <v>5.7428081183849285E-4</v>
      </c>
    </row>
    <row r="263" spans="2:71" x14ac:dyDescent="0.35">
      <c r="B263" s="87">
        <v>1.8084202529061195E-3</v>
      </c>
      <c r="C263" s="87">
        <v>1.8587834129518473E-3</v>
      </c>
      <c r="D263" s="87">
        <v>2.0515909593529784E-3</v>
      </c>
      <c r="E263" s="87">
        <v>8.6612948161260903E-2</v>
      </c>
      <c r="F263" s="87">
        <v>2.2902065200378442E-2</v>
      </c>
      <c r="G263" s="87">
        <v>2.2666152402480363E-3</v>
      </c>
      <c r="H263" s="87">
        <v>2.9004677284587949E-3</v>
      </c>
      <c r="I263" s="87">
        <v>3.0950075760513519E-3</v>
      </c>
      <c r="J263" s="87">
        <v>3.2501532270976775E-3</v>
      </c>
      <c r="K263" s="87">
        <v>6.290748127419016E-3</v>
      </c>
      <c r="L263" s="87">
        <v>2.2748235277637069E-3</v>
      </c>
      <c r="M263" s="87">
        <v>2.9050401109432396E-3</v>
      </c>
      <c r="N263" s="87">
        <v>3.1192930621227717E-3</v>
      </c>
      <c r="O263" s="87">
        <v>3.7704511102309882E-3</v>
      </c>
      <c r="P263" s="87">
        <v>5.8028301707011998E-3</v>
      </c>
      <c r="Q263" s="87">
        <v>1.1599086278989288E-2</v>
      </c>
      <c r="R263" s="87">
        <v>1.4435186830840329E-3</v>
      </c>
      <c r="S263" s="87">
        <v>2.3364279044068076E-3</v>
      </c>
      <c r="T263" s="87">
        <v>1.8817826432124415E-3</v>
      </c>
      <c r="U263" s="87">
        <v>1.7162694069045364E-3</v>
      </c>
      <c r="V263" s="87">
        <v>1.854624189206949E-3</v>
      </c>
      <c r="W263" s="87">
        <v>2.1584571920688113E-3</v>
      </c>
      <c r="X263" s="87">
        <v>1.4054384287818982E-3</v>
      </c>
      <c r="Y263" s="87">
        <v>1.9202945719568889E-3</v>
      </c>
      <c r="Z263" s="87">
        <v>2.2403989769328322E-3</v>
      </c>
      <c r="AA263" s="87">
        <v>1.4051335797385257E-3</v>
      </c>
      <c r="AB263" s="87">
        <v>1.201801466106589E-3</v>
      </c>
      <c r="AC263" s="87">
        <v>7.0533930030020401E-4</v>
      </c>
      <c r="AD263" s="87">
        <v>4.7212277063420261E-4</v>
      </c>
      <c r="AE263" s="87">
        <v>9.8330470124432644E-4</v>
      </c>
      <c r="AF263" s="87">
        <v>1.6550927060226196E-3</v>
      </c>
      <c r="AG263" s="87">
        <v>7.3708614320801258E-4</v>
      </c>
      <c r="AH263" s="87">
        <v>2.3460456499486337E-3</v>
      </c>
      <c r="AI263" s="87">
        <v>2.1947116365101053E-3</v>
      </c>
      <c r="AJ263" s="87">
        <v>0</v>
      </c>
      <c r="AK263" s="87">
        <v>6.2168052259260467E-3</v>
      </c>
      <c r="AL263" s="87">
        <v>4.2135721843314109E-3</v>
      </c>
      <c r="AM263" s="87">
        <v>1.0186570402945697E-2</v>
      </c>
      <c r="AN263" s="87">
        <v>1.7178952251244026</v>
      </c>
      <c r="AO263" s="87">
        <v>0.17189879989359855</v>
      </c>
      <c r="AP263" s="87">
        <v>1.6127001200305736E-2</v>
      </c>
      <c r="AQ263" s="87">
        <v>2.5046887249745273E-2</v>
      </c>
      <c r="AR263" s="87">
        <v>5.6593253173653291E-3</v>
      </c>
      <c r="AS263" s="87">
        <v>1.5267875052778124E-2</v>
      </c>
      <c r="AT263" s="87">
        <v>4.7764536188815127E-2</v>
      </c>
      <c r="AU263" s="87">
        <v>1.8137333697163183E-2</v>
      </c>
      <c r="AV263" s="87">
        <v>1.3587422411200029E-2</v>
      </c>
      <c r="AW263" s="87">
        <v>1.543874110047844E-2</v>
      </c>
      <c r="AX263" s="87">
        <v>1.3411229402985107E-2</v>
      </c>
      <c r="AY263" s="87">
        <v>1.9875449515556892E-2</v>
      </c>
      <c r="AZ263" s="87">
        <v>6.1429147084625331E-2</v>
      </c>
      <c r="BA263" s="87">
        <v>6.2589935504500926E-3</v>
      </c>
      <c r="BB263" s="87">
        <v>1.3033404071524167E-2</v>
      </c>
      <c r="BC263" s="87">
        <v>7.8567034830442015E-3</v>
      </c>
      <c r="BD263" s="87">
        <v>7.2273684963312917E-3</v>
      </c>
      <c r="BE263" s="87">
        <v>6.6595624086773202E-3</v>
      </c>
      <c r="BF263" s="87">
        <v>9.3636348960177782E-3</v>
      </c>
      <c r="BG263" s="87">
        <v>9.4586852962519063E-3</v>
      </c>
      <c r="BH263" s="87">
        <v>1.3787764622029795E-2</v>
      </c>
      <c r="BI263" s="87">
        <v>1.1335034572465295E-2</v>
      </c>
      <c r="BJ263" s="87">
        <v>1.0547394153084751E-2</v>
      </c>
      <c r="BK263" s="87">
        <v>4.0239739257596973E-3</v>
      </c>
      <c r="BL263" s="87">
        <v>3.6281937076656245E-3</v>
      </c>
      <c r="BM263" s="87">
        <v>2.4004528678588793E-3</v>
      </c>
      <c r="BN263" s="87">
        <v>7.5792383441624272E-3</v>
      </c>
      <c r="BO263" s="87">
        <v>8.9403259875457004E-3</v>
      </c>
      <c r="BP263" s="87">
        <v>5.5317083692853547E-3</v>
      </c>
      <c r="BQ263" s="87">
        <v>1.0551651029170873E-2</v>
      </c>
      <c r="BR263" s="87">
        <v>1.3224610642185724E-2</v>
      </c>
      <c r="BS263" s="87">
        <v>9.7142766399471443E-4</v>
      </c>
    </row>
    <row r="264" spans="2:71" x14ac:dyDescent="0.35">
      <c r="B264" s="87">
        <v>2.2895639888276229E-4</v>
      </c>
      <c r="C264" s="87">
        <v>2.3274099335561879E-4</v>
      </c>
      <c r="D264" s="87">
        <v>2.6369333619789609E-4</v>
      </c>
      <c r="E264" s="87">
        <v>3.2230701722773683E-3</v>
      </c>
      <c r="F264" s="87">
        <v>4.2599211341434941E-2</v>
      </c>
      <c r="G264" s="87">
        <v>3.1548615236592876E-4</v>
      </c>
      <c r="H264" s="87">
        <v>2.7832468186805788E-4</v>
      </c>
      <c r="I264" s="87">
        <v>3.3776950126326427E-4</v>
      </c>
      <c r="J264" s="87">
        <v>2.9706093948526143E-4</v>
      </c>
      <c r="K264" s="87">
        <v>4.6150783156913153E-4</v>
      </c>
      <c r="L264" s="87">
        <v>2.5467236026132886E-4</v>
      </c>
      <c r="M264" s="87">
        <v>3.7105888866521348E-4</v>
      </c>
      <c r="N264" s="87">
        <v>3.8145270115152221E-4</v>
      </c>
      <c r="O264" s="87">
        <v>4.7498523415185679E-4</v>
      </c>
      <c r="P264" s="87">
        <v>9.7216773174593144E-4</v>
      </c>
      <c r="Q264" s="87">
        <v>2.545255581308923E-3</v>
      </c>
      <c r="R264" s="87">
        <v>1.658101956452691E-4</v>
      </c>
      <c r="S264" s="87">
        <v>2.7223324472044766E-4</v>
      </c>
      <c r="T264" s="87">
        <v>6.9580857913567411E-4</v>
      </c>
      <c r="U264" s="87">
        <v>3.2562428037200182E-4</v>
      </c>
      <c r="V264" s="87">
        <v>2.8492237702830344E-4</v>
      </c>
      <c r="W264" s="87">
        <v>2.8590633543887085E-4</v>
      </c>
      <c r="X264" s="87">
        <v>2.1583569089066875E-4</v>
      </c>
      <c r="Y264" s="87">
        <v>2.5157517918980511E-4</v>
      </c>
      <c r="Z264" s="87">
        <v>4.2200098280533696E-4</v>
      </c>
      <c r="AA264" s="87">
        <v>1.9181018439393951E-4</v>
      </c>
      <c r="AB264" s="87">
        <v>1.6200956613587493E-4</v>
      </c>
      <c r="AC264" s="87">
        <v>9.4408187547823593E-5</v>
      </c>
      <c r="AD264" s="87">
        <v>5.2291026886717697E-5</v>
      </c>
      <c r="AE264" s="87">
        <v>1.2843346237925769E-4</v>
      </c>
      <c r="AF264" s="87">
        <v>2.8963110264226501E-4</v>
      </c>
      <c r="AG264" s="87">
        <v>1.1108364446535681E-4</v>
      </c>
      <c r="AH264" s="87">
        <v>2.4120781743025902E-4</v>
      </c>
      <c r="AI264" s="87">
        <v>3.1990867195828387E-4</v>
      </c>
      <c r="AJ264" s="87">
        <v>0</v>
      </c>
      <c r="AK264" s="87">
        <v>5.6852970565003116E-4</v>
      </c>
      <c r="AL264" s="87">
        <v>3.4640638923944889E-4</v>
      </c>
      <c r="AM264" s="87">
        <v>8.2669816814474482E-4</v>
      </c>
      <c r="AN264" s="87">
        <v>3.5879553249676011E-2</v>
      </c>
      <c r="AO264" s="87">
        <v>1.3366910325867405</v>
      </c>
      <c r="AP264" s="87">
        <v>2.0050815029301139E-3</v>
      </c>
      <c r="AQ264" s="87">
        <v>2.5698324913121275E-3</v>
      </c>
      <c r="AR264" s="87">
        <v>4.5307019886821131E-4</v>
      </c>
      <c r="AS264" s="87">
        <v>1.2755601627528134E-3</v>
      </c>
      <c r="AT264" s="87">
        <v>3.949588246572884E-3</v>
      </c>
      <c r="AU264" s="87">
        <v>1.318833572614376E-3</v>
      </c>
      <c r="AV264" s="87">
        <v>9.9848053678010685E-4</v>
      </c>
      <c r="AW264" s="87">
        <v>1.3236868848112463E-3</v>
      </c>
      <c r="AX264" s="87">
        <v>1.5380071571991206E-3</v>
      </c>
      <c r="AY264" s="87">
        <v>7.0238920031487672E-3</v>
      </c>
      <c r="AZ264" s="87">
        <v>1.105112466729114E-2</v>
      </c>
      <c r="BA264" s="87">
        <v>5.2306681650940293E-4</v>
      </c>
      <c r="BB264" s="87">
        <v>9.681070560253062E-4</v>
      </c>
      <c r="BC264" s="87">
        <v>1.0014810637238997E-3</v>
      </c>
      <c r="BD264" s="87">
        <v>4.29169237417738E-4</v>
      </c>
      <c r="BE264" s="87">
        <v>4.72886774731517E-4</v>
      </c>
      <c r="BF264" s="87">
        <v>5.9210319422679184E-4</v>
      </c>
      <c r="BG264" s="87">
        <v>1.1710419969116028E-3</v>
      </c>
      <c r="BH264" s="87">
        <v>1.0684177724588012E-3</v>
      </c>
      <c r="BI264" s="87">
        <v>1.0964549745473519E-3</v>
      </c>
      <c r="BJ264" s="87">
        <v>1.0176429387856601E-3</v>
      </c>
      <c r="BK264" s="87">
        <v>5.8944658703036646E-4</v>
      </c>
      <c r="BL264" s="87">
        <v>3.1274633494764647E-4</v>
      </c>
      <c r="BM264" s="87">
        <v>1.7766418037242518E-4</v>
      </c>
      <c r="BN264" s="87">
        <v>6.0413505606661522E-4</v>
      </c>
      <c r="BO264" s="87">
        <v>1.4971680681250725E-3</v>
      </c>
      <c r="BP264" s="87">
        <v>5.5469705343658257E-4</v>
      </c>
      <c r="BQ264" s="87">
        <v>9.2005151527833505E-4</v>
      </c>
      <c r="BR264" s="87">
        <v>1.2526827401839983E-3</v>
      </c>
      <c r="BS264" s="87">
        <v>1.0026449346446082E-4</v>
      </c>
    </row>
    <row r="265" spans="2:71" x14ac:dyDescent="0.35">
      <c r="B265" s="87">
        <v>9.5542939903020595E-4</v>
      </c>
      <c r="C265" s="87">
        <v>1.174756124953313E-3</v>
      </c>
      <c r="D265" s="87">
        <v>1.2157578003550711E-3</v>
      </c>
      <c r="E265" s="87">
        <v>1.2973502190531815E-3</v>
      </c>
      <c r="F265" s="87">
        <v>1.4112577431888867E-3</v>
      </c>
      <c r="G265" s="87">
        <v>2.1593457287271099E-2</v>
      </c>
      <c r="H265" s="87">
        <v>2.0065510002267549E-3</v>
      </c>
      <c r="I265" s="87">
        <v>2.0131192650203484E-3</v>
      </c>
      <c r="J265" s="87">
        <v>1.2538375208553472E-3</v>
      </c>
      <c r="K265" s="87">
        <v>1.465382437612745E-3</v>
      </c>
      <c r="L265" s="87">
        <v>1.6745658680333848E-3</v>
      </c>
      <c r="M265" s="87">
        <v>2.2928380324683502E-3</v>
      </c>
      <c r="N265" s="87">
        <v>1.9828447392352517E-3</v>
      </c>
      <c r="O265" s="87">
        <v>2.1954451757621746E-3</v>
      </c>
      <c r="P265" s="87">
        <v>2.5026742458712356E-3</v>
      </c>
      <c r="Q265" s="87">
        <v>1.1745395235320564E-2</v>
      </c>
      <c r="R265" s="87">
        <v>1.0832430126011179E-3</v>
      </c>
      <c r="S265" s="87">
        <v>3.7942363263882015E-3</v>
      </c>
      <c r="T265" s="87">
        <v>8.3680061092789265E-4</v>
      </c>
      <c r="U265" s="87">
        <v>6.8235945665549966E-4</v>
      </c>
      <c r="V265" s="87">
        <v>6.730112303645323E-4</v>
      </c>
      <c r="W265" s="87">
        <v>7.7954726064587056E-4</v>
      </c>
      <c r="X265" s="87">
        <v>7.3145809633675719E-4</v>
      </c>
      <c r="Y265" s="87">
        <v>1.0948458258116746E-3</v>
      </c>
      <c r="Z265" s="87">
        <v>1.2493628767784274E-3</v>
      </c>
      <c r="AA265" s="87">
        <v>9.2153520056909943E-4</v>
      </c>
      <c r="AB265" s="87">
        <v>6.8165669751998643E-4</v>
      </c>
      <c r="AC265" s="87">
        <v>4.1679639376102979E-4</v>
      </c>
      <c r="AD265" s="87">
        <v>5.5590376970504878E-4</v>
      </c>
      <c r="AE265" s="87">
        <v>5.7078068776831897E-4</v>
      </c>
      <c r="AF265" s="87">
        <v>7.7014814812432727E-4</v>
      </c>
      <c r="AG265" s="87">
        <v>4.3065370395021553E-4</v>
      </c>
      <c r="AH265" s="87">
        <v>6.2561222879948131E-4</v>
      </c>
      <c r="AI265" s="87">
        <v>1.0368588024689028E-3</v>
      </c>
      <c r="AJ265" s="87">
        <v>0</v>
      </c>
      <c r="AK265" s="87">
        <v>3.5143712436380278E-3</v>
      </c>
      <c r="AL265" s="87">
        <v>3.9102977216768564E-3</v>
      </c>
      <c r="AM265" s="87">
        <v>6.0515292316809946E-3</v>
      </c>
      <c r="AN265" s="87">
        <v>8.2024503463348167E-3</v>
      </c>
      <c r="AO265" s="87">
        <v>8.2087399286398591E-3</v>
      </c>
      <c r="AP265" s="87">
        <v>1.4096649774464423</v>
      </c>
      <c r="AQ265" s="87">
        <v>3.1654903475001626E-2</v>
      </c>
      <c r="AR265" s="87">
        <v>3.7157012851335059E-3</v>
      </c>
      <c r="AS265" s="87">
        <v>6.2282106227499728E-3</v>
      </c>
      <c r="AT265" s="87">
        <v>9.7581152766277966E-3</v>
      </c>
      <c r="AU265" s="87">
        <v>1.9327501233078734E-2</v>
      </c>
      <c r="AV265" s="87">
        <v>1.3487083251750197E-2</v>
      </c>
      <c r="AW265" s="87">
        <v>1.2050002439998054E-2</v>
      </c>
      <c r="AX265" s="87">
        <v>8.5093533666932321E-3</v>
      </c>
      <c r="AY265" s="87">
        <v>1.1251536169926175E-2</v>
      </c>
      <c r="AZ265" s="87">
        <v>0.10098200373485509</v>
      </c>
      <c r="BA265" s="87">
        <v>3.8044105801576093E-3</v>
      </c>
      <c r="BB265" s="87">
        <v>4.9129756477441916E-2</v>
      </c>
      <c r="BC265" s="87">
        <v>4.4983206206470859E-3</v>
      </c>
      <c r="BD265" s="87">
        <v>2.8795921821616506E-3</v>
      </c>
      <c r="BE265" s="87">
        <v>3.076567339126791E-3</v>
      </c>
      <c r="BF265" s="87">
        <v>6.8422149825734602E-3</v>
      </c>
      <c r="BG265" s="87">
        <v>5.5509931717784809E-3</v>
      </c>
      <c r="BH265" s="87">
        <v>4.1099945383619371E-3</v>
      </c>
      <c r="BI265" s="87">
        <v>4.0464344748995353E-3</v>
      </c>
      <c r="BJ265" s="87">
        <v>7.3194121470878193E-3</v>
      </c>
      <c r="BK265" s="87">
        <v>3.0950389303928873E-3</v>
      </c>
      <c r="BL265" s="87">
        <v>2.6131061181520077E-3</v>
      </c>
      <c r="BM265" s="87">
        <v>3.8924347053399485E-3</v>
      </c>
      <c r="BN265" s="87">
        <v>4.5848305337350846E-3</v>
      </c>
      <c r="BO265" s="87">
        <v>6.9544317523662592E-3</v>
      </c>
      <c r="BP265" s="87">
        <v>9.1574075419486832E-3</v>
      </c>
      <c r="BQ265" s="87">
        <v>5.9503693793639878E-3</v>
      </c>
      <c r="BR265" s="87">
        <v>7.1750688974338084E-3</v>
      </c>
      <c r="BS265" s="87">
        <v>8.1099137122591888E-4</v>
      </c>
    </row>
    <row r="266" spans="2:71" x14ac:dyDescent="0.35">
      <c r="B266" s="87">
        <v>2.7802888383857841E-3</v>
      </c>
      <c r="C266" s="87">
        <v>3.3149435504382561E-3</v>
      </c>
      <c r="D266" s="87">
        <v>6.0202854153611545E-3</v>
      </c>
      <c r="E266" s="87">
        <v>6.0892116270161081E-3</v>
      </c>
      <c r="F266" s="87">
        <v>6.6030431932583098E-3</v>
      </c>
      <c r="G266" s="87">
        <v>4.8496035859410874E-3</v>
      </c>
      <c r="H266" s="87">
        <v>2.5497311897281036E-2</v>
      </c>
      <c r="I266" s="87">
        <v>6.4877786683564401E-3</v>
      </c>
      <c r="J266" s="87">
        <v>6.731551439354058E-3</v>
      </c>
      <c r="K266" s="87">
        <v>6.110903661471526E-3</v>
      </c>
      <c r="L266" s="87">
        <v>4.5731922178161551E-3</v>
      </c>
      <c r="M266" s="87">
        <v>4.6324672686104624E-3</v>
      </c>
      <c r="N266" s="87">
        <v>5.4722713470113189E-3</v>
      </c>
      <c r="O266" s="87">
        <v>7.9818464190714363E-3</v>
      </c>
      <c r="P266" s="87">
        <v>5.9665552842543641E-3</v>
      </c>
      <c r="Q266" s="87">
        <v>6.4564479233033337E-3</v>
      </c>
      <c r="R266" s="87">
        <v>3.1736711124979726E-3</v>
      </c>
      <c r="S266" s="87">
        <v>3.7096738242444437E-3</v>
      </c>
      <c r="T266" s="87">
        <v>3.0762453672455565E-3</v>
      </c>
      <c r="U266" s="87">
        <v>3.2683757536879042E-3</v>
      </c>
      <c r="V266" s="87">
        <v>3.1949958604514887E-3</v>
      </c>
      <c r="W266" s="87">
        <v>3.3709703865488667E-3</v>
      </c>
      <c r="X266" s="87">
        <v>2.857876088230528E-3</v>
      </c>
      <c r="Y266" s="87">
        <v>4.5029946001903859E-3</v>
      </c>
      <c r="Z266" s="87">
        <v>4.4793315368231073E-3</v>
      </c>
      <c r="AA266" s="87">
        <v>3.4412066573302502E-3</v>
      </c>
      <c r="AB266" s="87">
        <v>3.0222405303132541E-3</v>
      </c>
      <c r="AC266" s="87">
        <v>2.8235430354283057E-3</v>
      </c>
      <c r="AD266" s="87">
        <v>1.1161043747159823E-3</v>
      </c>
      <c r="AE266" s="87">
        <v>3.3441767837099814E-3</v>
      </c>
      <c r="AF266" s="87">
        <v>2.9812240740800622E-3</v>
      </c>
      <c r="AG266" s="87">
        <v>1.7543024034716323E-3</v>
      </c>
      <c r="AH266" s="87">
        <v>2.7802753697555426E-3</v>
      </c>
      <c r="AI266" s="87">
        <v>3.3485665791514142E-3</v>
      </c>
      <c r="AJ266" s="87">
        <v>0</v>
      </c>
      <c r="AK266" s="87">
        <v>1.2376694301002336E-2</v>
      </c>
      <c r="AL266" s="87">
        <v>8.2475294684945504E-3</v>
      </c>
      <c r="AM266" s="87">
        <v>5.2474383336775579E-2</v>
      </c>
      <c r="AN266" s="87">
        <v>4.0201817461375446E-2</v>
      </c>
      <c r="AO266" s="87">
        <v>4.8343758430581474E-2</v>
      </c>
      <c r="AP266" s="87">
        <v>4.0354824986005407E-2</v>
      </c>
      <c r="AQ266" s="87">
        <v>1.3526593912164582</v>
      </c>
      <c r="AR266" s="87">
        <v>1.1726881119348082E-2</v>
      </c>
      <c r="AS266" s="87">
        <v>3.6023370658298075E-2</v>
      </c>
      <c r="AT266" s="87">
        <v>4.4822414354249614E-2</v>
      </c>
      <c r="AU266" s="87">
        <v>5.0551236145218427E-2</v>
      </c>
      <c r="AV266" s="87">
        <v>2.1877598828136224E-2</v>
      </c>
      <c r="AW266" s="87">
        <v>2.5319369707505302E-2</v>
      </c>
      <c r="AX266" s="87">
        <v>3.0537010879990494E-2</v>
      </c>
      <c r="AY266" s="87">
        <v>2.4171747177567371E-2</v>
      </c>
      <c r="AZ266" s="87">
        <v>4.0391090691349725E-2</v>
      </c>
      <c r="BA266" s="87">
        <v>1.1738724375279938E-2</v>
      </c>
      <c r="BB266" s="87">
        <v>2.3732712119710935E-2</v>
      </c>
      <c r="BC266" s="87">
        <v>1.6852515321408464E-2</v>
      </c>
      <c r="BD266" s="87">
        <v>1.8178300552897268E-2</v>
      </c>
      <c r="BE266" s="87">
        <v>1.6959546881819637E-2</v>
      </c>
      <c r="BF266" s="87">
        <v>2.6561465407112812E-2</v>
      </c>
      <c r="BG266" s="87">
        <v>2.0438632924219019E-2</v>
      </c>
      <c r="BH266" s="87">
        <v>1.6903654305037687E-2</v>
      </c>
      <c r="BI266" s="87">
        <v>2.0373613483234965E-2</v>
      </c>
      <c r="BJ266" s="87">
        <v>3.2407130435357714E-2</v>
      </c>
      <c r="BK266" s="87">
        <v>1.9797457397198095E-2</v>
      </c>
      <c r="BL266" s="87">
        <v>2.6732021065092728E-2</v>
      </c>
      <c r="BM266" s="87">
        <v>7.384262615072041E-3</v>
      </c>
      <c r="BN266" s="87">
        <v>3.7394178945247297E-2</v>
      </c>
      <c r="BO266" s="87">
        <v>3.4393848815683706E-2</v>
      </c>
      <c r="BP266" s="87">
        <v>3.4899229772820173E-2</v>
      </c>
      <c r="BQ266" s="87">
        <v>2.3225125875933606E-2</v>
      </c>
      <c r="BR266" s="87">
        <v>4.5352060739591429E-2</v>
      </c>
      <c r="BS266" s="87">
        <v>1.9462850220066438E-3</v>
      </c>
    </row>
    <row r="267" spans="2:71" x14ac:dyDescent="0.35">
      <c r="B267" s="87">
        <v>5.7768706240425736E-3</v>
      </c>
      <c r="C267" s="87">
        <v>5.5914109867436154E-3</v>
      </c>
      <c r="D267" s="87">
        <v>4.892441024250402E-3</v>
      </c>
      <c r="E267" s="87">
        <v>5.7717642048694976E-3</v>
      </c>
      <c r="F267" s="87">
        <v>5.3653753625448816E-3</v>
      </c>
      <c r="G267" s="87">
        <v>5.3782148926300273E-3</v>
      </c>
      <c r="H267" s="87">
        <v>4.2158168024033753E-3</v>
      </c>
      <c r="I267" s="87">
        <v>2.2997803069419738E-2</v>
      </c>
      <c r="J267" s="87">
        <v>1.0555724300270861E-2</v>
      </c>
      <c r="K267" s="87">
        <v>7.4255578422788172E-3</v>
      </c>
      <c r="L267" s="87">
        <v>5.7677911555635139E-3</v>
      </c>
      <c r="M267" s="87">
        <v>6.4348943118078773E-3</v>
      </c>
      <c r="N267" s="87">
        <v>5.2415582195512083E-3</v>
      </c>
      <c r="O267" s="87">
        <v>5.6620871001639992E-3</v>
      </c>
      <c r="P267" s="87">
        <v>5.8608998487208073E-3</v>
      </c>
      <c r="Q267" s="87">
        <v>5.632307419596771E-3</v>
      </c>
      <c r="R267" s="87">
        <v>6.7558846706427594E-3</v>
      </c>
      <c r="S267" s="87">
        <v>4.3796576916326664E-3</v>
      </c>
      <c r="T267" s="87">
        <v>3.4903946283995012E-3</v>
      </c>
      <c r="U267" s="87">
        <v>3.8530810159098775E-3</v>
      </c>
      <c r="V267" s="87">
        <v>2.5692939851959264E-3</v>
      </c>
      <c r="W267" s="87">
        <v>3.1139663280331459E-3</v>
      </c>
      <c r="X267" s="87">
        <v>1.0673194182095794E-2</v>
      </c>
      <c r="Y267" s="87">
        <v>1.4491253263835701E-2</v>
      </c>
      <c r="Z267" s="87">
        <v>1.4335603400844468E-2</v>
      </c>
      <c r="AA267" s="87">
        <v>5.7923449619357815E-3</v>
      </c>
      <c r="AB267" s="87">
        <v>2.2849978012782234E-3</v>
      </c>
      <c r="AC267" s="87">
        <v>1.5437866574236595E-3</v>
      </c>
      <c r="AD267" s="87">
        <v>8.7535376219986805E-4</v>
      </c>
      <c r="AE267" s="87">
        <v>2.0587774572644367E-3</v>
      </c>
      <c r="AF267" s="87">
        <v>2.496462148806711E-3</v>
      </c>
      <c r="AG267" s="87">
        <v>1.3540722843091563E-3</v>
      </c>
      <c r="AH267" s="87">
        <v>2.7346146709216644E-3</v>
      </c>
      <c r="AI267" s="87">
        <v>2.754947422585917E-3</v>
      </c>
      <c r="AJ267" s="87">
        <v>0</v>
      </c>
      <c r="AK267" s="87">
        <v>2.1878206905263788E-2</v>
      </c>
      <c r="AL267" s="87">
        <v>1.4056820510931907E-2</v>
      </c>
      <c r="AM267" s="87">
        <v>2.0857618493217125E-2</v>
      </c>
      <c r="AN267" s="87">
        <v>2.8981216914365657E-2</v>
      </c>
      <c r="AO267" s="87">
        <v>2.5751668946552099E-2</v>
      </c>
      <c r="AP267" s="87">
        <v>2.5121145103462098E-2</v>
      </c>
      <c r="AQ267" s="87">
        <v>2.2131977377290786E-2</v>
      </c>
      <c r="AR267" s="87">
        <v>1.1161782184515803</v>
      </c>
      <c r="AS267" s="87">
        <v>8.1907195354932544E-2</v>
      </c>
      <c r="AT267" s="87">
        <v>4.4088221474462751E-2</v>
      </c>
      <c r="AU267" s="87">
        <v>4.6836950494255833E-2</v>
      </c>
      <c r="AV267" s="87">
        <v>4.1102080074068785E-2</v>
      </c>
      <c r="AW267" s="87">
        <v>2.4003421000217625E-2</v>
      </c>
      <c r="AX267" s="87">
        <v>1.884542074168474E-2</v>
      </c>
      <c r="AY267" s="87">
        <v>2.0353418940234017E-2</v>
      </c>
      <c r="AZ267" s="87">
        <v>1.962218616595035E-2</v>
      </c>
      <c r="BA267" s="87">
        <v>4.2996532804057123E-2</v>
      </c>
      <c r="BB267" s="87">
        <v>3.2881878221509314E-2</v>
      </c>
      <c r="BC267" s="87">
        <v>1.3978847662950347E-2</v>
      </c>
      <c r="BD267" s="87">
        <v>8.4891752984570835E-3</v>
      </c>
      <c r="BE267" s="87">
        <v>8.4617536454442543E-3</v>
      </c>
      <c r="BF267" s="87">
        <v>1.4092444228311692E-2</v>
      </c>
      <c r="BG267" s="87">
        <v>7.4318260605614778E-2</v>
      </c>
      <c r="BH267" s="87">
        <v>0.11833030088302016</v>
      </c>
      <c r="BI267" s="87">
        <v>0.12469987533896754</v>
      </c>
      <c r="BJ267" s="87">
        <v>5.3480858216845638E-2</v>
      </c>
      <c r="BK267" s="87">
        <v>9.7433473491255786E-3</v>
      </c>
      <c r="BL267" s="87">
        <v>6.3994782437991442E-3</v>
      </c>
      <c r="BM267" s="87">
        <v>4.9246543012750324E-3</v>
      </c>
      <c r="BN267" s="87">
        <v>1.2980354222666345E-2</v>
      </c>
      <c r="BO267" s="87">
        <v>1.893115376322255E-2</v>
      </c>
      <c r="BP267" s="87">
        <v>1.0233270331356971E-2</v>
      </c>
      <c r="BQ267" s="87">
        <v>1.4402473075348686E-2</v>
      </c>
      <c r="BR267" s="87">
        <v>1.4881499507698048E-2</v>
      </c>
      <c r="BS267" s="87">
        <v>7.5975710372828942E-4</v>
      </c>
    </row>
    <row r="268" spans="2:71" x14ac:dyDescent="0.35">
      <c r="B268" s="87">
        <v>1.5734913396922141E-2</v>
      </c>
      <c r="C268" s="87">
        <v>8.8643531057400055E-3</v>
      </c>
      <c r="D268" s="87">
        <v>1.2787966770851993E-2</v>
      </c>
      <c r="E268" s="87">
        <v>2.7998286003830461E-2</v>
      </c>
      <c r="F268" s="87">
        <v>2.2311478788590442E-2</v>
      </c>
      <c r="G268" s="87">
        <v>1.8816358333845918E-2</v>
      </c>
      <c r="H268" s="87">
        <v>1.6191495950360294E-2</v>
      </c>
      <c r="I268" s="87">
        <v>2.1520424355000248E-2</v>
      </c>
      <c r="J268" s="87">
        <v>6.0339704964756949E-2</v>
      </c>
      <c r="K268" s="87">
        <v>5.4326363325189531E-2</v>
      </c>
      <c r="L268" s="87">
        <v>1.4291254606575944E-2</v>
      </c>
      <c r="M268" s="87">
        <v>1.5047981290542176E-2</v>
      </c>
      <c r="N268" s="87">
        <v>1.4847450721551039E-2</v>
      </c>
      <c r="O268" s="87">
        <v>2.0141270915440369E-2</v>
      </c>
      <c r="P268" s="87">
        <v>1.9437483717368573E-2</v>
      </c>
      <c r="Q268" s="87">
        <v>1.8857957264240843E-2</v>
      </c>
      <c r="R268" s="87">
        <v>6.9769357023042218E-3</v>
      </c>
      <c r="S268" s="87">
        <v>1.1167466286106976E-2</v>
      </c>
      <c r="T268" s="87">
        <v>7.3859893824953973E-3</v>
      </c>
      <c r="U268" s="87">
        <v>5.0109281806798656E-3</v>
      </c>
      <c r="V268" s="87">
        <v>4.2448028149131272E-3</v>
      </c>
      <c r="W268" s="87">
        <v>6.3307596804087606E-3</v>
      </c>
      <c r="X268" s="87">
        <v>5.8887377470128567E-3</v>
      </c>
      <c r="Y268" s="87">
        <v>6.1795545363282408E-3</v>
      </c>
      <c r="Z268" s="87">
        <v>8.023634421506087E-3</v>
      </c>
      <c r="AA268" s="87">
        <v>5.1311435797463814E-3</v>
      </c>
      <c r="AB268" s="87">
        <v>4.8393821400910114E-3</v>
      </c>
      <c r="AC268" s="87">
        <v>2.4130041830440108E-3</v>
      </c>
      <c r="AD268" s="87">
        <v>1.862756400137625E-3</v>
      </c>
      <c r="AE268" s="87">
        <v>4.0140885084964757E-3</v>
      </c>
      <c r="AF268" s="87">
        <v>4.878629118455385E-3</v>
      </c>
      <c r="AG268" s="87">
        <v>2.4765599663927043E-3</v>
      </c>
      <c r="AH268" s="87">
        <v>1.5518267590699441E-2</v>
      </c>
      <c r="AI268" s="87">
        <v>6.2681901201872134E-3</v>
      </c>
      <c r="AJ268" s="87">
        <v>0</v>
      </c>
      <c r="AK268" s="87">
        <v>6.2222537844678447E-2</v>
      </c>
      <c r="AL268" s="87">
        <v>1.9617126911632587E-2</v>
      </c>
      <c r="AM268" s="87">
        <v>5.2844542997228808E-2</v>
      </c>
      <c r="AN268" s="87">
        <v>0.16102886971961322</v>
      </c>
      <c r="AO268" s="87">
        <v>0.11853070731566841</v>
      </c>
      <c r="AP268" s="87">
        <v>9.9619510253829591E-2</v>
      </c>
      <c r="AQ268" s="87">
        <v>9.1937013954609001E-2</v>
      </c>
      <c r="AR268" s="87">
        <v>3.5034695499981248E-2</v>
      </c>
      <c r="AS268" s="87">
        <v>1.35175537071204</v>
      </c>
      <c r="AT268" s="87">
        <v>0.39859907096395053</v>
      </c>
      <c r="AU268" s="87">
        <v>8.8992761070542437E-2</v>
      </c>
      <c r="AV268" s="87">
        <v>4.9167212635056919E-2</v>
      </c>
      <c r="AW268" s="87">
        <v>5.3762214788913867E-2</v>
      </c>
      <c r="AX268" s="87">
        <v>7.38301250844281E-2</v>
      </c>
      <c r="AY268" s="87">
        <v>6.2679190145072686E-2</v>
      </c>
      <c r="AZ268" s="87">
        <v>8.0105687004584675E-2</v>
      </c>
      <c r="BA268" s="87">
        <v>2.2359291253908533E-2</v>
      </c>
      <c r="BB268" s="87">
        <v>5.0653590648193317E-2</v>
      </c>
      <c r="BC268" s="87">
        <v>2.5930962046120051E-2</v>
      </c>
      <c r="BD268" s="87">
        <v>9.6326606163327985E-3</v>
      </c>
      <c r="BE268" s="87">
        <v>9.4419301944447236E-3</v>
      </c>
      <c r="BF268" s="87">
        <v>2.5052653229488707E-2</v>
      </c>
      <c r="BG268" s="87">
        <v>2.2809564375024863E-2</v>
      </c>
      <c r="BH268" s="87">
        <v>2.5748223731143886E-2</v>
      </c>
      <c r="BI268" s="87">
        <v>2.3757360177521922E-2</v>
      </c>
      <c r="BJ268" s="87">
        <v>2.6661626196472343E-2</v>
      </c>
      <c r="BK268" s="87">
        <v>1.1378902701319776E-2</v>
      </c>
      <c r="BL268" s="87">
        <v>8.0306248369038692E-3</v>
      </c>
      <c r="BM268" s="87">
        <v>6.9988085314700837E-3</v>
      </c>
      <c r="BN268" s="87">
        <v>1.8860372661205788E-2</v>
      </c>
      <c r="BO268" s="87">
        <v>2.4652892991871768E-2</v>
      </c>
      <c r="BP268" s="87">
        <v>1.652606628644563E-2</v>
      </c>
      <c r="BQ268" s="87">
        <v>0.10376115254298098</v>
      </c>
      <c r="BR268" s="87">
        <v>2.936443552775719E-2</v>
      </c>
      <c r="BS268" s="87">
        <v>1.921577941298673E-3</v>
      </c>
    </row>
    <row r="269" spans="2:71" x14ac:dyDescent="0.35">
      <c r="B269" s="87">
        <v>2.9558226047302896E-3</v>
      </c>
      <c r="C269" s="87">
        <v>3.7393623955626724E-3</v>
      </c>
      <c r="D269" s="87">
        <v>5.1035417141004919E-3</v>
      </c>
      <c r="E269" s="87">
        <v>5.6998500826639193E-3</v>
      </c>
      <c r="F269" s="87">
        <v>9.4738469757020775E-3</v>
      </c>
      <c r="G269" s="87">
        <v>4.2726875650403234E-3</v>
      </c>
      <c r="H269" s="87">
        <v>4.6378016290564809E-3</v>
      </c>
      <c r="I269" s="87">
        <v>7.8159087836415994E-3</v>
      </c>
      <c r="J269" s="87">
        <v>6.0570972516852412E-3</v>
      </c>
      <c r="K269" s="87">
        <v>1.4615193413682939E-2</v>
      </c>
      <c r="L269" s="87">
        <v>4.2815753020076334E-3</v>
      </c>
      <c r="M269" s="87">
        <v>5.5163857802868208E-3</v>
      </c>
      <c r="N269" s="87">
        <v>9.0574068692408829E-3</v>
      </c>
      <c r="O269" s="87">
        <v>1.2768202205960139E-2</v>
      </c>
      <c r="P269" s="87">
        <v>1.3633189648848161E-2</v>
      </c>
      <c r="Q269" s="87">
        <v>8.0263592138855831E-3</v>
      </c>
      <c r="R269" s="87">
        <v>3.4237434357293202E-3</v>
      </c>
      <c r="S269" s="87">
        <v>6.4531833392560923E-3</v>
      </c>
      <c r="T269" s="87">
        <v>4.7852833983439824E-3</v>
      </c>
      <c r="U269" s="87">
        <v>2.5837831213396927E-3</v>
      </c>
      <c r="V269" s="87">
        <v>2.2762515452607692E-3</v>
      </c>
      <c r="W269" s="87">
        <v>2.5762216602167624E-3</v>
      </c>
      <c r="X269" s="87">
        <v>3.7342637883804046E-3</v>
      </c>
      <c r="Y269" s="87">
        <v>3.8497537465622283E-3</v>
      </c>
      <c r="Z269" s="87">
        <v>5.3918109073208317E-3</v>
      </c>
      <c r="AA269" s="87">
        <v>3.1793794307960989E-3</v>
      </c>
      <c r="AB269" s="87">
        <v>3.329954486518823E-3</v>
      </c>
      <c r="AC269" s="87">
        <v>1.2419279985475113E-3</v>
      </c>
      <c r="AD269" s="87">
        <v>9.4765693367126103E-4</v>
      </c>
      <c r="AE269" s="87">
        <v>1.8338116518698247E-3</v>
      </c>
      <c r="AF269" s="87">
        <v>2.7883354912788556E-3</v>
      </c>
      <c r="AG269" s="87">
        <v>1.0241664557026748E-3</v>
      </c>
      <c r="AH269" s="87">
        <v>2.5805592179826888E-3</v>
      </c>
      <c r="AI269" s="87">
        <v>2.43294405555212E-3</v>
      </c>
      <c r="AJ269" s="87">
        <v>0</v>
      </c>
      <c r="AK269" s="87">
        <v>1.3347563921813688E-2</v>
      </c>
      <c r="AL269" s="87">
        <v>1.0957732079958147E-2</v>
      </c>
      <c r="AM269" s="87">
        <v>3.9127872215801988E-2</v>
      </c>
      <c r="AN269" s="87">
        <v>3.5327918265703424E-2</v>
      </c>
      <c r="AO269" s="87">
        <v>7.9993886489703916E-2</v>
      </c>
      <c r="AP269" s="87">
        <v>2.4164583228500274E-2</v>
      </c>
      <c r="AQ269" s="87">
        <v>4.1344633435303979E-2</v>
      </c>
      <c r="AR269" s="87">
        <v>1.2035529971197586E-2</v>
      </c>
      <c r="AS269" s="87">
        <v>3.8585122587790413E-2</v>
      </c>
      <c r="AT269" s="87">
        <v>1.2384709771033959</v>
      </c>
      <c r="AU269" s="87">
        <v>3.1386334252476771E-2</v>
      </c>
      <c r="AV269" s="87">
        <v>2.3205638857496404E-2</v>
      </c>
      <c r="AW269" s="87">
        <v>5.1033896602192201E-2</v>
      </c>
      <c r="AX269" s="87">
        <v>6.0221129692862717E-2</v>
      </c>
      <c r="AY269" s="87">
        <v>7.2897164401003453E-2</v>
      </c>
      <c r="AZ269" s="87">
        <v>5.8668793566438074E-2</v>
      </c>
      <c r="BA269" s="87">
        <v>1.1185942407119169E-2</v>
      </c>
      <c r="BB269" s="87">
        <v>3.4507671228707647E-2</v>
      </c>
      <c r="BC269" s="87">
        <v>3.0866406836889976E-2</v>
      </c>
      <c r="BD269" s="87">
        <v>7.82042462158292E-3</v>
      </c>
      <c r="BE269" s="87">
        <v>8.644590764489089E-3</v>
      </c>
      <c r="BF269" s="87">
        <v>1.6966253786745624E-2</v>
      </c>
      <c r="BG269" s="87">
        <v>2.4138935260709218E-2</v>
      </c>
      <c r="BH269" s="87">
        <v>1.6217472280152617E-2</v>
      </c>
      <c r="BI269" s="87">
        <v>1.7114532683592493E-2</v>
      </c>
      <c r="BJ269" s="87">
        <v>2.0259776731915539E-2</v>
      </c>
      <c r="BK269" s="87">
        <v>9.2854009037451387E-3</v>
      </c>
      <c r="BL269" s="87">
        <v>5.1226619252075145E-3</v>
      </c>
      <c r="BM269" s="87">
        <v>4.2866805041063211E-3</v>
      </c>
      <c r="BN269" s="87">
        <v>1.0973485089138778E-2</v>
      </c>
      <c r="BO269" s="87">
        <v>1.2184617407281471E-2</v>
      </c>
      <c r="BP269" s="87">
        <v>8.2262483794841509E-3</v>
      </c>
      <c r="BQ269" s="87">
        <v>1.6051873090631569E-2</v>
      </c>
      <c r="BR269" s="87">
        <v>1.4699836576460934E-2</v>
      </c>
      <c r="BS269" s="87">
        <v>1.1711646737083629E-3</v>
      </c>
    </row>
    <row r="270" spans="2:71" x14ac:dyDescent="0.35">
      <c r="B270" s="87">
        <v>1.1140508019789721E-3</v>
      </c>
      <c r="C270" s="87">
        <v>2.2178751991238344E-3</v>
      </c>
      <c r="D270" s="87">
        <v>1.5600046815283442E-3</v>
      </c>
      <c r="E270" s="87">
        <v>1.5455871945483422E-3</v>
      </c>
      <c r="F270" s="87">
        <v>1.432812974153369E-3</v>
      </c>
      <c r="G270" s="87">
        <v>2.1373735203923439E-3</v>
      </c>
      <c r="H270" s="87">
        <v>1.1254656886020369E-3</v>
      </c>
      <c r="I270" s="87">
        <v>3.1942550761858307E-3</v>
      </c>
      <c r="J270" s="87">
        <v>1.9731839336793876E-3</v>
      </c>
      <c r="K270" s="87">
        <v>2.0912468639112235E-3</v>
      </c>
      <c r="L270" s="87">
        <v>9.0484498699387877E-3</v>
      </c>
      <c r="M270" s="87">
        <v>3.2883712389819453E-3</v>
      </c>
      <c r="N270" s="87">
        <v>3.0971111159766428E-3</v>
      </c>
      <c r="O270" s="87">
        <v>5.0251381235598067E-3</v>
      </c>
      <c r="P270" s="87">
        <v>3.7687295465294738E-3</v>
      </c>
      <c r="Q270" s="87">
        <v>2.4242163815548896E-3</v>
      </c>
      <c r="R270" s="87">
        <v>1.7709769660746097E-3</v>
      </c>
      <c r="S270" s="87">
        <v>6.7222508343139841E-3</v>
      </c>
      <c r="T270" s="87">
        <v>1.2763641360120912E-3</v>
      </c>
      <c r="U270" s="87">
        <v>8.5816973386003068E-4</v>
      </c>
      <c r="V270" s="87">
        <v>7.5942527155859201E-4</v>
      </c>
      <c r="W270" s="87">
        <v>9.9954677345427765E-4</v>
      </c>
      <c r="X270" s="87">
        <v>1.0656822145090859E-3</v>
      </c>
      <c r="Y270" s="87">
        <v>1.2676221443526127E-3</v>
      </c>
      <c r="Z270" s="87">
        <v>1.6931801250162099E-3</v>
      </c>
      <c r="AA270" s="87">
        <v>1.1001539791225406E-3</v>
      </c>
      <c r="AB270" s="87">
        <v>1.2714314247747253E-3</v>
      </c>
      <c r="AC270" s="87">
        <v>4.9598519950917296E-4</v>
      </c>
      <c r="AD270" s="87">
        <v>7.8792783573028663E-4</v>
      </c>
      <c r="AE270" s="87">
        <v>6.911266047002401E-4</v>
      </c>
      <c r="AF270" s="87">
        <v>1.115794323005899E-3</v>
      </c>
      <c r="AG270" s="87">
        <v>4.9512588105824721E-4</v>
      </c>
      <c r="AH270" s="87">
        <v>9.5442766547397442E-4</v>
      </c>
      <c r="AI270" s="87">
        <v>1.01757493573208E-3</v>
      </c>
      <c r="AJ270" s="87">
        <v>0</v>
      </c>
      <c r="AK270" s="87">
        <v>3.6899525513582284E-3</v>
      </c>
      <c r="AL270" s="87">
        <v>6.4925980014768079E-3</v>
      </c>
      <c r="AM270" s="87">
        <v>9.325118259881339E-3</v>
      </c>
      <c r="AN270" s="87">
        <v>8.0498300996999159E-3</v>
      </c>
      <c r="AO270" s="87">
        <v>7.7163716458296177E-3</v>
      </c>
      <c r="AP270" s="87">
        <v>1.1819108034002492E-2</v>
      </c>
      <c r="AQ270" s="87">
        <v>5.9619494784573486E-3</v>
      </c>
      <c r="AR270" s="87">
        <v>7.5752926762247983E-3</v>
      </c>
      <c r="AS270" s="87">
        <v>1.1924054182310252E-2</v>
      </c>
      <c r="AT270" s="87">
        <v>1.2483390158528278E-2</v>
      </c>
      <c r="AU270" s="87">
        <v>1.1725318524251398</v>
      </c>
      <c r="AV270" s="87">
        <v>2.4697797410565946E-2</v>
      </c>
      <c r="AW270" s="87">
        <v>1.76656296858658E-2</v>
      </c>
      <c r="AX270" s="87">
        <v>2.5377272250808984E-2</v>
      </c>
      <c r="AY270" s="87">
        <v>1.8659969155589581E-2</v>
      </c>
      <c r="AZ270" s="87">
        <v>1.5403334283651602E-2</v>
      </c>
      <c r="BA270" s="87">
        <v>6.7595058829977633E-3</v>
      </c>
      <c r="BB270" s="87">
        <v>0.12208712170758668</v>
      </c>
      <c r="BC270" s="87">
        <v>8.2082472794006937E-3</v>
      </c>
      <c r="BD270" s="87">
        <v>2.1484689265656334E-3</v>
      </c>
      <c r="BE270" s="87">
        <v>2.5611247321331919E-3</v>
      </c>
      <c r="BF270" s="87">
        <v>7.1903883536779192E-3</v>
      </c>
      <c r="BG270" s="87">
        <v>6.2681664373372024E-3</v>
      </c>
      <c r="BH270" s="87">
        <v>4.4662459115509161E-3</v>
      </c>
      <c r="BI270" s="87">
        <v>5.210873931969587E-3</v>
      </c>
      <c r="BJ270" s="87">
        <v>6.1001227048585165E-3</v>
      </c>
      <c r="BK270" s="87">
        <v>4.1673228942055839E-3</v>
      </c>
      <c r="BL270" s="87">
        <v>2.288196913597368E-3</v>
      </c>
      <c r="BM270" s="87">
        <v>4.9724617043907402E-3</v>
      </c>
      <c r="BN270" s="87">
        <v>4.0005226437453377E-3</v>
      </c>
      <c r="BO270" s="87">
        <v>6.4296451186712823E-3</v>
      </c>
      <c r="BP270" s="87">
        <v>5.8410161402959191E-3</v>
      </c>
      <c r="BQ270" s="87">
        <v>6.3382734863687137E-3</v>
      </c>
      <c r="BR270" s="87">
        <v>5.4632834576528108E-3</v>
      </c>
      <c r="BS270" s="87">
        <v>5.7610498115148756E-4</v>
      </c>
    </row>
    <row r="271" spans="2:71" x14ac:dyDescent="0.35">
      <c r="B271" s="87">
        <v>7.9785397636007154E-3</v>
      </c>
      <c r="C271" s="87">
        <v>1.7891210119662247E-2</v>
      </c>
      <c r="D271" s="87">
        <v>9.6652030487934543E-3</v>
      </c>
      <c r="E271" s="87">
        <v>1.0645676772904806E-2</v>
      </c>
      <c r="F271" s="87">
        <v>1.1386224981853892E-2</v>
      </c>
      <c r="G271" s="87">
        <v>1.3352448799154135E-2</v>
      </c>
      <c r="H271" s="87">
        <v>9.120839533070503E-3</v>
      </c>
      <c r="I271" s="87">
        <v>2.2763723831366722E-2</v>
      </c>
      <c r="J271" s="87">
        <v>1.3230247597351297E-2</v>
      </c>
      <c r="K271" s="87">
        <v>1.6333416670835814E-2</v>
      </c>
      <c r="L271" s="87">
        <v>1.5463949252828735E-2</v>
      </c>
      <c r="M271" s="87">
        <v>8.8012344817159915E-2</v>
      </c>
      <c r="N271" s="87">
        <v>5.7449744186185953E-2</v>
      </c>
      <c r="O271" s="87">
        <v>4.9573408729988694E-2</v>
      </c>
      <c r="P271" s="87">
        <v>5.5072907123730468E-2</v>
      </c>
      <c r="Q271" s="87">
        <v>3.7359403816298445E-2</v>
      </c>
      <c r="R271" s="87">
        <v>1.2946994802071515E-2</v>
      </c>
      <c r="S271" s="87">
        <v>2.2812569929939363E-2</v>
      </c>
      <c r="T271" s="87">
        <v>1.281219962781757E-2</v>
      </c>
      <c r="U271" s="87">
        <v>6.3713610117434628E-3</v>
      </c>
      <c r="V271" s="87">
        <v>5.3111129737132444E-3</v>
      </c>
      <c r="W271" s="87">
        <v>5.6599769717281005E-3</v>
      </c>
      <c r="X271" s="87">
        <v>8.9501021426957057E-3</v>
      </c>
      <c r="Y271" s="87">
        <v>1.0642280634278386E-2</v>
      </c>
      <c r="Z271" s="87">
        <v>1.681485062702686E-2</v>
      </c>
      <c r="AA271" s="87">
        <v>8.2699236315282552E-3</v>
      </c>
      <c r="AB271" s="87">
        <v>9.4849608948322246E-3</v>
      </c>
      <c r="AC271" s="87">
        <v>3.3051217418116224E-3</v>
      </c>
      <c r="AD271" s="87">
        <v>3.0707869883330285E-3</v>
      </c>
      <c r="AE271" s="87">
        <v>5.1357854549436638E-3</v>
      </c>
      <c r="AF271" s="87">
        <v>9.660161804622848E-3</v>
      </c>
      <c r="AG271" s="87">
        <v>2.9329570591738042E-3</v>
      </c>
      <c r="AH271" s="87">
        <v>6.4471067304438089E-3</v>
      </c>
      <c r="AI271" s="87">
        <v>6.8848860262647835E-3</v>
      </c>
      <c r="AJ271" s="87">
        <v>0</v>
      </c>
      <c r="AK271" s="87">
        <v>1.8606074298458609E-2</v>
      </c>
      <c r="AL271" s="87">
        <v>4.0924979574008612E-2</v>
      </c>
      <c r="AM271" s="87">
        <v>3.8359440203711147E-2</v>
      </c>
      <c r="AN271" s="87">
        <v>3.9758019322595151E-2</v>
      </c>
      <c r="AO271" s="87">
        <v>4.5998386829617086E-2</v>
      </c>
      <c r="AP271" s="87">
        <v>6.7207060149603481E-2</v>
      </c>
      <c r="AQ271" s="87">
        <v>4.567148072761653E-2</v>
      </c>
      <c r="AR271" s="87">
        <v>3.8115674681203041E-2</v>
      </c>
      <c r="AS271" s="87">
        <v>4.8807995546230318E-2</v>
      </c>
      <c r="AT271" s="87">
        <v>7.3804452220563269E-2</v>
      </c>
      <c r="AU271" s="87">
        <v>0.10500865042950319</v>
      </c>
      <c r="AV271" s="87">
        <v>1.553994439127419</v>
      </c>
      <c r="AW271" s="87">
        <v>0.3525237383918764</v>
      </c>
      <c r="AX271" s="87">
        <v>0.20261796073381205</v>
      </c>
      <c r="AY271" s="87">
        <v>0.25020364639273995</v>
      </c>
      <c r="AZ271" s="87">
        <v>0.1339107858682895</v>
      </c>
      <c r="BA271" s="87">
        <v>3.5005846966108013E-2</v>
      </c>
      <c r="BB271" s="87">
        <v>0.21367809910368393</v>
      </c>
      <c r="BC271" s="87">
        <v>6.570552962097749E-2</v>
      </c>
      <c r="BD271" s="87">
        <v>1.292785159047841E-2</v>
      </c>
      <c r="BE271" s="87">
        <v>1.332026223766186E-2</v>
      </c>
      <c r="BF271" s="87">
        <v>2.5620220361474183E-2</v>
      </c>
      <c r="BG271" s="87">
        <v>3.9686990327700206E-2</v>
      </c>
      <c r="BH271" s="87">
        <v>4.2403312098334991E-2</v>
      </c>
      <c r="BI271" s="87">
        <v>4.0219710494183825E-2</v>
      </c>
      <c r="BJ271" s="87">
        <v>4.5366630131384603E-2</v>
      </c>
      <c r="BK271" s="87">
        <v>2.3950962342203421E-2</v>
      </c>
      <c r="BL271" s="87">
        <v>1.1076715444037669E-2</v>
      </c>
      <c r="BM271" s="87">
        <v>1.3722251041071299E-2</v>
      </c>
      <c r="BN271" s="87">
        <v>2.4623082083306193E-2</v>
      </c>
      <c r="BO271" s="87">
        <v>2.9698351496799009E-2</v>
      </c>
      <c r="BP271" s="87">
        <v>1.9280735569041727E-2</v>
      </c>
      <c r="BQ271" s="87">
        <v>2.4530252590508114E-2</v>
      </c>
      <c r="BR271" s="87">
        <v>2.762855553078445E-2</v>
      </c>
      <c r="BS271" s="87">
        <v>3.3647049155879081E-3</v>
      </c>
    </row>
    <row r="272" spans="2:71" x14ac:dyDescent="0.35">
      <c r="B272" s="87">
        <v>5.2696122129828223E-3</v>
      </c>
      <c r="C272" s="87">
        <v>1.0315902246732294E-2</v>
      </c>
      <c r="D272" s="87">
        <v>4.7525880979015656E-3</v>
      </c>
      <c r="E272" s="87">
        <v>6.0006172718670651E-3</v>
      </c>
      <c r="F272" s="87">
        <v>5.1255207954370744E-3</v>
      </c>
      <c r="G272" s="87">
        <v>5.8260595957042539E-3</v>
      </c>
      <c r="H272" s="87">
        <v>4.5941055213580438E-3</v>
      </c>
      <c r="I272" s="87">
        <v>1.1318065992073568E-2</v>
      </c>
      <c r="J272" s="87">
        <v>5.6839337305916423E-3</v>
      </c>
      <c r="K272" s="87">
        <v>6.8929788667631336E-3</v>
      </c>
      <c r="L272" s="87">
        <v>6.7656274646902747E-3</v>
      </c>
      <c r="M272" s="87">
        <v>1.1054387821562945E-2</v>
      </c>
      <c r="N272" s="87">
        <v>3.2331744333301701E-2</v>
      </c>
      <c r="O272" s="87">
        <v>1.3413183944993842E-2</v>
      </c>
      <c r="P272" s="87">
        <v>1.7981972624699881E-2</v>
      </c>
      <c r="Q272" s="87">
        <v>9.1121099584931722E-3</v>
      </c>
      <c r="R272" s="87">
        <v>6.5595304632025658E-3</v>
      </c>
      <c r="S272" s="87">
        <v>7.2600267141432447E-3</v>
      </c>
      <c r="T272" s="87">
        <v>5.2516971779859416E-3</v>
      </c>
      <c r="U272" s="87">
        <v>2.7399796459360122E-3</v>
      </c>
      <c r="V272" s="87">
        <v>2.3758179843718081E-3</v>
      </c>
      <c r="W272" s="87">
        <v>2.6862949367650641E-3</v>
      </c>
      <c r="X272" s="87">
        <v>3.864748576345296E-3</v>
      </c>
      <c r="Y272" s="87">
        <v>4.9717110850422252E-3</v>
      </c>
      <c r="Z272" s="87">
        <v>7.1312797866394844E-3</v>
      </c>
      <c r="AA272" s="87">
        <v>3.6540384679942888E-3</v>
      </c>
      <c r="AB272" s="87">
        <v>3.2765110989626798E-3</v>
      </c>
      <c r="AC272" s="87">
        <v>1.3499885967460394E-3</v>
      </c>
      <c r="AD272" s="87">
        <v>1.1755011944229504E-3</v>
      </c>
      <c r="AE272" s="87">
        <v>2.1466706093158897E-3</v>
      </c>
      <c r="AF272" s="87">
        <v>6.1827513453390839E-3</v>
      </c>
      <c r="AG272" s="87">
        <v>1.1239458674337345E-3</v>
      </c>
      <c r="AH272" s="87">
        <v>2.468820165969516E-3</v>
      </c>
      <c r="AI272" s="87">
        <v>2.8996428275629535E-3</v>
      </c>
      <c r="AJ272" s="87">
        <v>0</v>
      </c>
      <c r="AK272" s="87">
        <v>1.1374836295726356E-2</v>
      </c>
      <c r="AL272" s="87">
        <v>2.1703849792684943E-2</v>
      </c>
      <c r="AM272" s="87">
        <v>1.4274881695604315E-2</v>
      </c>
      <c r="AN272" s="87">
        <v>3.0402544087296975E-2</v>
      </c>
      <c r="AO272" s="87">
        <v>2.5369387532883619E-2</v>
      </c>
      <c r="AP272" s="87">
        <v>2.796346929223666E-2</v>
      </c>
      <c r="AQ272" s="87">
        <v>2.1070937563714236E-2</v>
      </c>
      <c r="AR272" s="87">
        <v>2.351859272660424E-2</v>
      </c>
      <c r="AS272" s="87">
        <v>2.3612865500476827E-2</v>
      </c>
      <c r="AT272" s="87">
        <v>3.3465724804839656E-2</v>
      </c>
      <c r="AU272" s="87">
        <v>4.8582344968093182E-2</v>
      </c>
      <c r="AV272" s="87">
        <v>6.2024915066381275E-2</v>
      </c>
      <c r="AW272" s="87">
        <v>1.2329147009603236</v>
      </c>
      <c r="AX272" s="87">
        <v>4.8594705517892564E-2</v>
      </c>
      <c r="AY272" s="87">
        <v>9.7269495764315178E-2</v>
      </c>
      <c r="AZ272" s="87">
        <v>3.6259971027534948E-2</v>
      </c>
      <c r="BA272" s="87">
        <v>1.8124678599186476E-2</v>
      </c>
      <c r="BB272" s="87">
        <v>4.4026773643197972E-2</v>
      </c>
      <c r="BC272" s="87">
        <v>4.7862807756259125E-2</v>
      </c>
      <c r="BD272" s="87">
        <v>5.9767780273242066E-3</v>
      </c>
      <c r="BE272" s="87">
        <v>5.7210029666364889E-3</v>
      </c>
      <c r="BF272" s="87">
        <v>9.5273537445693876E-3</v>
      </c>
      <c r="BG272" s="87">
        <v>1.8368028587592747E-2</v>
      </c>
      <c r="BH272" s="87">
        <v>2.9883803705884195E-2</v>
      </c>
      <c r="BI272" s="87">
        <v>2.4824067023995262E-2</v>
      </c>
      <c r="BJ272" s="87">
        <v>2.261859660790937E-2</v>
      </c>
      <c r="BK272" s="87">
        <v>8.686492865388265E-3</v>
      </c>
      <c r="BL272" s="87">
        <v>4.8520248993175284E-3</v>
      </c>
      <c r="BM272" s="87">
        <v>4.5572139423130263E-3</v>
      </c>
      <c r="BN272" s="87">
        <v>9.8753007036800518E-3</v>
      </c>
      <c r="BO272" s="87">
        <v>1.2404558692013144E-2</v>
      </c>
      <c r="BP272" s="87">
        <v>8.8109430931041146E-3</v>
      </c>
      <c r="BQ272" s="87">
        <v>1.3624726369218521E-2</v>
      </c>
      <c r="BR272" s="87">
        <v>1.17784138255469E-2</v>
      </c>
      <c r="BS272" s="87">
        <v>1.9993794437396435E-3</v>
      </c>
    </row>
    <row r="273" spans="2:71" x14ac:dyDescent="0.35">
      <c r="B273" s="87">
        <v>1.111810727577626E-2</v>
      </c>
      <c r="C273" s="87">
        <v>2.1323866618370768E-2</v>
      </c>
      <c r="D273" s="87">
        <v>1.4350686875023716E-2</v>
      </c>
      <c r="E273" s="87">
        <v>1.6834273241267322E-2</v>
      </c>
      <c r="F273" s="87">
        <v>1.6267419987272675E-2</v>
      </c>
      <c r="G273" s="87">
        <v>1.5789576796901995E-2</v>
      </c>
      <c r="H273" s="87">
        <v>1.6833162174489887E-2</v>
      </c>
      <c r="I273" s="87">
        <v>2.9803065844531948E-2</v>
      </c>
      <c r="J273" s="87">
        <v>2.050455698907928E-2</v>
      </c>
      <c r="K273" s="87">
        <v>2.1163941565339864E-2</v>
      </c>
      <c r="L273" s="87">
        <v>1.8934534701923765E-2</v>
      </c>
      <c r="M273" s="87">
        <v>3.0093215770053156E-2</v>
      </c>
      <c r="N273" s="87">
        <v>7.5189942635546375E-2</v>
      </c>
      <c r="O273" s="87">
        <v>0.23853230853389859</v>
      </c>
      <c r="P273" s="87">
        <v>7.5261300205485493E-2</v>
      </c>
      <c r="Q273" s="87">
        <v>2.7638140066251406E-2</v>
      </c>
      <c r="R273" s="87">
        <v>2.7112103991408301E-2</v>
      </c>
      <c r="S273" s="87">
        <v>3.3985500027472089E-2</v>
      </c>
      <c r="T273" s="87">
        <v>2.1796298972733115E-2</v>
      </c>
      <c r="U273" s="87">
        <v>1.5273341724550941E-2</v>
      </c>
      <c r="V273" s="87">
        <v>1.3349757547259816E-2</v>
      </c>
      <c r="W273" s="87">
        <v>1.1524483397113084E-2</v>
      </c>
      <c r="X273" s="87">
        <v>1.6819891400166459E-2</v>
      </c>
      <c r="Y273" s="87">
        <v>1.7195716914359303E-2</v>
      </c>
      <c r="Z273" s="87">
        <v>2.4690275173616938E-2</v>
      </c>
      <c r="AA273" s="87">
        <v>1.7215032745679829E-2</v>
      </c>
      <c r="AB273" s="87">
        <v>5.2012354300741644E-2</v>
      </c>
      <c r="AC273" s="87">
        <v>1.0616477408316302E-2</v>
      </c>
      <c r="AD273" s="87">
        <v>5.8301368315679808E-3</v>
      </c>
      <c r="AE273" s="87">
        <v>1.6622876478509584E-2</v>
      </c>
      <c r="AF273" s="87">
        <v>2.464772870467484E-2</v>
      </c>
      <c r="AG273" s="87">
        <v>9.1170956824038613E-3</v>
      </c>
      <c r="AH273" s="87">
        <v>2.635205783583899E-2</v>
      </c>
      <c r="AI273" s="87">
        <v>1.9625273987211235E-2</v>
      </c>
      <c r="AJ273" s="87">
        <v>0</v>
      </c>
      <c r="AK273" s="87">
        <v>1.8898680235203257E-2</v>
      </c>
      <c r="AL273" s="87">
        <v>3.2387553783936214E-2</v>
      </c>
      <c r="AM273" s="87">
        <v>3.3927765030069605E-2</v>
      </c>
      <c r="AN273" s="87">
        <v>5.2731809051949768E-2</v>
      </c>
      <c r="AO273" s="87">
        <v>4.4554099353108605E-2</v>
      </c>
      <c r="AP273" s="87">
        <v>5.0968116101755043E-2</v>
      </c>
      <c r="AQ273" s="87">
        <v>5.8634745083305614E-2</v>
      </c>
      <c r="AR273" s="87">
        <v>3.6310175043929568E-2</v>
      </c>
      <c r="AS273" s="87">
        <v>5.5306197068943491E-2</v>
      </c>
      <c r="AT273" s="87">
        <v>6.87299129953379E-2</v>
      </c>
      <c r="AU273" s="87">
        <v>6.6844106712714638E-2</v>
      </c>
      <c r="AV273" s="87">
        <v>8.9525373060968694E-2</v>
      </c>
      <c r="AW273" s="87">
        <v>0.29447142895819917</v>
      </c>
      <c r="AX273" s="87">
        <v>1.7609368235546417</v>
      </c>
      <c r="AY273" s="87">
        <v>0.24156020837234526</v>
      </c>
      <c r="AZ273" s="87">
        <v>0.12573719346702766</v>
      </c>
      <c r="BA273" s="87">
        <v>8.3557372258296667E-2</v>
      </c>
      <c r="BB273" s="87">
        <v>0.12402758168524293</v>
      </c>
      <c r="BC273" s="87">
        <v>0.11944534857026845</v>
      </c>
      <c r="BD273" s="87">
        <v>2.7878810125145502E-2</v>
      </c>
      <c r="BE273" s="87">
        <v>2.8440116436281842E-2</v>
      </c>
      <c r="BF273" s="87">
        <v>3.4831758711003122E-2</v>
      </c>
      <c r="BG273" s="87">
        <v>5.107150247765431E-2</v>
      </c>
      <c r="BH273" s="87">
        <v>4.5367062542551129E-2</v>
      </c>
      <c r="BI273" s="87">
        <v>5.260265750346492E-2</v>
      </c>
      <c r="BJ273" s="87">
        <v>5.6536522858541181E-2</v>
      </c>
      <c r="BK273" s="87">
        <v>9.3673236237618543E-2</v>
      </c>
      <c r="BL273" s="87">
        <v>2.8442041373832629E-2</v>
      </c>
      <c r="BM273" s="87">
        <v>1.6598997062311799E-2</v>
      </c>
      <c r="BN273" s="87">
        <v>7.2771857283884925E-2</v>
      </c>
      <c r="BO273" s="87">
        <v>6.4961290427608134E-2</v>
      </c>
      <c r="BP273" s="87">
        <v>4.7225660906406744E-2</v>
      </c>
      <c r="BQ273" s="87">
        <v>7.1480663528690008E-2</v>
      </c>
      <c r="BR273" s="87">
        <v>6.1859298017380271E-2</v>
      </c>
      <c r="BS273" s="87">
        <v>7.8377004887664591E-3</v>
      </c>
    </row>
    <row r="274" spans="2:71" x14ac:dyDescent="0.35">
      <c r="B274" s="87">
        <v>3.3253639569528143E-3</v>
      </c>
      <c r="C274" s="87">
        <v>7.5362682040570018E-3</v>
      </c>
      <c r="D274" s="87">
        <v>3.8763310845268922E-3</v>
      </c>
      <c r="E274" s="87">
        <v>6.1504401179471192E-3</v>
      </c>
      <c r="F274" s="87">
        <v>4.9462235601687209E-3</v>
      </c>
      <c r="G274" s="87">
        <v>4.0670391087310178E-3</v>
      </c>
      <c r="H274" s="87">
        <v>3.7278291940545066E-3</v>
      </c>
      <c r="I274" s="87">
        <v>9.4404053711502137E-3</v>
      </c>
      <c r="J274" s="87">
        <v>4.9868965176819479E-3</v>
      </c>
      <c r="K274" s="87">
        <v>4.9709951314208236E-3</v>
      </c>
      <c r="L274" s="87">
        <v>4.4266770549866545E-3</v>
      </c>
      <c r="M274" s="87">
        <v>6.9902224391136135E-3</v>
      </c>
      <c r="N274" s="87">
        <v>9.4512700304515487E-3</v>
      </c>
      <c r="O274" s="87">
        <v>8.4024905609419338E-3</v>
      </c>
      <c r="P274" s="87">
        <v>7.3106798454096303E-2</v>
      </c>
      <c r="Q274" s="87">
        <v>6.4663654812826057E-3</v>
      </c>
      <c r="R274" s="87">
        <v>4.0593817284618186E-3</v>
      </c>
      <c r="S274" s="87">
        <v>3.8810541828295758E-3</v>
      </c>
      <c r="T274" s="87">
        <v>1.6498847596636845E-2</v>
      </c>
      <c r="U274" s="87">
        <v>3.60633465682959E-3</v>
      </c>
      <c r="V274" s="87">
        <v>2.260243738164591E-3</v>
      </c>
      <c r="W274" s="87">
        <v>2.4652010904384282E-3</v>
      </c>
      <c r="X274" s="87">
        <v>1.026309330019903E-2</v>
      </c>
      <c r="Y274" s="87">
        <v>1.9087856964938262E-2</v>
      </c>
      <c r="Z274" s="87">
        <v>5.1405714740705023E-2</v>
      </c>
      <c r="AA274" s="87">
        <v>7.2842356928152696E-3</v>
      </c>
      <c r="AB274" s="87">
        <v>2.5449504473201456E-3</v>
      </c>
      <c r="AC274" s="87">
        <v>1.6683746043929218E-3</v>
      </c>
      <c r="AD274" s="87">
        <v>8.9391387610393753E-4</v>
      </c>
      <c r="AE274" s="87">
        <v>2.3658445958281214E-3</v>
      </c>
      <c r="AF274" s="87">
        <v>1.3906976178801465E-2</v>
      </c>
      <c r="AG274" s="87">
        <v>1.0958883322295123E-3</v>
      </c>
      <c r="AH274" s="87">
        <v>2.3261668782193568E-3</v>
      </c>
      <c r="AI274" s="87">
        <v>3.0080451969749619E-3</v>
      </c>
      <c r="AJ274" s="87">
        <v>0</v>
      </c>
      <c r="AK274" s="87">
        <v>1.2199472850968089E-2</v>
      </c>
      <c r="AL274" s="87">
        <v>1.2042191396627933E-2</v>
      </c>
      <c r="AM274" s="87">
        <v>1.539136134682734E-2</v>
      </c>
      <c r="AN274" s="87">
        <v>1.8943035496942168E-2</v>
      </c>
      <c r="AO274" s="87">
        <v>1.7688403678641947E-2</v>
      </c>
      <c r="AP274" s="87">
        <v>2.2389994498705726E-2</v>
      </c>
      <c r="AQ274" s="87">
        <v>2.1366535305399434E-2</v>
      </c>
      <c r="AR274" s="87">
        <v>1.520419600042215E-2</v>
      </c>
      <c r="AS274" s="87">
        <v>1.521994907298229E-2</v>
      </c>
      <c r="AT274" s="87">
        <v>2.2156686337177645E-2</v>
      </c>
      <c r="AU274" s="87">
        <v>2.7116099040964226E-2</v>
      </c>
      <c r="AV274" s="87">
        <v>3.1755713454980947E-2</v>
      </c>
      <c r="AW274" s="87">
        <v>4.5711397131395701E-2</v>
      </c>
      <c r="AX274" s="87">
        <v>2.1015207158977405E-2</v>
      </c>
      <c r="AY274" s="87">
        <v>1.4787666822216257</v>
      </c>
      <c r="AZ274" s="87">
        <v>2.8411865361760481E-2</v>
      </c>
      <c r="BA274" s="87">
        <v>1.6091392081988804E-2</v>
      </c>
      <c r="BB274" s="87">
        <v>2.4326753371118181E-2</v>
      </c>
      <c r="BC274" s="87">
        <v>0.10535778941607084</v>
      </c>
      <c r="BD274" s="87">
        <v>1.2304625058530704E-2</v>
      </c>
      <c r="BE274" s="87">
        <v>1.028988009654835E-2</v>
      </c>
      <c r="BF274" s="87">
        <v>1.1842871525684077E-2</v>
      </c>
      <c r="BG274" s="87">
        <v>7.3350340314669013E-2</v>
      </c>
      <c r="BH274" s="87">
        <v>9.1080728555082272E-2</v>
      </c>
      <c r="BI274" s="87">
        <v>8.6000551102346195E-2</v>
      </c>
      <c r="BJ274" s="87">
        <v>3.6849439263416425E-2</v>
      </c>
      <c r="BK274" s="87">
        <v>1.187420065613534E-2</v>
      </c>
      <c r="BL274" s="87">
        <v>6.9748519258286444E-3</v>
      </c>
      <c r="BM274" s="87">
        <v>4.6503271471942447E-3</v>
      </c>
      <c r="BN274" s="87">
        <v>1.486372912558903E-2</v>
      </c>
      <c r="BO274" s="87">
        <v>3.2136885907273413E-2</v>
      </c>
      <c r="BP274" s="87">
        <v>1.1488131571445057E-2</v>
      </c>
      <c r="BQ274" s="87">
        <v>8.9420191813631006E-3</v>
      </c>
      <c r="BR274" s="87">
        <v>2.3616370641104903E-2</v>
      </c>
      <c r="BS274" s="87">
        <v>1.8029159062614704E-3</v>
      </c>
    </row>
    <row r="275" spans="2:71" x14ac:dyDescent="0.35">
      <c r="B275" s="87">
        <v>5.1965356010612058E-4</v>
      </c>
      <c r="C275" s="87">
        <v>8.0247240974775996E-4</v>
      </c>
      <c r="D275" s="87">
        <v>6.9878789198152757E-4</v>
      </c>
      <c r="E275" s="87">
        <v>1.5340572585182581E-3</v>
      </c>
      <c r="F275" s="87">
        <v>1.2879186518768668E-3</v>
      </c>
      <c r="G275" s="87">
        <v>1.0699210801838131E-3</v>
      </c>
      <c r="H275" s="87">
        <v>8.7865369682932359E-4</v>
      </c>
      <c r="I275" s="87">
        <v>1.5004222687739095E-3</v>
      </c>
      <c r="J275" s="87">
        <v>1.0518155933998241E-3</v>
      </c>
      <c r="K275" s="87">
        <v>1.1297520108342653E-3</v>
      </c>
      <c r="L275" s="87">
        <v>8.7841053182714215E-4</v>
      </c>
      <c r="M275" s="87">
        <v>2.1997800961359279E-3</v>
      </c>
      <c r="N275" s="87">
        <v>1.8874518657531457E-3</v>
      </c>
      <c r="O275" s="87">
        <v>2.3860529861984558E-3</v>
      </c>
      <c r="P275" s="87">
        <v>3.4527271093449867E-3</v>
      </c>
      <c r="Q275" s="87">
        <v>7.6413682934055767E-3</v>
      </c>
      <c r="R275" s="87">
        <v>7.8963782095314969E-4</v>
      </c>
      <c r="S275" s="87">
        <v>1.1155270977794072E-3</v>
      </c>
      <c r="T275" s="87">
        <v>9.0199394093998242E-4</v>
      </c>
      <c r="U275" s="87">
        <v>5.9355734753718749E-4</v>
      </c>
      <c r="V275" s="87">
        <v>6.4343376375127664E-4</v>
      </c>
      <c r="W275" s="87">
        <v>6.3947289730560751E-4</v>
      </c>
      <c r="X275" s="87">
        <v>6.8882541090453859E-4</v>
      </c>
      <c r="Y275" s="87">
        <v>8.9882735963701997E-4</v>
      </c>
      <c r="Z275" s="87">
        <v>1.4122139677060759E-3</v>
      </c>
      <c r="AA275" s="87">
        <v>7.0560201163636412E-4</v>
      </c>
      <c r="AB275" s="87">
        <v>6.1744534672224032E-4</v>
      </c>
      <c r="AC275" s="87">
        <v>3.8014531429637124E-4</v>
      </c>
      <c r="AD275" s="87">
        <v>2.355892689044271E-4</v>
      </c>
      <c r="AE275" s="87">
        <v>5.3224548005594799E-4</v>
      </c>
      <c r="AF275" s="87">
        <v>8.5658780139660242E-4</v>
      </c>
      <c r="AG275" s="87">
        <v>5.1633704954541992E-4</v>
      </c>
      <c r="AH275" s="87">
        <v>1.1877550182955072E-3</v>
      </c>
      <c r="AI275" s="87">
        <v>1.0065126650472514E-3</v>
      </c>
      <c r="AJ275" s="87">
        <v>0</v>
      </c>
      <c r="AK275" s="87">
        <v>1.8559124083118105E-3</v>
      </c>
      <c r="AL275" s="87">
        <v>1.9635726865968061E-3</v>
      </c>
      <c r="AM275" s="87">
        <v>3.2409212088820834E-3</v>
      </c>
      <c r="AN275" s="87">
        <v>1.1665926176014474E-2</v>
      </c>
      <c r="AO275" s="87">
        <v>7.8588258427548623E-3</v>
      </c>
      <c r="AP275" s="87">
        <v>7.3703569202035026E-3</v>
      </c>
      <c r="AQ275" s="87">
        <v>8.5137662074408361E-3</v>
      </c>
      <c r="AR275" s="87">
        <v>2.689838318117635E-3</v>
      </c>
      <c r="AS275" s="87">
        <v>4.5865516057465193E-3</v>
      </c>
      <c r="AT275" s="87">
        <v>6.1386599795740654E-3</v>
      </c>
      <c r="AU275" s="87">
        <v>7.0233773870344331E-3</v>
      </c>
      <c r="AV275" s="87">
        <v>1.0017569598496727E-2</v>
      </c>
      <c r="AW275" s="87">
        <v>8.9516256801022657E-3</v>
      </c>
      <c r="AX275" s="87">
        <v>6.4210389036899922E-3</v>
      </c>
      <c r="AY275" s="87">
        <v>1.1901045896196666E-2</v>
      </c>
      <c r="AZ275" s="87">
        <v>1.0735756291373797</v>
      </c>
      <c r="BA275" s="87">
        <v>4.2508341887297534E-3</v>
      </c>
      <c r="BB275" s="87">
        <v>8.4666606254589129E-3</v>
      </c>
      <c r="BC275" s="87">
        <v>3.4843766263311397E-3</v>
      </c>
      <c r="BD275" s="87">
        <v>1.7731794425294913E-3</v>
      </c>
      <c r="BE275" s="87">
        <v>2.1690568729457555E-3</v>
      </c>
      <c r="BF275" s="87">
        <v>4.1716366166886449E-3</v>
      </c>
      <c r="BG275" s="87">
        <v>7.2767492945122487E-3</v>
      </c>
      <c r="BH275" s="87">
        <v>2.7977282644905117E-3</v>
      </c>
      <c r="BI275" s="87">
        <v>4.5916798108099352E-3</v>
      </c>
      <c r="BJ275" s="87">
        <v>3.9574126448804628E-3</v>
      </c>
      <c r="BK275" s="87">
        <v>3.3876890542482926E-3</v>
      </c>
      <c r="BL275" s="87">
        <v>2.3764081491376597E-3</v>
      </c>
      <c r="BM275" s="87">
        <v>2.3586769610209756E-3</v>
      </c>
      <c r="BN275" s="87">
        <v>3.7614089539745109E-3</v>
      </c>
      <c r="BO275" s="87">
        <v>5.5058327275596163E-3</v>
      </c>
      <c r="BP275" s="87">
        <v>6.1082874750084185E-3</v>
      </c>
      <c r="BQ275" s="87">
        <v>5.2174268852566656E-3</v>
      </c>
      <c r="BR275" s="87">
        <v>6.4817108478500722E-3</v>
      </c>
      <c r="BS275" s="87">
        <v>5.1080207045396085E-3</v>
      </c>
    </row>
    <row r="276" spans="2:71" x14ac:dyDescent="0.35">
      <c r="B276" s="87">
        <v>3.1052344845044675E-3</v>
      </c>
      <c r="C276" s="87">
        <v>5.560500650856481E-3</v>
      </c>
      <c r="D276" s="87">
        <v>3.8633827098737846E-3</v>
      </c>
      <c r="E276" s="87">
        <v>5.9408286001333887E-3</v>
      </c>
      <c r="F276" s="87">
        <v>4.7818017141128101E-3</v>
      </c>
      <c r="G276" s="87">
        <v>4.3762068460249251E-3</v>
      </c>
      <c r="H276" s="87">
        <v>4.2486804876566532E-3</v>
      </c>
      <c r="I276" s="87">
        <v>1.6940933423048542E-2</v>
      </c>
      <c r="J276" s="87">
        <v>6.4251289306499985E-3</v>
      </c>
      <c r="K276" s="87">
        <v>5.7914514108580234E-3</v>
      </c>
      <c r="L276" s="87">
        <v>5.2186140786622042E-3</v>
      </c>
      <c r="M276" s="87">
        <v>8.0813740421002752E-3</v>
      </c>
      <c r="N276" s="87">
        <v>6.575972115515155E-3</v>
      </c>
      <c r="O276" s="87">
        <v>7.7730414620371608E-3</v>
      </c>
      <c r="P276" s="87">
        <v>7.4054480141790054E-3</v>
      </c>
      <c r="Q276" s="87">
        <v>5.6920104858361022E-3</v>
      </c>
      <c r="R276" s="87">
        <v>9.6495973136854051E-3</v>
      </c>
      <c r="S276" s="87">
        <v>4.0065430199616101E-3</v>
      </c>
      <c r="T276" s="87">
        <v>2.8027151338308009E-3</v>
      </c>
      <c r="U276" s="87">
        <v>2.2550667524532902E-3</v>
      </c>
      <c r="V276" s="87">
        <v>2.1291585314110796E-3</v>
      </c>
      <c r="W276" s="87">
        <v>2.5449019965376554E-3</v>
      </c>
      <c r="X276" s="87">
        <v>3.4668096475050786E-3</v>
      </c>
      <c r="Y276" s="87">
        <v>5.3986755103068527E-3</v>
      </c>
      <c r="Z276" s="87">
        <v>5.5062810848832003E-3</v>
      </c>
      <c r="AA276" s="87">
        <v>3.3110818115514393E-3</v>
      </c>
      <c r="AB276" s="87">
        <v>2.3466478626644307E-3</v>
      </c>
      <c r="AC276" s="87">
        <v>1.398114210659847E-3</v>
      </c>
      <c r="AD276" s="87">
        <v>8.8632749210747631E-4</v>
      </c>
      <c r="AE276" s="87">
        <v>1.7182910925228505E-3</v>
      </c>
      <c r="AF276" s="87">
        <v>2.3918274158419429E-3</v>
      </c>
      <c r="AG276" s="87">
        <v>1.2615993025576198E-3</v>
      </c>
      <c r="AH276" s="87">
        <v>2.3873560870069895E-3</v>
      </c>
      <c r="AI276" s="87">
        <v>2.4249969477977951E-3</v>
      </c>
      <c r="AJ276" s="87">
        <v>0</v>
      </c>
      <c r="AK276" s="87">
        <v>2.1223074856593974E-2</v>
      </c>
      <c r="AL276" s="87">
        <v>4.0353784184487942E-2</v>
      </c>
      <c r="AM276" s="87">
        <v>3.4419671336338449E-2</v>
      </c>
      <c r="AN276" s="87">
        <v>5.1481738466739618E-2</v>
      </c>
      <c r="AO276" s="87">
        <v>3.4239959183204931E-2</v>
      </c>
      <c r="AP276" s="87">
        <v>4.6284891907279781E-2</v>
      </c>
      <c r="AQ276" s="87">
        <v>4.9590399759374189E-2</v>
      </c>
      <c r="AR276" s="87">
        <v>6.1474046769668389E-2</v>
      </c>
      <c r="AS276" s="87">
        <v>5.8169772977589684E-2</v>
      </c>
      <c r="AT276" s="87">
        <v>5.6225908306155148E-2</v>
      </c>
      <c r="AU276" s="87">
        <v>7.9522005864106973E-2</v>
      </c>
      <c r="AV276" s="87">
        <v>7.3143981171047145E-2</v>
      </c>
      <c r="AW276" s="87">
        <v>4.4199931627167677E-2</v>
      </c>
      <c r="AX276" s="87">
        <v>3.4026881350714355E-2</v>
      </c>
      <c r="AY276" s="87">
        <v>3.8043683248982038E-2</v>
      </c>
      <c r="AZ276" s="87">
        <v>3.2349541924122469E-2</v>
      </c>
      <c r="BA276" s="87">
        <v>1.1427019636697218</v>
      </c>
      <c r="BB276" s="87">
        <v>3.8809393614168991E-2</v>
      </c>
      <c r="BC276" s="87">
        <v>2.395438315872914E-2</v>
      </c>
      <c r="BD276" s="87">
        <v>1.2325485732188102E-2</v>
      </c>
      <c r="BE276" s="87">
        <v>1.8241373325055606E-2</v>
      </c>
      <c r="BF276" s="87">
        <v>4.3055156813251207E-2</v>
      </c>
      <c r="BG276" s="87">
        <v>3.521335570815632E-2</v>
      </c>
      <c r="BH276" s="87">
        <v>2.1565761285992774E-2</v>
      </c>
      <c r="BI276" s="87">
        <v>2.863240253064181E-2</v>
      </c>
      <c r="BJ276" s="87">
        <v>4.345017155729318E-2</v>
      </c>
      <c r="BK276" s="87">
        <v>1.9805751727501944E-2</v>
      </c>
      <c r="BL276" s="87">
        <v>1.2086707152160646E-2</v>
      </c>
      <c r="BM276" s="87">
        <v>1.4616065769677613E-2</v>
      </c>
      <c r="BN276" s="87">
        <v>1.684550677229019E-2</v>
      </c>
      <c r="BO276" s="87">
        <v>2.7171801785004508E-2</v>
      </c>
      <c r="BP276" s="87">
        <v>3.6399569818920494E-2</v>
      </c>
      <c r="BQ276" s="87">
        <v>2.6575027084272243E-2</v>
      </c>
      <c r="BR276" s="87">
        <v>2.939486314130961E-2</v>
      </c>
      <c r="BS276" s="87">
        <v>1.5027502137198935E-3</v>
      </c>
    </row>
    <row r="277" spans="2:71" x14ac:dyDescent="0.35">
      <c r="B277" s="87">
        <v>6.9800842260384912E-4</v>
      </c>
      <c r="C277" s="87">
        <v>1.2651814246804076E-3</v>
      </c>
      <c r="D277" s="87">
        <v>9.3457688802528797E-4</v>
      </c>
      <c r="E277" s="87">
        <v>1.1638865728391527E-3</v>
      </c>
      <c r="F277" s="87">
        <v>1.0459812730875199E-3</v>
      </c>
      <c r="G277" s="87">
        <v>9.8779452413538847E-4</v>
      </c>
      <c r="H277" s="87">
        <v>9.9608768273915438E-4</v>
      </c>
      <c r="I277" s="87">
        <v>3.6536290116892119E-3</v>
      </c>
      <c r="J277" s="87">
        <v>1.291736736092613E-3</v>
      </c>
      <c r="K277" s="87">
        <v>1.1006072995967452E-3</v>
      </c>
      <c r="L277" s="87">
        <v>1.1222146945048344E-3</v>
      </c>
      <c r="M277" s="87">
        <v>1.438993250435753E-3</v>
      </c>
      <c r="N277" s="87">
        <v>1.2863172991608989E-3</v>
      </c>
      <c r="O277" s="87">
        <v>1.5490562943711636E-3</v>
      </c>
      <c r="P277" s="87">
        <v>1.4531200143955035E-3</v>
      </c>
      <c r="Q277" s="87">
        <v>1.1697179602192264E-3</v>
      </c>
      <c r="R277" s="87">
        <v>1.5879860125729884E-3</v>
      </c>
      <c r="S277" s="87">
        <v>1.9759768535304867E-3</v>
      </c>
      <c r="T277" s="87">
        <v>7.3982970178407314E-4</v>
      </c>
      <c r="U277" s="87">
        <v>7.0265017003024312E-4</v>
      </c>
      <c r="V277" s="87">
        <v>6.7270292882323616E-4</v>
      </c>
      <c r="W277" s="87">
        <v>7.3076238845087111E-4</v>
      </c>
      <c r="X277" s="87">
        <v>9.339466380404878E-4</v>
      </c>
      <c r="Y277" s="87">
        <v>1.662657652289046E-3</v>
      </c>
      <c r="Z277" s="87">
        <v>1.4308758447188819E-3</v>
      </c>
      <c r="AA277" s="87">
        <v>1.1876617208697305E-3</v>
      </c>
      <c r="AB277" s="87">
        <v>7.6751220486421428E-4</v>
      </c>
      <c r="AC277" s="87">
        <v>6.179729213893144E-4</v>
      </c>
      <c r="AD277" s="87">
        <v>9.250091802522546E-4</v>
      </c>
      <c r="AE277" s="87">
        <v>6.1417311181508917E-4</v>
      </c>
      <c r="AF277" s="87">
        <v>9.0435619578024026E-4</v>
      </c>
      <c r="AG277" s="87">
        <v>4.1364388117514571E-4</v>
      </c>
      <c r="AH277" s="87">
        <v>6.4822683546145253E-4</v>
      </c>
      <c r="AI277" s="87">
        <v>8.2280546456327166E-4</v>
      </c>
      <c r="AJ277" s="87">
        <v>0</v>
      </c>
      <c r="AK277" s="87">
        <v>5.9743826996315561E-3</v>
      </c>
      <c r="AL277" s="87">
        <v>8.8973252323524352E-3</v>
      </c>
      <c r="AM277" s="87">
        <v>7.1884847651601446E-3</v>
      </c>
      <c r="AN277" s="87">
        <v>7.9963173199957809E-3</v>
      </c>
      <c r="AO277" s="87">
        <v>6.2176288469447116E-3</v>
      </c>
      <c r="AP277" s="87">
        <v>7.8148315924509246E-3</v>
      </c>
      <c r="AQ277" s="87">
        <v>7.9529147662532364E-3</v>
      </c>
      <c r="AR277" s="87">
        <v>1.1340294434405714E-2</v>
      </c>
      <c r="AS277" s="87">
        <v>8.2502101070741438E-3</v>
      </c>
      <c r="AT277" s="87">
        <v>8.0403799967309359E-3</v>
      </c>
      <c r="AU277" s="87">
        <v>1.1317547880263059E-2</v>
      </c>
      <c r="AV277" s="87">
        <v>9.4024431472605665E-3</v>
      </c>
      <c r="AW277" s="87">
        <v>6.879975774427176E-3</v>
      </c>
      <c r="AX277" s="87">
        <v>6.034812229226639E-3</v>
      </c>
      <c r="AY277" s="87">
        <v>6.6614751247144914E-3</v>
      </c>
      <c r="AZ277" s="87">
        <v>6.4477177391937431E-3</v>
      </c>
      <c r="BA277" s="87">
        <v>2.0519484344267456E-2</v>
      </c>
      <c r="BB277" s="87">
        <v>1.0241296539010205</v>
      </c>
      <c r="BC277" s="87">
        <v>6.8805116332330725E-3</v>
      </c>
      <c r="BD277" s="87">
        <v>4.9867867310992176E-3</v>
      </c>
      <c r="BE277" s="87">
        <v>6.1317893866308492E-3</v>
      </c>
      <c r="BF277" s="87">
        <v>1.0274024487986802E-2</v>
      </c>
      <c r="BG277" s="87">
        <v>1.5830416447063057E-2</v>
      </c>
      <c r="BH277" s="87">
        <v>6.3576997354897972E-3</v>
      </c>
      <c r="BI277" s="87">
        <v>9.1239483796531368E-3</v>
      </c>
      <c r="BJ277" s="87">
        <v>1.3170774984239075E-2</v>
      </c>
      <c r="BK277" s="87">
        <v>1.2327513112123697E-2</v>
      </c>
      <c r="BL277" s="87">
        <v>8.9625288744041593E-3</v>
      </c>
      <c r="BM277" s="87">
        <v>2.6127796520012622E-2</v>
      </c>
      <c r="BN277" s="87">
        <v>7.4516817830359815E-3</v>
      </c>
      <c r="BO277" s="87">
        <v>2.1949859737748736E-2</v>
      </c>
      <c r="BP277" s="87">
        <v>1.7421114458130844E-2</v>
      </c>
      <c r="BQ277" s="87">
        <v>1.244101352372321E-2</v>
      </c>
      <c r="BR277" s="87">
        <v>1.2713917268021138E-2</v>
      </c>
      <c r="BS277" s="87">
        <v>1.9416296376325106E-3</v>
      </c>
    </row>
    <row r="278" spans="2:71" x14ac:dyDescent="0.35">
      <c r="B278" s="87">
        <v>4.972826574096451E-4</v>
      </c>
      <c r="C278" s="87">
        <v>7.2559210485776272E-4</v>
      </c>
      <c r="D278" s="87">
        <v>7.1337320480260294E-4</v>
      </c>
      <c r="E278" s="87">
        <v>8.9018744971753195E-4</v>
      </c>
      <c r="F278" s="87">
        <v>8.810571819492072E-4</v>
      </c>
      <c r="G278" s="87">
        <v>6.9911067915907302E-4</v>
      </c>
      <c r="H278" s="87">
        <v>7.0040332240337184E-4</v>
      </c>
      <c r="I278" s="87">
        <v>2.2205998553567505E-3</v>
      </c>
      <c r="J278" s="87">
        <v>9.619130941113679E-4</v>
      </c>
      <c r="K278" s="87">
        <v>8.4606352205021543E-4</v>
      </c>
      <c r="L278" s="87">
        <v>6.8116473759712189E-4</v>
      </c>
      <c r="M278" s="87">
        <v>1.0388451889411243E-3</v>
      </c>
      <c r="N278" s="87">
        <v>1.029484894895707E-3</v>
      </c>
      <c r="O278" s="87">
        <v>1.3864176787629027E-3</v>
      </c>
      <c r="P278" s="87">
        <v>1.2417227900798457E-3</v>
      </c>
      <c r="Q278" s="87">
        <v>8.8866146640535282E-4</v>
      </c>
      <c r="R278" s="87">
        <v>8.5012387694481672E-4</v>
      </c>
      <c r="S278" s="87">
        <v>6.5541086438667274E-4</v>
      </c>
      <c r="T278" s="87">
        <v>5.3218159582707827E-4</v>
      </c>
      <c r="U278" s="87">
        <v>4.5452283623898535E-4</v>
      </c>
      <c r="V278" s="87">
        <v>3.7254295218140595E-4</v>
      </c>
      <c r="W278" s="87">
        <v>4.697553629002741E-4</v>
      </c>
      <c r="X278" s="87">
        <v>6.1913991933613738E-4</v>
      </c>
      <c r="Y278" s="87">
        <v>1.13600050842838E-3</v>
      </c>
      <c r="Z278" s="87">
        <v>1.0566742114507333E-3</v>
      </c>
      <c r="AA278" s="87">
        <v>6.5098869591814518E-4</v>
      </c>
      <c r="AB278" s="87">
        <v>4.5670718520401455E-4</v>
      </c>
      <c r="AC278" s="87">
        <v>3.4066779459779084E-4</v>
      </c>
      <c r="AD278" s="87">
        <v>1.6860412977751441E-4</v>
      </c>
      <c r="AE278" s="87">
        <v>3.8490129302262731E-4</v>
      </c>
      <c r="AF278" s="87">
        <v>4.3016409401550423E-4</v>
      </c>
      <c r="AG278" s="87">
        <v>1.9222431135582207E-4</v>
      </c>
      <c r="AH278" s="87">
        <v>3.9312328094268513E-4</v>
      </c>
      <c r="AI278" s="87">
        <v>4.5267932705643846E-4</v>
      </c>
      <c r="AJ278" s="87">
        <v>0</v>
      </c>
      <c r="AK278" s="87">
        <v>6.0188876953111477E-3</v>
      </c>
      <c r="AL278" s="87">
        <v>4.3832277937711243E-3</v>
      </c>
      <c r="AM278" s="87">
        <v>9.1193389226608291E-3</v>
      </c>
      <c r="AN278" s="87">
        <v>7.4716426851871819E-3</v>
      </c>
      <c r="AO278" s="87">
        <v>7.8103224214925099E-3</v>
      </c>
      <c r="AP278" s="87">
        <v>8.6881260189606343E-3</v>
      </c>
      <c r="AQ278" s="87">
        <v>7.4978022620791861E-3</v>
      </c>
      <c r="AR278" s="87">
        <v>6.572013495444771E-3</v>
      </c>
      <c r="AS278" s="87">
        <v>7.4734313921347578E-3</v>
      </c>
      <c r="AT278" s="87">
        <v>9.0244367065941168E-3</v>
      </c>
      <c r="AU278" s="87">
        <v>9.138302831445004E-3</v>
      </c>
      <c r="AV278" s="87">
        <v>8.81358733945143E-3</v>
      </c>
      <c r="AW278" s="87">
        <v>6.9280834425576136E-3</v>
      </c>
      <c r="AX278" s="87">
        <v>6.3617971034963883E-3</v>
      </c>
      <c r="AY278" s="87">
        <v>7.3969066872655378E-3</v>
      </c>
      <c r="AZ278" s="87">
        <v>7.2826208126869994E-3</v>
      </c>
      <c r="BA278" s="87">
        <v>1.0931755822825589E-2</v>
      </c>
      <c r="BB278" s="87">
        <v>9.8214533767832669E-3</v>
      </c>
      <c r="BC278" s="87">
        <v>1.0074851573841255</v>
      </c>
      <c r="BD278" s="87">
        <v>4.1884496018856103E-3</v>
      </c>
      <c r="BE278" s="87">
        <v>4.1464626927715216E-3</v>
      </c>
      <c r="BF278" s="87">
        <v>6.7667749897221572E-3</v>
      </c>
      <c r="BG278" s="87">
        <v>1.4243266367751667E-2</v>
      </c>
      <c r="BH278" s="87">
        <v>4.5737989695245227E-3</v>
      </c>
      <c r="BI278" s="87">
        <v>8.8161237442242902E-3</v>
      </c>
      <c r="BJ278" s="87">
        <v>1.0148102859861344E-2</v>
      </c>
      <c r="BK278" s="87">
        <v>5.2145484501599912E-3</v>
      </c>
      <c r="BL278" s="87">
        <v>5.2119656879214028E-3</v>
      </c>
      <c r="BM278" s="87">
        <v>3.7283247380331141E-3</v>
      </c>
      <c r="BN278" s="87">
        <v>8.8346963941656111E-3</v>
      </c>
      <c r="BO278" s="87">
        <v>6.4594072638688351E-3</v>
      </c>
      <c r="BP278" s="87">
        <v>4.6305746440694585E-3</v>
      </c>
      <c r="BQ278" s="87">
        <v>5.8217871362658633E-3</v>
      </c>
      <c r="BR278" s="87">
        <v>8.4916298498219755E-3</v>
      </c>
      <c r="BS278" s="87">
        <v>3.7126293089404758E-4</v>
      </c>
    </row>
    <row r="279" spans="2:71" x14ac:dyDescent="0.35">
      <c r="B279" s="87">
        <v>6.257503990848381E-3</v>
      </c>
      <c r="C279" s="87">
        <v>9.0474796488711935E-3</v>
      </c>
      <c r="D279" s="87">
        <v>8.5509793584041798E-3</v>
      </c>
      <c r="E279" s="87">
        <v>1.0361368030965006E-2</v>
      </c>
      <c r="F279" s="87">
        <v>1.0676551748785837E-2</v>
      </c>
      <c r="G279" s="87">
        <v>7.9669092955359181E-3</v>
      </c>
      <c r="H279" s="87">
        <v>1.2384191993628654E-2</v>
      </c>
      <c r="I279" s="87">
        <v>4.5992093270514657E-2</v>
      </c>
      <c r="J279" s="87">
        <v>1.1228454781597676E-2</v>
      </c>
      <c r="K279" s="87">
        <v>9.4990457361501593E-3</v>
      </c>
      <c r="L279" s="87">
        <v>7.7859304616631399E-3</v>
      </c>
      <c r="M279" s="87">
        <v>1.0620806669885323E-2</v>
      </c>
      <c r="N279" s="87">
        <v>1.1135875277526514E-2</v>
      </c>
      <c r="O279" s="87">
        <v>1.7036992424686606E-2</v>
      </c>
      <c r="P279" s="87">
        <v>1.3850207365178818E-2</v>
      </c>
      <c r="Q279" s="87">
        <v>9.7122327474456881E-3</v>
      </c>
      <c r="R279" s="87">
        <v>1.3568393833982105E-2</v>
      </c>
      <c r="S279" s="87">
        <v>6.8839283520909546E-3</v>
      </c>
      <c r="T279" s="87">
        <v>5.333737728433709E-3</v>
      </c>
      <c r="U279" s="87">
        <v>4.6162174402380437E-3</v>
      </c>
      <c r="V279" s="87">
        <v>3.6212166608601557E-3</v>
      </c>
      <c r="W279" s="87">
        <v>5.4143507888129673E-3</v>
      </c>
      <c r="X279" s="87">
        <v>6.5536231557664195E-3</v>
      </c>
      <c r="Y279" s="87">
        <v>8.8275983473255649E-3</v>
      </c>
      <c r="Z279" s="87">
        <v>1.1908946395874333E-2</v>
      </c>
      <c r="AA279" s="87">
        <v>5.5365314574913355E-3</v>
      </c>
      <c r="AB279" s="87">
        <v>4.5539099944762245E-3</v>
      </c>
      <c r="AC279" s="87">
        <v>2.4415653530491487E-3</v>
      </c>
      <c r="AD279" s="87">
        <v>1.4683456751861342E-3</v>
      </c>
      <c r="AE279" s="87">
        <v>3.599541750993022E-3</v>
      </c>
      <c r="AF279" s="87">
        <v>4.3499413819076986E-3</v>
      </c>
      <c r="AG279" s="87">
        <v>1.9393208119607155E-3</v>
      </c>
      <c r="AH279" s="87">
        <v>4.2642280070514498E-3</v>
      </c>
      <c r="AI279" s="87">
        <v>4.1096426049797175E-3</v>
      </c>
      <c r="AJ279" s="87">
        <v>0</v>
      </c>
      <c r="AK279" s="87">
        <v>5.3248389162084242E-2</v>
      </c>
      <c r="AL279" s="87">
        <v>2.7262695186085623E-2</v>
      </c>
      <c r="AM279" s="87">
        <v>0.10691570821131437</v>
      </c>
      <c r="AN279" s="87">
        <v>8.4425673139398472E-2</v>
      </c>
      <c r="AO279" s="87">
        <v>9.4659137000494081E-2</v>
      </c>
      <c r="AP279" s="87">
        <v>9.7368685274051181E-2</v>
      </c>
      <c r="AQ279" s="87">
        <v>8.2067243134846091E-2</v>
      </c>
      <c r="AR279" s="87">
        <v>8.204180398066574E-2</v>
      </c>
      <c r="AS279" s="87">
        <v>7.6523561753771979E-2</v>
      </c>
      <c r="AT279" s="87">
        <v>8.7097753591517016E-2</v>
      </c>
      <c r="AU279" s="87">
        <v>6.9674409413129176E-2</v>
      </c>
      <c r="AV279" s="87">
        <v>7.8450456110386424E-2</v>
      </c>
      <c r="AW279" s="87">
        <v>8.0778521438970116E-2</v>
      </c>
      <c r="AX279" s="87">
        <v>7.6692746468437503E-2</v>
      </c>
      <c r="AY279" s="87">
        <v>9.2338893839258127E-2</v>
      </c>
      <c r="AZ279" s="87">
        <v>6.7166845321778551E-2</v>
      </c>
      <c r="BA279" s="87">
        <v>3.7543397023287496E-2</v>
      </c>
      <c r="BB279" s="87">
        <v>7.9780860605231582E-2</v>
      </c>
      <c r="BC279" s="87">
        <v>5.2754456758195283E-2</v>
      </c>
      <c r="BD279" s="87">
        <v>1.022303754214668</v>
      </c>
      <c r="BE279" s="87">
        <v>2.121544509722793E-2</v>
      </c>
      <c r="BF279" s="87">
        <v>7.7020609079248514E-2</v>
      </c>
      <c r="BG279" s="87">
        <v>4.5540333855471592E-2</v>
      </c>
      <c r="BH279" s="87">
        <v>4.7686000099871576E-2</v>
      </c>
      <c r="BI279" s="87">
        <v>5.1887900689103664E-2</v>
      </c>
      <c r="BJ279" s="87">
        <v>5.2782051348415598E-2</v>
      </c>
      <c r="BK279" s="87">
        <v>2.5973176684247038E-2</v>
      </c>
      <c r="BL279" s="87">
        <v>1.5459955580187793E-2</v>
      </c>
      <c r="BM279" s="87">
        <v>1.1323983563509585E-2</v>
      </c>
      <c r="BN279" s="87">
        <v>3.0720397879411675E-2</v>
      </c>
      <c r="BO279" s="87">
        <v>3.8953911826968786E-2</v>
      </c>
      <c r="BP279" s="87">
        <v>2.7960177076855552E-2</v>
      </c>
      <c r="BQ279" s="87">
        <v>4.8934002059161513E-2</v>
      </c>
      <c r="BR279" s="87">
        <v>3.6916289720942005E-2</v>
      </c>
      <c r="BS279" s="87">
        <v>1.9870364023954531E-3</v>
      </c>
    </row>
    <row r="280" spans="2:71" x14ac:dyDescent="0.35">
      <c r="B280" s="87">
        <v>1.7179053174162869E-3</v>
      </c>
      <c r="C280" s="87">
        <v>2.043008728253126E-3</v>
      </c>
      <c r="D280" s="87">
        <v>2.5035705487162175E-3</v>
      </c>
      <c r="E280" s="87">
        <v>3.5573946070201392E-3</v>
      </c>
      <c r="F280" s="87">
        <v>3.6217876509331598E-3</v>
      </c>
      <c r="G280" s="87">
        <v>2.3883818519589805E-3</v>
      </c>
      <c r="H280" s="87">
        <v>2.225997590006358E-3</v>
      </c>
      <c r="I280" s="87">
        <v>5.5890904503043144E-3</v>
      </c>
      <c r="J280" s="87">
        <v>3.0605423644056167E-3</v>
      </c>
      <c r="K280" s="87">
        <v>2.8660795762772452E-3</v>
      </c>
      <c r="L280" s="87">
        <v>2.0865580609583474E-3</v>
      </c>
      <c r="M280" s="87">
        <v>3.2698643285969027E-3</v>
      </c>
      <c r="N280" s="87">
        <v>3.458009034134501E-3</v>
      </c>
      <c r="O280" s="87">
        <v>4.8763320384318451E-3</v>
      </c>
      <c r="P280" s="87">
        <v>4.4028019821751897E-3</v>
      </c>
      <c r="Q280" s="87">
        <v>3.051715773239505E-3</v>
      </c>
      <c r="R280" s="87">
        <v>2.1945763310121293E-3</v>
      </c>
      <c r="S280" s="87">
        <v>2.0879650427515183E-3</v>
      </c>
      <c r="T280" s="87">
        <v>1.6172646221157114E-3</v>
      </c>
      <c r="U280" s="87">
        <v>1.3984944843624717E-3</v>
      </c>
      <c r="V280" s="87">
        <v>1.1331347440549616E-3</v>
      </c>
      <c r="W280" s="87">
        <v>1.6474964390549446E-3</v>
      </c>
      <c r="X280" s="87">
        <v>1.7159008965024569E-3</v>
      </c>
      <c r="Y280" s="87">
        <v>3.026106523902514E-3</v>
      </c>
      <c r="Z280" s="87">
        <v>3.2385275944479298E-3</v>
      </c>
      <c r="AA280" s="87">
        <v>1.8037503759810879E-3</v>
      </c>
      <c r="AB280" s="87">
        <v>1.4337203786234281E-3</v>
      </c>
      <c r="AC280" s="87">
        <v>8.956755230745616E-4</v>
      </c>
      <c r="AD280" s="87">
        <v>4.8004018540244019E-4</v>
      </c>
      <c r="AE280" s="87">
        <v>1.073332514555436E-3</v>
      </c>
      <c r="AF280" s="87">
        <v>1.3800058467884932E-3</v>
      </c>
      <c r="AG280" s="87">
        <v>5.7977511876924881E-4</v>
      </c>
      <c r="AH280" s="87">
        <v>1.3133541051988304E-3</v>
      </c>
      <c r="AI280" s="87">
        <v>1.3314586689748917E-3</v>
      </c>
      <c r="AJ280" s="87">
        <v>0</v>
      </c>
      <c r="AK280" s="87">
        <v>2.1236602441016838E-2</v>
      </c>
      <c r="AL280" s="87">
        <v>1.0436301885413895E-2</v>
      </c>
      <c r="AM280" s="87">
        <v>3.7882986750878166E-2</v>
      </c>
      <c r="AN280" s="87">
        <v>3.4669168713688511E-2</v>
      </c>
      <c r="AO280" s="87">
        <v>3.8084054242955766E-2</v>
      </c>
      <c r="AP280" s="87">
        <v>2.9526076480340981E-2</v>
      </c>
      <c r="AQ280" s="87">
        <v>2.5965973044672609E-2</v>
      </c>
      <c r="AR280" s="87">
        <v>2.6201109426908804E-2</v>
      </c>
      <c r="AS280" s="87">
        <v>2.5529544189127434E-2</v>
      </c>
      <c r="AT280" s="87">
        <v>2.8345057585425597E-2</v>
      </c>
      <c r="AU280" s="87">
        <v>2.4822423681192744E-2</v>
      </c>
      <c r="AV280" s="87">
        <v>2.6341731206415257E-2</v>
      </c>
      <c r="AW280" s="87">
        <v>2.4247512001306388E-2</v>
      </c>
      <c r="AX280" s="87">
        <v>2.3698681276497192E-2</v>
      </c>
      <c r="AY280" s="87">
        <v>2.9461558526110883E-2</v>
      </c>
      <c r="AZ280" s="87">
        <v>2.9424408013754986E-2</v>
      </c>
      <c r="BA280" s="87">
        <v>1.4179058931110728E-2</v>
      </c>
      <c r="BB280" s="87">
        <v>3.8017017303030469E-2</v>
      </c>
      <c r="BC280" s="87">
        <v>2.0878428720737342E-2</v>
      </c>
      <c r="BD280" s="87">
        <v>8.254893031069176E-3</v>
      </c>
      <c r="BE280" s="87">
        <v>1.0095266608810234</v>
      </c>
      <c r="BF280" s="87">
        <v>3.0491377154132363E-2</v>
      </c>
      <c r="BG280" s="87">
        <v>2.4107231575141379E-2</v>
      </c>
      <c r="BH280" s="87">
        <v>1.6956735469436334E-2</v>
      </c>
      <c r="BI280" s="87">
        <v>2.0164868935933035E-2</v>
      </c>
      <c r="BJ280" s="87">
        <v>2.2132843141871802E-2</v>
      </c>
      <c r="BK280" s="87">
        <v>1.3549439995157923E-2</v>
      </c>
      <c r="BL280" s="87">
        <v>1.118979995149039E-2</v>
      </c>
      <c r="BM280" s="87">
        <v>6.8636013827359189E-3</v>
      </c>
      <c r="BN280" s="87">
        <v>1.6496647164742136E-2</v>
      </c>
      <c r="BO280" s="87">
        <v>1.519635102412994E-2</v>
      </c>
      <c r="BP280" s="87">
        <v>1.1675198393755432E-2</v>
      </c>
      <c r="BQ280" s="87">
        <v>1.7659345823746193E-2</v>
      </c>
      <c r="BR280" s="87">
        <v>1.8853278652648603E-2</v>
      </c>
      <c r="BS280" s="87">
        <v>1.2051929981958314E-3</v>
      </c>
    </row>
    <row r="281" spans="2:71" x14ac:dyDescent="0.35">
      <c r="B281" s="87">
        <v>1.4193659499839538E-3</v>
      </c>
      <c r="C281" s="87">
        <v>2.6095592368100438E-3</v>
      </c>
      <c r="D281" s="87">
        <v>2.2555417723757239E-3</v>
      </c>
      <c r="E281" s="87">
        <v>2.7400066355692801E-3</v>
      </c>
      <c r="F281" s="87">
        <v>2.8656227611751971E-3</v>
      </c>
      <c r="G281" s="87">
        <v>2.171503438221653E-3</v>
      </c>
      <c r="H281" s="87">
        <v>2.5012230041611592E-3</v>
      </c>
      <c r="I281" s="87">
        <v>4.2652533768738655E-3</v>
      </c>
      <c r="J281" s="87">
        <v>2.7183285858831739E-3</v>
      </c>
      <c r="K281" s="87">
        <v>2.4976507605310515E-3</v>
      </c>
      <c r="L281" s="87">
        <v>2.2419800508102494E-3</v>
      </c>
      <c r="M281" s="87">
        <v>2.840247793949955E-3</v>
      </c>
      <c r="N281" s="87">
        <v>3.0553058436201034E-3</v>
      </c>
      <c r="O281" s="87">
        <v>3.6594131364343419E-3</v>
      </c>
      <c r="P281" s="87">
        <v>3.3170947322984346E-3</v>
      </c>
      <c r="Q281" s="87">
        <v>2.676332899138142E-3</v>
      </c>
      <c r="R281" s="87">
        <v>2.122565068744307E-3</v>
      </c>
      <c r="S281" s="87">
        <v>2.2827702004900429E-3</v>
      </c>
      <c r="T281" s="87">
        <v>2.1564974054021887E-3</v>
      </c>
      <c r="U281" s="87">
        <v>2.3936735443560717E-3</v>
      </c>
      <c r="V281" s="87">
        <v>4.3489817633526797E-3</v>
      </c>
      <c r="W281" s="87">
        <v>2.483149203924622E-3</v>
      </c>
      <c r="X281" s="87">
        <v>2.7022360534371447E-3</v>
      </c>
      <c r="Y281" s="87">
        <v>4.501378247690287E-3</v>
      </c>
      <c r="Z281" s="87">
        <v>7.0900742534512062E-3</v>
      </c>
      <c r="AA281" s="87">
        <v>5.9240345456425493E-3</v>
      </c>
      <c r="AB281" s="87">
        <v>1.8136469919644205E-3</v>
      </c>
      <c r="AC281" s="87">
        <v>2.2140194061379278E-3</v>
      </c>
      <c r="AD281" s="87">
        <v>7.5935938127298934E-4</v>
      </c>
      <c r="AE281" s="87">
        <v>1.9813544433419494E-3</v>
      </c>
      <c r="AF281" s="87">
        <v>2.7391421681788046E-3</v>
      </c>
      <c r="AG281" s="87">
        <v>1.583928034597633E-3</v>
      </c>
      <c r="AH281" s="87">
        <v>2.3580140918289952E-3</v>
      </c>
      <c r="AI281" s="87">
        <v>2.5492804770216289E-3</v>
      </c>
      <c r="AJ281" s="87">
        <v>0</v>
      </c>
      <c r="AK281" s="87">
        <v>5.6702051502869966E-3</v>
      </c>
      <c r="AL281" s="87">
        <v>6.6893692962247554E-3</v>
      </c>
      <c r="AM281" s="87">
        <v>1.2001387185858008E-2</v>
      </c>
      <c r="AN281" s="87">
        <v>1.3421322418568905E-2</v>
      </c>
      <c r="AO281" s="87">
        <v>1.3576856205230024E-2</v>
      </c>
      <c r="AP281" s="87">
        <v>1.2572718755139297E-2</v>
      </c>
      <c r="AQ281" s="87">
        <v>1.4512039197055682E-2</v>
      </c>
      <c r="AR281" s="87">
        <v>7.3935619000180626E-3</v>
      </c>
      <c r="AS281" s="87">
        <v>1.208454298718746E-2</v>
      </c>
      <c r="AT281" s="87">
        <v>1.4050990864150414E-2</v>
      </c>
      <c r="AU281" s="87">
        <v>1.4463212030163387E-2</v>
      </c>
      <c r="AV281" s="87">
        <v>1.3410511022274427E-2</v>
      </c>
      <c r="AW281" s="87">
        <v>1.4405419728933583E-2</v>
      </c>
      <c r="AX281" s="87">
        <v>1.2747630057013289E-2</v>
      </c>
      <c r="AY281" s="87">
        <v>1.2569089604957983E-2</v>
      </c>
      <c r="AZ281" s="87">
        <v>1.1053211194994104E-2</v>
      </c>
      <c r="BA281" s="87">
        <v>8.7020927584746909E-3</v>
      </c>
      <c r="BB281" s="87">
        <v>1.4845666972356597E-2</v>
      </c>
      <c r="BC281" s="87">
        <v>9.8387219765515808E-3</v>
      </c>
      <c r="BD281" s="87">
        <v>1.061347789237241E-2</v>
      </c>
      <c r="BE281" s="87">
        <v>7.9625892333177566E-3</v>
      </c>
      <c r="BF281" s="87">
        <v>1.0170919369595237</v>
      </c>
      <c r="BG281" s="87">
        <v>1.4788198275681962E-2</v>
      </c>
      <c r="BH281" s="87">
        <v>1.1849055983527033E-2</v>
      </c>
      <c r="BI281" s="87">
        <v>2.482531492053585E-2</v>
      </c>
      <c r="BJ281" s="87">
        <v>3.2494870718529079E-2</v>
      </c>
      <c r="BK281" s="87">
        <v>1.3697220863438664E-2</v>
      </c>
      <c r="BL281" s="87">
        <v>2.0214777580382055E-2</v>
      </c>
      <c r="BM281" s="87">
        <v>5.9510993540069345E-3</v>
      </c>
      <c r="BN281" s="87">
        <v>2.2634525669490018E-2</v>
      </c>
      <c r="BO281" s="87">
        <v>1.8312765685088123E-2</v>
      </c>
      <c r="BP281" s="87">
        <v>1.6973562234372751E-2</v>
      </c>
      <c r="BQ281" s="87">
        <v>1.5153705745884212E-2</v>
      </c>
      <c r="BR281" s="87">
        <v>1.9874128180170838E-2</v>
      </c>
      <c r="BS281" s="87">
        <v>1.0694183239805168E-3</v>
      </c>
    </row>
    <row r="282" spans="2:71" x14ac:dyDescent="0.35">
      <c r="B282" s="87">
        <v>4.2620830499939966E-3</v>
      </c>
      <c r="C282" s="87">
        <v>8.7605065830452036E-3</v>
      </c>
      <c r="D282" s="87">
        <v>5.6227536294567535E-3</v>
      </c>
      <c r="E282" s="87">
        <v>6.7614413010877363E-3</v>
      </c>
      <c r="F282" s="87">
        <v>6.3673149641554428E-3</v>
      </c>
      <c r="G282" s="87">
        <v>6.0874176482558044E-3</v>
      </c>
      <c r="H282" s="87">
        <v>5.2911023199303311E-3</v>
      </c>
      <c r="I282" s="87">
        <v>4.7201898664215293E-2</v>
      </c>
      <c r="J282" s="87">
        <v>8.1109522186359091E-3</v>
      </c>
      <c r="K282" s="87">
        <v>6.5135517586210508E-3</v>
      </c>
      <c r="L282" s="87">
        <v>7.1306096170702261E-3</v>
      </c>
      <c r="M282" s="87">
        <v>7.3204438421186971E-3</v>
      </c>
      <c r="N282" s="87">
        <v>6.4432267945244799E-3</v>
      </c>
      <c r="O282" s="87">
        <v>7.6288689230167277E-3</v>
      </c>
      <c r="P282" s="87">
        <v>7.808740434568022E-3</v>
      </c>
      <c r="Q282" s="87">
        <v>6.616256867249668E-3</v>
      </c>
      <c r="R282" s="87">
        <v>1.2372335996240973E-2</v>
      </c>
      <c r="S282" s="87">
        <v>4.531056226011256E-3</v>
      </c>
      <c r="T282" s="87">
        <v>3.8437643920191831E-3</v>
      </c>
      <c r="U282" s="87">
        <v>4.9729216451219471E-3</v>
      </c>
      <c r="V282" s="87">
        <v>3.0538491921268973E-3</v>
      </c>
      <c r="W282" s="87">
        <v>3.3188732355308292E-3</v>
      </c>
      <c r="X282" s="87">
        <v>8.1231592171242019E-3</v>
      </c>
      <c r="Y282" s="87">
        <v>8.9550707801320031E-3</v>
      </c>
      <c r="Z282" s="87">
        <v>9.0248921908678177E-3</v>
      </c>
      <c r="AA282" s="87">
        <v>9.0211072196955157E-3</v>
      </c>
      <c r="AB282" s="87">
        <v>2.6556487829443765E-3</v>
      </c>
      <c r="AC282" s="87">
        <v>1.628604001090338E-3</v>
      </c>
      <c r="AD282" s="87">
        <v>9.5710560268273063E-4</v>
      </c>
      <c r="AE282" s="87">
        <v>2.1279824980156032E-3</v>
      </c>
      <c r="AF282" s="87">
        <v>2.9087083833950964E-3</v>
      </c>
      <c r="AG282" s="87">
        <v>1.8344767321340117E-3</v>
      </c>
      <c r="AH282" s="87">
        <v>2.5881867828995058E-3</v>
      </c>
      <c r="AI282" s="87">
        <v>2.8402029331917817E-3</v>
      </c>
      <c r="AJ282" s="87">
        <v>0</v>
      </c>
      <c r="AK282" s="87">
        <v>2.4651574733264077E-2</v>
      </c>
      <c r="AL282" s="87">
        <v>2.3212937704737199E-2</v>
      </c>
      <c r="AM282" s="87">
        <v>4.5174445745290094E-2</v>
      </c>
      <c r="AN282" s="87">
        <v>4.7006960837194044E-2</v>
      </c>
      <c r="AO282" s="87">
        <v>4.3335513212536543E-2</v>
      </c>
      <c r="AP282" s="87">
        <v>4.546695072921738E-2</v>
      </c>
      <c r="AQ282" s="87">
        <v>3.6638382669739802E-2</v>
      </c>
      <c r="AR282" s="87">
        <v>6.5580344235430799E-2</v>
      </c>
      <c r="AS282" s="87">
        <v>4.0110671891987866E-2</v>
      </c>
      <c r="AT282" s="87">
        <v>4.1140966466023443E-2</v>
      </c>
      <c r="AU282" s="87">
        <v>5.478795952786307E-2</v>
      </c>
      <c r="AV282" s="87">
        <v>4.1760499309941669E-2</v>
      </c>
      <c r="AW282" s="87">
        <v>3.4235346498441933E-2</v>
      </c>
      <c r="AX282" s="87">
        <v>2.7123785028461352E-2</v>
      </c>
      <c r="AY282" s="87">
        <v>3.3913986868297968E-2</v>
      </c>
      <c r="AZ282" s="87">
        <v>3.6837981593594839E-2</v>
      </c>
      <c r="BA282" s="87">
        <v>3.4657870612057072E-2</v>
      </c>
      <c r="BB282" s="87">
        <v>4.5875606950071514E-2</v>
      </c>
      <c r="BC282" s="87">
        <v>2.1734538633239302E-2</v>
      </c>
      <c r="BD282" s="87">
        <v>1.9230523673979958E-2</v>
      </c>
      <c r="BE282" s="87">
        <v>1.5726389536898294E-2</v>
      </c>
      <c r="BF282" s="87">
        <v>2.4659557107890213E-2</v>
      </c>
      <c r="BG282" s="87">
        <v>1.056126150960538</v>
      </c>
      <c r="BH282" s="87">
        <v>2.3352302260708731E-2</v>
      </c>
      <c r="BI282" s="87">
        <v>2.7144670751265608E-2</v>
      </c>
      <c r="BJ282" s="87">
        <v>4.8599726149248956E-2</v>
      </c>
      <c r="BK282" s="87">
        <v>1.7096136518685068E-2</v>
      </c>
      <c r="BL282" s="87">
        <v>1.310863113542666E-2</v>
      </c>
      <c r="BM282" s="87">
        <v>6.483926071856114E-3</v>
      </c>
      <c r="BN282" s="87">
        <v>1.4945706144680458E-2</v>
      </c>
      <c r="BO282" s="87">
        <v>2.0440926258102444E-2</v>
      </c>
      <c r="BP282" s="87">
        <v>1.6266514620333274E-2</v>
      </c>
      <c r="BQ282" s="87">
        <v>1.7564402145372957E-2</v>
      </c>
      <c r="BR282" s="87">
        <v>2.0472756719281775E-2</v>
      </c>
      <c r="BS282" s="87">
        <v>1.8287115528272026E-3</v>
      </c>
    </row>
    <row r="283" spans="2:71" x14ac:dyDescent="0.35">
      <c r="B283" s="87">
        <v>8.6625428796542148E-4</v>
      </c>
      <c r="C283" s="87">
        <v>2.5294678330333663E-3</v>
      </c>
      <c r="D283" s="87">
        <v>1.1294572997193142E-3</v>
      </c>
      <c r="E283" s="87">
        <v>1.5736755427712701E-3</v>
      </c>
      <c r="F283" s="87">
        <v>1.4502171280156414E-3</v>
      </c>
      <c r="G283" s="87">
        <v>1.4993922589295364E-3</v>
      </c>
      <c r="H283" s="87">
        <v>1.2273078893995371E-3</v>
      </c>
      <c r="I283" s="87">
        <v>4.6068832289864886E-3</v>
      </c>
      <c r="J283" s="87">
        <v>1.7643920454573751E-3</v>
      </c>
      <c r="K283" s="87">
        <v>1.3769970083672557E-3</v>
      </c>
      <c r="L283" s="87">
        <v>1.3608213818708077E-3</v>
      </c>
      <c r="M283" s="87">
        <v>2.483935506291347E-3</v>
      </c>
      <c r="N283" s="87">
        <v>1.9371236014658084E-3</v>
      </c>
      <c r="O283" s="87">
        <v>2.0310630614527297E-3</v>
      </c>
      <c r="P283" s="87">
        <v>2.4890809207043347E-3</v>
      </c>
      <c r="Q283" s="87">
        <v>1.6314084755785943E-3</v>
      </c>
      <c r="R283" s="87">
        <v>1.6477416687261882E-3</v>
      </c>
      <c r="S283" s="87">
        <v>1.0730453673758675E-3</v>
      </c>
      <c r="T283" s="87">
        <v>9.7802826161821812E-4</v>
      </c>
      <c r="U283" s="87">
        <v>1.4078009081319762E-3</v>
      </c>
      <c r="V283" s="87">
        <v>5.3489828060355766E-4</v>
      </c>
      <c r="W283" s="87">
        <v>6.8593465253804554E-4</v>
      </c>
      <c r="X283" s="87">
        <v>1.1834834590428015E-3</v>
      </c>
      <c r="Y283" s="87">
        <v>1.2776202017627029E-2</v>
      </c>
      <c r="Z283" s="87">
        <v>1.9105375991532861E-3</v>
      </c>
      <c r="AA283" s="87">
        <v>3.1161880537085452E-3</v>
      </c>
      <c r="AB283" s="87">
        <v>6.1914344853035647E-4</v>
      </c>
      <c r="AC283" s="87">
        <v>3.3014399312366791E-4</v>
      </c>
      <c r="AD283" s="87">
        <v>2.0044258159766706E-4</v>
      </c>
      <c r="AE283" s="87">
        <v>4.2979886230660395E-4</v>
      </c>
      <c r="AF283" s="87">
        <v>6.1879034499183602E-4</v>
      </c>
      <c r="AG283" s="87">
        <v>2.6834213129796352E-4</v>
      </c>
      <c r="AH283" s="87">
        <v>5.2642595544764761E-4</v>
      </c>
      <c r="AI283" s="87">
        <v>5.5983180739243893E-4</v>
      </c>
      <c r="AJ283" s="87">
        <v>0</v>
      </c>
      <c r="AK283" s="87">
        <v>5.100387711837847E-3</v>
      </c>
      <c r="AL283" s="87">
        <v>8.5272933852183208E-3</v>
      </c>
      <c r="AM283" s="87">
        <v>1.1275098971258795E-2</v>
      </c>
      <c r="AN283" s="87">
        <v>1.1983234439465544E-2</v>
      </c>
      <c r="AO283" s="87">
        <v>1.1476782264491529E-2</v>
      </c>
      <c r="AP283" s="87">
        <v>1.5478996426777086E-2</v>
      </c>
      <c r="AQ283" s="87">
        <v>9.0978190419587022E-3</v>
      </c>
      <c r="AR283" s="87">
        <v>9.5413503290650795E-3</v>
      </c>
      <c r="AS283" s="87">
        <v>8.7327322193380217E-3</v>
      </c>
      <c r="AT283" s="87">
        <v>1.0396985849732655E-2</v>
      </c>
      <c r="AU283" s="87">
        <v>1.7212556331013453E-2</v>
      </c>
      <c r="AV283" s="87">
        <v>1.5124417191628801E-2</v>
      </c>
      <c r="AW283" s="87">
        <v>1.0945503147622103E-2</v>
      </c>
      <c r="AX283" s="87">
        <v>7.858084585488553E-3</v>
      </c>
      <c r="AY283" s="87">
        <v>9.6028992562953736E-3</v>
      </c>
      <c r="AZ283" s="87">
        <v>8.5312024463622908E-3</v>
      </c>
      <c r="BA283" s="87">
        <v>6.5768918720845422E-3</v>
      </c>
      <c r="BB283" s="87">
        <v>9.9795250608330707E-3</v>
      </c>
      <c r="BC283" s="87">
        <v>4.2883139039168183E-3</v>
      </c>
      <c r="BD283" s="87">
        <v>8.1536706678779734E-3</v>
      </c>
      <c r="BE283" s="87">
        <v>4.3223026254955452E-3</v>
      </c>
      <c r="BF283" s="87">
        <v>5.4615675993690427E-3</v>
      </c>
      <c r="BG283" s="87">
        <v>6.0623072299176841E-3</v>
      </c>
      <c r="BH283" s="87">
        <v>1.2251486054515894</v>
      </c>
      <c r="BI283" s="87">
        <v>6.399254013298987E-3</v>
      </c>
      <c r="BJ283" s="87">
        <v>5.2752032485530176E-3</v>
      </c>
      <c r="BK283" s="87">
        <v>2.4839523650802388E-3</v>
      </c>
      <c r="BL283" s="87">
        <v>1.8042349985152625E-3</v>
      </c>
      <c r="BM283" s="87">
        <v>2.6597114755393583E-3</v>
      </c>
      <c r="BN283" s="87">
        <v>3.4015748235589199E-3</v>
      </c>
      <c r="BO283" s="87">
        <v>3.3728399334086575E-3</v>
      </c>
      <c r="BP283" s="87">
        <v>2.6994990609594247E-3</v>
      </c>
      <c r="BQ283" s="87">
        <v>3.1374005712531895E-3</v>
      </c>
      <c r="BR283" s="87">
        <v>3.6092454922073457E-3</v>
      </c>
      <c r="BS283" s="87">
        <v>2.2614126005034559E-4</v>
      </c>
    </row>
    <row r="284" spans="2:71" x14ac:dyDescent="0.35">
      <c r="B284" s="87">
        <v>5.8801324516265664E-4</v>
      </c>
      <c r="C284" s="87">
        <v>1.3291130792240416E-3</v>
      </c>
      <c r="D284" s="87">
        <v>1.0160248333142966E-3</v>
      </c>
      <c r="E284" s="87">
        <v>1.2728362319162966E-3</v>
      </c>
      <c r="F284" s="87">
        <v>2.0118970953023041E-3</v>
      </c>
      <c r="G284" s="87">
        <v>9.6655560447009476E-4</v>
      </c>
      <c r="H284" s="87">
        <v>1.1891014203479476E-3</v>
      </c>
      <c r="I284" s="87">
        <v>1.9626187555455239E-3</v>
      </c>
      <c r="J284" s="87">
        <v>1.3315793058086239E-3</v>
      </c>
      <c r="K284" s="87">
        <v>1.1832166457960325E-3</v>
      </c>
      <c r="L284" s="87">
        <v>1.1110767568760251E-3</v>
      </c>
      <c r="M284" s="87">
        <v>1.1503669620482463E-3</v>
      </c>
      <c r="N284" s="87">
        <v>1.3303890081447741E-3</v>
      </c>
      <c r="O284" s="87">
        <v>1.5312133351109058E-3</v>
      </c>
      <c r="P284" s="87">
        <v>1.4240381363767414E-3</v>
      </c>
      <c r="Q284" s="87">
        <v>1.1688711530641802E-3</v>
      </c>
      <c r="R284" s="87">
        <v>8.2727339791009464E-4</v>
      </c>
      <c r="S284" s="87">
        <v>9.1786672878940115E-4</v>
      </c>
      <c r="T284" s="87">
        <v>1.1090705473354103E-3</v>
      </c>
      <c r="U284" s="87">
        <v>1.4175221578551385E-3</v>
      </c>
      <c r="V284" s="87">
        <v>8.6935440832477051E-4</v>
      </c>
      <c r="W284" s="87">
        <v>7.8257954726743747E-4</v>
      </c>
      <c r="X284" s="87">
        <v>1.31051628133101E-3</v>
      </c>
      <c r="Y284" s="87">
        <v>2.6920459632074419E-3</v>
      </c>
      <c r="Z284" s="87">
        <v>8.3969543743723264E-3</v>
      </c>
      <c r="AA284" s="87">
        <v>6.3228715403127987E-3</v>
      </c>
      <c r="AB284" s="87">
        <v>1.1910419362846927E-3</v>
      </c>
      <c r="AC284" s="87">
        <v>1.3015683666401925E-3</v>
      </c>
      <c r="AD284" s="87">
        <v>3.344791241443923E-4</v>
      </c>
      <c r="AE284" s="87">
        <v>1.2236436321044234E-3</v>
      </c>
      <c r="AF284" s="87">
        <v>9.9498754794953657E-4</v>
      </c>
      <c r="AG284" s="87">
        <v>3.6291971278606852E-4</v>
      </c>
      <c r="AH284" s="87">
        <v>5.821418509603136E-4</v>
      </c>
      <c r="AI284" s="87">
        <v>1.153796060522841E-3</v>
      </c>
      <c r="AJ284" s="87">
        <v>0</v>
      </c>
      <c r="AK284" s="87">
        <v>1.9320143027319642E-3</v>
      </c>
      <c r="AL284" s="87">
        <v>2.0526280728697978E-3</v>
      </c>
      <c r="AM284" s="87">
        <v>3.5450399257602725E-3</v>
      </c>
      <c r="AN284" s="87">
        <v>4.0145368862234913E-3</v>
      </c>
      <c r="AO284" s="87">
        <v>4.2789006975409247E-3</v>
      </c>
      <c r="AP284" s="87">
        <v>4.0236172412724232E-3</v>
      </c>
      <c r="AQ284" s="87">
        <v>4.2404738400295709E-3</v>
      </c>
      <c r="AR284" s="87">
        <v>2.3530471293012893E-3</v>
      </c>
      <c r="AS284" s="87">
        <v>3.3909966270811143E-3</v>
      </c>
      <c r="AT284" s="87">
        <v>3.7565630185144657E-3</v>
      </c>
      <c r="AU284" s="87">
        <v>3.4398369692533307E-3</v>
      </c>
      <c r="AV284" s="87">
        <v>3.0958776107225484E-3</v>
      </c>
      <c r="AW284" s="87">
        <v>3.8561752534691115E-3</v>
      </c>
      <c r="AX284" s="87">
        <v>3.6444979890327511E-3</v>
      </c>
      <c r="AY284" s="87">
        <v>3.5791420280605816E-3</v>
      </c>
      <c r="AZ284" s="87">
        <v>3.228856296454561E-3</v>
      </c>
      <c r="BA284" s="87">
        <v>2.1211939075022109E-3</v>
      </c>
      <c r="BB284" s="87">
        <v>3.3645210089591898E-3</v>
      </c>
      <c r="BC284" s="87">
        <v>3.2849880905804351E-3</v>
      </c>
      <c r="BD284" s="87">
        <v>3.469386356722606E-3</v>
      </c>
      <c r="BE284" s="87">
        <v>2.3787402573410923E-3</v>
      </c>
      <c r="BF284" s="87">
        <v>3.229207751538623E-3</v>
      </c>
      <c r="BG284" s="87">
        <v>4.145868619474611E-3</v>
      </c>
      <c r="BH284" s="87">
        <v>6.5083444327177255E-3</v>
      </c>
      <c r="BI284" s="87">
        <v>1.0308148050359327</v>
      </c>
      <c r="BJ284" s="87">
        <v>5.4168016956051782E-3</v>
      </c>
      <c r="BK284" s="87">
        <v>4.8197656270443229E-3</v>
      </c>
      <c r="BL284" s="87">
        <v>4.2987879551441227E-3</v>
      </c>
      <c r="BM284" s="87">
        <v>1.2290107450876309E-3</v>
      </c>
      <c r="BN284" s="87">
        <v>5.2777237669069657E-3</v>
      </c>
      <c r="BO284" s="87">
        <v>4.7930614201743505E-3</v>
      </c>
      <c r="BP284" s="87">
        <v>5.5705503146104311E-3</v>
      </c>
      <c r="BQ284" s="87">
        <v>2.8367134819416665E-3</v>
      </c>
      <c r="BR284" s="87">
        <v>6.2167405972676434E-3</v>
      </c>
      <c r="BS284" s="87">
        <v>2.4989091625688342E-4</v>
      </c>
    </row>
    <row r="285" spans="2:71" x14ac:dyDescent="0.35">
      <c r="B285" s="87">
        <v>1.5652576370756388E-3</v>
      </c>
      <c r="C285" s="87">
        <v>2.5304521157879624E-3</v>
      </c>
      <c r="D285" s="87">
        <v>2.6305367358212162E-3</v>
      </c>
      <c r="E285" s="87">
        <v>2.6455454816656696E-3</v>
      </c>
      <c r="F285" s="87">
        <v>2.9163058091558427E-3</v>
      </c>
      <c r="G285" s="87">
        <v>2.5253961382264716E-3</v>
      </c>
      <c r="H285" s="87">
        <v>2.5182253600496331E-3</v>
      </c>
      <c r="I285" s="87">
        <v>6.1949856398385008E-3</v>
      </c>
      <c r="J285" s="87">
        <v>2.9403863921114511E-3</v>
      </c>
      <c r="K285" s="87">
        <v>2.5548457889278749E-3</v>
      </c>
      <c r="L285" s="87">
        <v>2.5789294005906481E-3</v>
      </c>
      <c r="M285" s="87">
        <v>2.8668028001503322E-3</v>
      </c>
      <c r="N285" s="87">
        <v>2.8207624868338659E-3</v>
      </c>
      <c r="O285" s="87">
        <v>3.2380601383171373E-3</v>
      </c>
      <c r="P285" s="87">
        <v>3.2842882255788943E-3</v>
      </c>
      <c r="Q285" s="87">
        <v>2.6389113676405476E-3</v>
      </c>
      <c r="R285" s="87">
        <v>2.1543242647084956E-3</v>
      </c>
      <c r="S285" s="87">
        <v>1.8858735417464853E-3</v>
      </c>
      <c r="T285" s="87">
        <v>2.2243470836353306E-3</v>
      </c>
      <c r="U285" s="87">
        <v>4.0374504970583864E-3</v>
      </c>
      <c r="V285" s="87">
        <v>1.6535477492664538E-3</v>
      </c>
      <c r="W285" s="87">
        <v>1.6366280270014586E-3</v>
      </c>
      <c r="X285" s="87">
        <v>5.8308893191054995E-3</v>
      </c>
      <c r="Y285" s="87">
        <v>5.7325479089263005E-2</v>
      </c>
      <c r="Z285" s="87">
        <v>1.9491764037019039E-2</v>
      </c>
      <c r="AA285" s="87">
        <v>1.0668753345462238E-2</v>
      </c>
      <c r="AB285" s="87">
        <v>1.4805198318695117E-3</v>
      </c>
      <c r="AC285" s="87">
        <v>9.9485758233579767E-4</v>
      </c>
      <c r="AD285" s="87">
        <v>4.7616645855422512E-4</v>
      </c>
      <c r="AE285" s="87">
        <v>1.3036837288262738E-3</v>
      </c>
      <c r="AF285" s="87">
        <v>1.2550217420284695E-3</v>
      </c>
      <c r="AG285" s="87">
        <v>6.2933728772811618E-4</v>
      </c>
      <c r="AH285" s="87">
        <v>1.0233085049029364E-3</v>
      </c>
      <c r="AI285" s="87">
        <v>1.4255189316668933E-3</v>
      </c>
      <c r="AJ285" s="87">
        <v>0</v>
      </c>
      <c r="AK285" s="87">
        <v>8.5534432137787768E-3</v>
      </c>
      <c r="AL285" s="87">
        <v>7.6241261643518639E-3</v>
      </c>
      <c r="AM285" s="87">
        <v>1.4125491156831326E-2</v>
      </c>
      <c r="AN285" s="87">
        <v>1.2478577532167775E-2</v>
      </c>
      <c r="AO285" s="87">
        <v>1.240288615602568E-2</v>
      </c>
      <c r="AP285" s="87">
        <v>1.5081029964975767E-2</v>
      </c>
      <c r="AQ285" s="87">
        <v>1.6617857251066244E-2</v>
      </c>
      <c r="AR285" s="87">
        <v>1.2912177790155042E-2</v>
      </c>
      <c r="AS285" s="87">
        <v>1.0913533979872063E-2</v>
      </c>
      <c r="AT285" s="87">
        <v>1.2981015363138488E-2</v>
      </c>
      <c r="AU285" s="87">
        <v>1.4572789841883869E-2</v>
      </c>
      <c r="AV285" s="87">
        <v>1.2766100975653706E-2</v>
      </c>
      <c r="AW285" s="87">
        <v>1.0322041995949965E-2</v>
      </c>
      <c r="AX285" s="87">
        <v>9.5294186029856315E-3</v>
      </c>
      <c r="AY285" s="87">
        <v>1.0976197902270836E-2</v>
      </c>
      <c r="AZ285" s="87">
        <v>9.9551788513411611E-3</v>
      </c>
      <c r="BA285" s="87">
        <v>8.674675068744548E-3</v>
      </c>
      <c r="BB285" s="87">
        <v>2.540376795041956E-2</v>
      </c>
      <c r="BC285" s="87">
        <v>1.5502113022154894E-2</v>
      </c>
      <c r="BD285" s="87">
        <v>1.2292636588583445E-2</v>
      </c>
      <c r="BE285" s="87">
        <v>1.578326530035843E-2</v>
      </c>
      <c r="BF285" s="87">
        <v>1.4423912598954421E-2</v>
      </c>
      <c r="BG285" s="87">
        <v>2.5816903726825078E-2</v>
      </c>
      <c r="BH285" s="87">
        <v>6.4228743354310919E-2</v>
      </c>
      <c r="BI285" s="87">
        <v>8.0385641144955236E-2</v>
      </c>
      <c r="BJ285" s="87">
        <v>1.0449612983281205</v>
      </c>
      <c r="BK285" s="87">
        <v>6.6819436127131589E-3</v>
      </c>
      <c r="BL285" s="87">
        <v>7.835672376292414E-3</v>
      </c>
      <c r="BM285" s="87">
        <v>3.5107081778694236E-3</v>
      </c>
      <c r="BN285" s="87">
        <v>9.8780146362669307E-3</v>
      </c>
      <c r="BO285" s="87">
        <v>1.0490383779731809E-2</v>
      </c>
      <c r="BP285" s="87">
        <v>7.0840454366993405E-3</v>
      </c>
      <c r="BQ285" s="87">
        <v>9.3523869916703663E-3</v>
      </c>
      <c r="BR285" s="87">
        <v>1.2205993019877759E-2</v>
      </c>
      <c r="BS285" s="87">
        <v>5.4003282213986527E-4</v>
      </c>
    </row>
    <row r="286" spans="2:71" x14ac:dyDescent="0.35">
      <c r="B286" s="87">
        <v>2.7367854369993012E-3</v>
      </c>
      <c r="C286" s="87">
        <v>4.1084675662023083E-3</v>
      </c>
      <c r="D286" s="87">
        <v>4.229230795125446E-3</v>
      </c>
      <c r="E286" s="87">
        <v>5.0259312886653702E-3</v>
      </c>
      <c r="F286" s="87">
        <v>4.9603454606758418E-3</v>
      </c>
      <c r="G286" s="87">
        <v>3.9846429000740761E-3</v>
      </c>
      <c r="H286" s="87">
        <v>5.5471014504389427E-3</v>
      </c>
      <c r="I286" s="87">
        <v>8.535419505218949E-3</v>
      </c>
      <c r="J286" s="87">
        <v>5.9035316890818576E-3</v>
      </c>
      <c r="K286" s="87">
        <v>4.7066973625536314E-3</v>
      </c>
      <c r="L286" s="87">
        <v>4.0699070563277899E-3</v>
      </c>
      <c r="M286" s="87">
        <v>5.1906461278196621E-3</v>
      </c>
      <c r="N286" s="87">
        <v>5.6788326837358656E-3</v>
      </c>
      <c r="O286" s="87">
        <v>7.7433110193720475E-3</v>
      </c>
      <c r="P286" s="87">
        <v>6.30113642692597E-3</v>
      </c>
      <c r="Q286" s="87">
        <v>4.9824652794775055E-3</v>
      </c>
      <c r="R286" s="87">
        <v>4.1754008264292914E-3</v>
      </c>
      <c r="S286" s="87">
        <v>3.9509555671164119E-3</v>
      </c>
      <c r="T286" s="87">
        <v>4.1806743211601103E-3</v>
      </c>
      <c r="U286" s="87">
        <v>4.6843104027848659E-3</v>
      </c>
      <c r="V286" s="87">
        <v>4.1575029871525563E-3</v>
      </c>
      <c r="W286" s="87">
        <v>3.4629812971803883E-3</v>
      </c>
      <c r="X286" s="87">
        <v>4.783304175449532E-3</v>
      </c>
      <c r="Y286" s="87">
        <v>1.9907099159666E-2</v>
      </c>
      <c r="Z286" s="87">
        <v>8.9630641963894652E-3</v>
      </c>
      <c r="AA286" s="87">
        <v>6.5691537918762767E-3</v>
      </c>
      <c r="AB286" s="87">
        <v>1.0296631815106606E-2</v>
      </c>
      <c r="AC286" s="87">
        <v>5.1492004753364825E-3</v>
      </c>
      <c r="AD286" s="87">
        <v>1.6041929273785654E-3</v>
      </c>
      <c r="AE286" s="87">
        <v>4.227790187263351E-3</v>
      </c>
      <c r="AF286" s="87">
        <v>4.0882231908157454E-3</v>
      </c>
      <c r="AG286" s="87">
        <v>1.6360717733397169E-3</v>
      </c>
      <c r="AH286" s="87">
        <v>2.9563604720613266E-3</v>
      </c>
      <c r="AI286" s="87">
        <v>4.614855399076064E-3</v>
      </c>
      <c r="AJ286" s="87">
        <v>0</v>
      </c>
      <c r="AK286" s="87">
        <v>1.4134415209116727E-2</v>
      </c>
      <c r="AL286" s="87">
        <v>1.1731295475410825E-2</v>
      </c>
      <c r="AM286" s="87">
        <v>2.2948427957525788E-2</v>
      </c>
      <c r="AN286" s="87">
        <v>2.8061535787654645E-2</v>
      </c>
      <c r="AO286" s="87">
        <v>2.6125171506451734E-2</v>
      </c>
      <c r="AP286" s="87">
        <v>2.604440145937301E-2</v>
      </c>
      <c r="AQ286" s="87">
        <v>3.0842656562991507E-2</v>
      </c>
      <c r="AR286" s="87">
        <v>1.8723697112106256E-2</v>
      </c>
      <c r="AS286" s="87">
        <v>2.497329459671372E-2</v>
      </c>
      <c r="AT286" s="87">
        <v>2.4597699368199506E-2</v>
      </c>
      <c r="AU286" s="87">
        <v>2.4147872204092778E-2</v>
      </c>
      <c r="AV286" s="87">
        <v>2.808746333378245E-2</v>
      </c>
      <c r="AW286" s="87">
        <v>2.4630981079040409E-2</v>
      </c>
      <c r="AX286" s="87">
        <v>2.8553817564162701E-2</v>
      </c>
      <c r="AY286" s="87">
        <v>2.5482501575729032E-2</v>
      </c>
      <c r="AZ286" s="87">
        <v>3.9513297452763753E-2</v>
      </c>
      <c r="BA286" s="87">
        <v>1.8591425685039492E-2</v>
      </c>
      <c r="BB286" s="87">
        <v>3.4134312581445496E-2</v>
      </c>
      <c r="BC286" s="87">
        <v>2.7674393761161806E-2</v>
      </c>
      <c r="BD286" s="87">
        <v>2.5185354040828171E-2</v>
      </c>
      <c r="BE286" s="87">
        <v>2.986794478269094E-2</v>
      </c>
      <c r="BF286" s="87">
        <v>3.1955675627131641E-2</v>
      </c>
      <c r="BG286" s="87">
        <v>4.0327739522613273E-2</v>
      </c>
      <c r="BH286" s="87">
        <v>4.1165123770101952E-2</v>
      </c>
      <c r="BI286" s="87">
        <v>4.7986341125790415E-2</v>
      </c>
      <c r="BJ286" s="87">
        <v>4.5806232994111989E-2</v>
      </c>
      <c r="BK286" s="87">
        <v>1.1275758480829485</v>
      </c>
      <c r="BL286" s="87">
        <v>4.5206099036256546E-2</v>
      </c>
      <c r="BM286" s="87">
        <v>1.2517840524668195E-2</v>
      </c>
      <c r="BN286" s="87">
        <v>4.2309500500736001E-2</v>
      </c>
      <c r="BO286" s="87">
        <v>3.7289887182217804E-2</v>
      </c>
      <c r="BP286" s="87">
        <v>2.5352761167343484E-2</v>
      </c>
      <c r="BQ286" s="87">
        <v>3.007633115645118E-2</v>
      </c>
      <c r="BR286" s="87">
        <v>3.8177202054234374E-2</v>
      </c>
      <c r="BS286" s="87">
        <v>4.3715448261527623E-3</v>
      </c>
    </row>
    <row r="287" spans="2:71" x14ac:dyDescent="0.35">
      <c r="B287" s="87">
        <v>6.3070481849851643E-3</v>
      </c>
      <c r="C287" s="87">
        <v>1.0941956399873177E-2</v>
      </c>
      <c r="D287" s="87">
        <v>8.6548254481927708E-3</v>
      </c>
      <c r="E287" s="87">
        <v>1.113380325742567E-2</v>
      </c>
      <c r="F287" s="87">
        <v>1.0457078822856101E-2</v>
      </c>
      <c r="G287" s="87">
        <v>8.4820658498158553E-3</v>
      </c>
      <c r="H287" s="87">
        <v>9.1252896114124484E-3</v>
      </c>
      <c r="I287" s="87">
        <v>2.172613249978304E-2</v>
      </c>
      <c r="J287" s="87">
        <v>1.071621597801495E-2</v>
      </c>
      <c r="K287" s="87">
        <v>9.4681410970696954E-3</v>
      </c>
      <c r="L287" s="87">
        <v>8.4777682911246263E-3</v>
      </c>
      <c r="M287" s="87">
        <v>1.1027076215573105E-2</v>
      </c>
      <c r="N287" s="87">
        <v>1.1129036864823279E-2</v>
      </c>
      <c r="O287" s="87">
        <v>1.428688024672754E-2</v>
      </c>
      <c r="P287" s="87">
        <v>1.3014161687261477E-2</v>
      </c>
      <c r="Q287" s="87">
        <v>1.0377422510963205E-2</v>
      </c>
      <c r="R287" s="87">
        <v>9.6724247455865914E-3</v>
      </c>
      <c r="S287" s="87">
        <v>8.456905642992351E-3</v>
      </c>
      <c r="T287" s="87">
        <v>7.4684661885545539E-3</v>
      </c>
      <c r="U287" s="87">
        <v>7.1293596105477842E-3</v>
      </c>
      <c r="V287" s="87">
        <v>6.6539687959820092E-3</v>
      </c>
      <c r="W287" s="87">
        <v>6.6474968949165637E-3</v>
      </c>
      <c r="X287" s="87">
        <v>8.4333190777759245E-3</v>
      </c>
      <c r="Y287" s="87">
        <v>1.2624889372545738E-2</v>
      </c>
      <c r="Z287" s="87">
        <v>1.3878212549027505E-2</v>
      </c>
      <c r="AA287" s="87">
        <v>8.8556222169283751E-3</v>
      </c>
      <c r="AB287" s="87">
        <v>6.2796775614094164E-3</v>
      </c>
      <c r="AC287" s="87">
        <v>2.0010147743671075E-2</v>
      </c>
      <c r="AD287" s="87">
        <v>7.2031369600294454E-3</v>
      </c>
      <c r="AE287" s="87">
        <v>6.2488805339026635E-3</v>
      </c>
      <c r="AF287" s="87">
        <v>6.359884337036447E-3</v>
      </c>
      <c r="AG287" s="87">
        <v>2.7279359666322733E-3</v>
      </c>
      <c r="AH287" s="87">
        <v>4.948080405017985E-3</v>
      </c>
      <c r="AI287" s="87">
        <v>6.9225722883750011E-3</v>
      </c>
      <c r="AJ287" s="87">
        <v>0</v>
      </c>
      <c r="AK287" s="87">
        <v>4.3174799996943319E-2</v>
      </c>
      <c r="AL287" s="87">
        <v>4.055594234047908E-2</v>
      </c>
      <c r="AM287" s="87">
        <v>6.1528107944678397E-2</v>
      </c>
      <c r="AN287" s="87">
        <v>7.9817844805312163E-2</v>
      </c>
      <c r="AO287" s="87">
        <v>6.8969044638044694E-2</v>
      </c>
      <c r="AP287" s="87">
        <v>6.3505020873828755E-2</v>
      </c>
      <c r="AQ287" s="87">
        <v>7.2680348835978514E-2</v>
      </c>
      <c r="AR287" s="87">
        <v>5.3103852512895643E-2</v>
      </c>
      <c r="AS287" s="87">
        <v>6.2540330718180839E-2</v>
      </c>
      <c r="AT287" s="87">
        <v>6.4856462552475666E-2</v>
      </c>
      <c r="AU287" s="87">
        <v>7.3208605625315434E-2</v>
      </c>
      <c r="AV287" s="87">
        <v>6.6454483244647394E-2</v>
      </c>
      <c r="AW287" s="87">
        <v>6.1002276087705233E-2</v>
      </c>
      <c r="AX287" s="87">
        <v>5.815407623994423E-2</v>
      </c>
      <c r="AY287" s="87">
        <v>6.5505764328903621E-2</v>
      </c>
      <c r="AZ287" s="87">
        <v>7.9525724424931984E-2</v>
      </c>
      <c r="BA287" s="87">
        <v>5.8827338133792893E-2</v>
      </c>
      <c r="BB287" s="87">
        <v>6.7803320137847137E-2</v>
      </c>
      <c r="BC287" s="87">
        <v>4.5909318272579117E-2</v>
      </c>
      <c r="BD287" s="87">
        <v>4.9571773314749032E-2</v>
      </c>
      <c r="BE287" s="87">
        <v>5.9793269944942606E-2</v>
      </c>
      <c r="BF287" s="87">
        <v>6.9760463348536958E-2</v>
      </c>
      <c r="BG287" s="87">
        <v>9.6099815560661439E-2</v>
      </c>
      <c r="BH287" s="87">
        <v>6.5986579721293084E-2</v>
      </c>
      <c r="BI287" s="87">
        <v>8.0621175802969514E-2</v>
      </c>
      <c r="BJ287" s="87">
        <v>8.7702966512024153E-2</v>
      </c>
      <c r="BK287" s="87">
        <v>4.4809844974222364E-2</v>
      </c>
      <c r="BL287" s="87">
        <v>1.270530426318252</v>
      </c>
      <c r="BM287" s="87">
        <v>0.12544821995753205</v>
      </c>
      <c r="BN287" s="87">
        <v>8.6111767307994608E-2</v>
      </c>
      <c r="BO287" s="87">
        <v>5.6448354846548039E-2</v>
      </c>
      <c r="BP287" s="87">
        <v>4.6827702247507201E-2</v>
      </c>
      <c r="BQ287" s="87">
        <v>6.9773984099346695E-2</v>
      </c>
      <c r="BR287" s="87">
        <v>9.5698772034031251E-2</v>
      </c>
      <c r="BS287" s="87">
        <v>3.7263154328916061E-2</v>
      </c>
    </row>
    <row r="288" spans="2:71" x14ac:dyDescent="0.35">
      <c r="B288" s="87">
        <v>1.4899174077630663E-3</v>
      </c>
      <c r="C288" s="87">
        <v>2.4077824568215461E-3</v>
      </c>
      <c r="D288" s="87">
        <v>2.2621176793564349E-3</v>
      </c>
      <c r="E288" s="87">
        <v>2.7611556485995468E-3</v>
      </c>
      <c r="F288" s="87">
        <v>2.7910058457985727E-3</v>
      </c>
      <c r="G288" s="87">
        <v>2.1956773364055393E-3</v>
      </c>
      <c r="H288" s="87">
        <v>2.6838906925295242E-3</v>
      </c>
      <c r="I288" s="87">
        <v>5.6077565811987898E-3</v>
      </c>
      <c r="J288" s="87">
        <v>2.8938808929153933E-3</v>
      </c>
      <c r="K288" s="87">
        <v>2.4845556359516675E-3</v>
      </c>
      <c r="L288" s="87">
        <v>2.1632555554606798E-3</v>
      </c>
      <c r="M288" s="87">
        <v>2.8386872990980288E-3</v>
      </c>
      <c r="N288" s="87">
        <v>2.9748780236991852E-3</v>
      </c>
      <c r="O288" s="87">
        <v>3.763257837957161E-3</v>
      </c>
      <c r="P288" s="87">
        <v>3.5269506942684067E-3</v>
      </c>
      <c r="Q288" s="87">
        <v>2.7214892736342035E-3</v>
      </c>
      <c r="R288" s="87">
        <v>2.4930658050070762E-3</v>
      </c>
      <c r="S288" s="87">
        <v>2.4919159684664779E-3</v>
      </c>
      <c r="T288" s="87">
        <v>2.2637085753270079E-3</v>
      </c>
      <c r="U288" s="87">
        <v>2.13366549001234E-3</v>
      </c>
      <c r="V288" s="87">
        <v>2.654364626310531E-3</v>
      </c>
      <c r="W288" s="87">
        <v>2.1384063579821064E-3</v>
      </c>
      <c r="X288" s="87">
        <v>2.0397434149097473E-3</v>
      </c>
      <c r="Y288" s="87">
        <v>4.1086370805713222E-3</v>
      </c>
      <c r="Z288" s="87">
        <v>3.4494713974813148E-3</v>
      </c>
      <c r="AA288" s="87">
        <v>2.5527697849718595E-3</v>
      </c>
      <c r="AB288" s="87">
        <v>1.7969445571741859E-3</v>
      </c>
      <c r="AC288" s="87">
        <v>2.8171034309089084E-3</v>
      </c>
      <c r="AD288" s="87">
        <v>1.4071020998650361E-3</v>
      </c>
      <c r="AE288" s="87">
        <v>1.8221984964925096E-3</v>
      </c>
      <c r="AF288" s="87">
        <v>1.754119757642954E-3</v>
      </c>
      <c r="AG288" s="87">
        <v>9.0064484315463414E-4</v>
      </c>
      <c r="AH288" s="87">
        <v>1.4850182319098701E-3</v>
      </c>
      <c r="AI288" s="87">
        <v>1.9932193785972339E-3</v>
      </c>
      <c r="AJ288" s="87">
        <v>0</v>
      </c>
      <c r="AK288" s="87">
        <v>8.915264087992595E-3</v>
      </c>
      <c r="AL288" s="87">
        <v>1.0662972061566252E-2</v>
      </c>
      <c r="AM288" s="87">
        <v>1.5129966638495832E-2</v>
      </c>
      <c r="AN288" s="87">
        <v>1.69903761505301E-2</v>
      </c>
      <c r="AO288" s="87">
        <v>1.8866043597466006E-2</v>
      </c>
      <c r="AP288" s="87">
        <v>1.6943789520836711E-2</v>
      </c>
      <c r="AQ288" s="87">
        <v>2.1352238880199492E-2</v>
      </c>
      <c r="AR288" s="87">
        <v>1.147061559425897E-2</v>
      </c>
      <c r="AS288" s="87">
        <v>1.3423584056700804E-2</v>
      </c>
      <c r="AT288" s="87">
        <v>1.6420466535700617E-2</v>
      </c>
      <c r="AU288" s="87">
        <v>1.4602762796617702E-2</v>
      </c>
      <c r="AV288" s="87">
        <v>1.4731682592998148E-2</v>
      </c>
      <c r="AW288" s="87">
        <v>1.39157500176638E-2</v>
      </c>
      <c r="AX288" s="87">
        <v>1.3653581505893332E-2</v>
      </c>
      <c r="AY288" s="87">
        <v>1.4787770466259209E-2</v>
      </c>
      <c r="AZ288" s="87">
        <v>1.5059410059784338E-2</v>
      </c>
      <c r="BA288" s="87">
        <v>1.1246479044540521E-2</v>
      </c>
      <c r="BB288" s="87">
        <v>1.8787704676211794E-2</v>
      </c>
      <c r="BC288" s="87">
        <v>2.2772156087355239E-2</v>
      </c>
      <c r="BD288" s="87">
        <v>2.0313722198020478E-2</v>
      </c>
      <c r="BE288" s="87">
        <v>3.8032348473992728E-2</v>
      </c>
      <c r="BF288" s="87">
        <v>3.6529218128597808E-2</v>
      </c>
      <c r="BG288" s="87">
        <v>1.8635886267741965E-2</v>
      </c>
      <c r="BH288" s="87">
        <v>2.7989226574380695E-2</v>
      </c>
      <c r="BI288" s="87">
        <v>2.2330115120638955E-2</v>
      </c>
      <c r="BJ288" s="87">
        <v>3.7085826780782705E-2</v>
      </c>
      <c r="BK288" s="87">
        <v>2.0452693899982586E-2</v>
      </c>
      <c r="BL288" s="87">
        <v>3.5238291749614944E-2</v>
      </c>
      <c r="BM288" s="87">
        <v>1.0417712488558764</v>
      </c>
      <c r="BN288" s="87">
        <v>3.4848306450269109E-2</v>
      </c>
      <c r="BO288" s="87">
        <v>2.3216563120773633E-2</v>
      </c>
      <c r="BP288" s="87">
        <v>2.9525642797677942E-2</v>
      </c>
      <c r="BQ288" s="87">
        <v>5.4413427309063171E-2</v>
      </c>
      <c r="BR288" s="87">
        <v>4.0822662491712201E-2</v>
      </c>
      <c r="BS288" s="87">
        <v>1.595282984877028E-3</v>
      </c>
    </row>
    <row r="289" spans="2:71" x14ac:dyDescent="0.35">
      <c r="B289" s="87">
        <v>1.0879942950159911E-2</v>
      </c>
      <c r="C289" s="87">
        <v>1.6769134139702727E-2</v>
      </c>
      <c r="D289" s="87">
        <v>1.8338944410219785E-2</v>
      </c>
      <c r="E289" s="87">
        <v>1.8689659950279474E-2</v>
      </c>
      <c r="F289" s="87">
        <v>1.8931061970508724E-2</v>
      </c>
      <c r="G289" s="87">
        <v>1.5313382355555639E-2</v>
      </c>
      <c r="H289" s="87">
        <v>2.489956838938473E-2</v>
      </c>
      <c r="I289" s="87">
        <v>2.9581158963363073E-2</v>
      </c>
      <c r="J289" s="87">
        <v>3.1396364041846307E-2</v>
      </c>
      <c r="K289" s="87">
        <v>2.0569166661805759E-2</v>
      </c>
      <c r="L289" s="87">
        <v>1.6436291225363789E-2</v>
      </c>
      <c r="M289" s="87">
        <v>1.9412404086887193E-2</v>
      </c>
      <c r="N289" s="87">
        <v>2.2493490766449249E-2</v>
      </c>
      <c r="O289" s="87">
        <v>3.2710883688991228E-2</v>
      </c>
      <c r="P289" s="87">
        <v>2.5517317995160708E-2</v>
      </c>
      <c r="Q289" s="87">
        <v>1.8866571622275216E-2</v>
      </c>
      <c r="R289" s="87">
        <v>1.6300450097531817E-2</v>
      </c>
      <c r="S289" s="87">
        <v>1.7286007770717152E-2</v>
      </c>
      <c r="T289" s="87">
        <v>1.6174680799219372E-2</v>
      </c>
      <c r="U289" s="87">
        <v>1.6812803881269357E-2</v>
      </c>
      <c r="V289" s="87">
        <v>1.4266462713198003E-2</v>
      </c>
      <c r="W289" s="87">
        <v>1.3061477588705845E-2</v>
      </c>
      <c r="X289" s="87">
        <v>1.5199537113344999E-2</v>
      </c>
      <c r="Y289" s="87">
        <v>2.157408648807466E-2</v>
      </c>
      <c r="Z289" s="87">
        <v>2.541400305625556E-2</v>
      </c>
      <c r="AA289" s="87">
        <v>1.8400799352774059E-2</v>
      </c>
      <c r="AB289" s="87">
        <v>1.5138832572745203E-2</v>
      </c>
      <c r="AC289" s="87">
        <v>1.7409847832091339E-2</v>
      </c>
      <c r="AD289" s="87">
        <v>6.9305014333511487E-3</v>
      </c>
      <c r="AE289" s="87">
        <v>2.1905544786352774E-2</v>
      </c>
      <c r="AF289" s="87">
        <v>1.4229691316420748E-2</v>
      </c>
      <c r="AG289" s="87">
        <v>6.8056596208649449E-3</v>
      </c>
      <c r="AH289" s="87">
        <v>1.165881858164123E-2</v>
      </c>
      <c r="AI289" s="87">
        <v>1.6847642120846263E-2</v>
      </c>
      <c r="AJ289" s="87">
        <v>0</v>
      </c>
      <c r="AK289" s="87">
        <v>3.6863195034161099E-2</v>
      </c>
      <c r="AL289" s="87">
        <v>4.3224894082092499E-2</v>
      </c>
      <c r="AM289" s="87">
        <v>8.2557539653671325E-2</v>
      </c>
      <c r="AN289" s="87">
        <v>7.2521079293991805E-2</v>
      </c>
      <c r="AO289" s="87">
        <v>6.8892366004209629E-2</v>
      </c>
      <c r="AP289" s="87">
        <v>7.6740391147698928E-2</v>
      </c>
      <c r="AQ289" s="87">
        <v>0.11853541757736528</v>
      </c>
      <c r="AR289" s="87">
        <v>5.0105897032526589E-2</v>
      </c>
      <c r="AS289" s="87">
        <v>0.10709043612263325</v>
      </c>
      <c r="AT289" s="87">
        <v>9.1782197852592923E-2</v>
      </c>
      <c r="AU289" s="87">
        <v>7.5205514777089547E-2</v>
      </c>
      <c r="AV289" s="87">
        <v>7.6639306074639688E-2</v>
      </c>
      <c r="AW289" s="87">
        <v>8.3266308523311863E-2</v>
      </c>
      <c r="AX289" s="87">
        <v>9.6853484428031614E-2</v>
      </c>
      <c r="AY289" s="87">
        <v>0.10276774930548073</v>
      </c>
      <c r="AZ289" s="87">
        <v>6.7854362359122983E-2</v>
      </c>
      <c r="BA289" s="87">
        <v>6.1247622501668063E-2</v>
      </c>
      <c r="BB289" s="87">
        <v>0.10627016801176814</v>
      </c>
      <c r="BC289" s="87">
        <v>7.0422287210683623E-2</v>
      </c>
      <c r="BD289" s="87">
        <v>6.7478348029726867E-2</v>
      </c>
      <c r="BE289" s="87">
        <v>7.8436237611209769E-2</v>
      </c>
      <c r="BF289" s="87">
        <v>9.7388725053287495E-2</v>
      </c>
      <c r="BG289" s="87">
        <v>8.2551063934257304E-2</v>
      </c>
      <c r="BH289" s="87">
        <v>6.0718938784973024E-2</v>
      </c>
      <c r="BI289" s="87">
        <v>0.11878837704327963</v>
      </c>
      <c r="BJ289" s="87">
        <v>0.10546480201356036</v>
      </c>
      <c r="BK289" s="87">
        <v>8.849963505478943E-2</v>
      </c>
      <c r="BL289" s="87">
        <v>0.15904595810255487</v>
      </c>
      <c r="BM289" s="87">
        <v>5.5430304001203745E-2</v>
      </c>
      <c r="BN289" s="87">
        <v>1.1929711189202723</v>
      </c>
      <c r="BO289" s="87">
        <v>0.14107637241658058</v>
      </c>
      <c r="BP289" s="87">
        <v>7.0242661916608315E-2</v>
      </c>
      <c r="BQ289" s="87">
        <v>0.12713865769684141</v>
      </c>
      <c r="BR289" s="87">
        <v>0.13263889130809861</v>
      </c>
      <c r="BS289" s="87">
        <v>1.3122757522444515E-2</v>
      </c>
    </row>
    <row r="290" spans="2:71" x14ac:dyDescent="0.35">
      <c r="B290" s="87">
        <v>4.0633749215257422E-4</v>
      </c>
      <c r="C290" s="87">
        <v>6.4878605814771477E-4</v>
      </c>
      <c r="D290" s="87">
        <v>5.8869754891768377E-4</v>
      </c>
      <c r="E290" s="87">
        <v>6.3440031874894295E-4</v>
      </c>
      <c r="F290" s="87">
        <v>6.4590028076593419E-4</v>
      </c>
      <c r="G290" s="87">
        <v>6.6515381876557826E-4</v>
      </c>
      <c r="H290" s="87">
        <v>7.4146123134173083E-4</v>
      </c>
      <c r="I290" s="87">
        <v>1.4512544193928858E-3</v>
      </c>
      <c r="J290" s="87">
        <v>8.4518219391450391E-4</v>
      </c>
      <c r="K290" s="87">
        <v>7.1359677596610587E-4</v>
      </c>
      <c r="L290" s="87">
        <v>6.0043323760474755E-4</v>
      </c>
      <c r="M290" s="87">
        <v>9.0859926254701999E-4</v>
      </c>
      <c r="N290" s="87">
        <v>8.2224450259759958E-4</v>
      </c>
      <c r="O290" s="87">
        <v>1.02245461784283E-3</v>
      </c>
      <c r="P290" s="87">
        <v>9.3925330210810766E-4</v>
      </c>
      <c r="Q290" s="87">
        <v>7.5042364261956635E-4</v>
      </c>
      <c r="R290" s="87">
        <v>7.7613525890433423E-4</v>
      </c>
      <c r="S290" s="87">
        <v>5.3533319586767563E-4</v>
      </c>
      <c r="T290" s="87">
        <v>4.3756272022232141E-4</v>
      </c>
      <c r="U290" s="87">
        <v>4.6882376256950845E-4</v>
      </c>
      <c r="V290" s="87">
        <v>3.6366998887296274E-4</v>
      </c>
      <c r="W290" s="87">
        <v>4.0679545547369142E-4</v>
      </c>
      <c r="X290" s="87">
        <v>5.7985153189184886E-4</v>
      </c>
      <c r="Y290" s="87">
        <v>2.341939193474338E-3</v>
      </c>
      <c r="Z290" s="87">
        <v>1.1739390982526455E-3</v>
      </c>
      <c r="AA290" s="87">
        <v>8.0192497011088515E-4</v>
      </c>
      <c r="AB290" s="87">
        <v>4.0021246509074391E-4</v>
      </c>
      <c r="AC290" s="87">
        <v>3.3209777906844252E-4</v>
      </c>
      <c r="AD290" s="87">
        <v>1.6499639475367234E-4</v>
      </c>
      <c r="AE290" s="87">
        <v>3.9801158703520249E-4</v>
      </c>
      <c r="AF290" s="87">
        <v>4.6325737994102971E-4</v>
      </c>
      <c r="AG290" s="87">
        <v>2.3390980807574458E-4</v>
      </c>
      <c r="AH290" s="87">
        <v>3.6109963116139396E-4</v>
      </c>
      <c r="AI290" s="87">
        <v>7.425838107057187E-4</v>
      </c>
      <c r="AJ290" s="87">
        <v>0</v>
      </c>
      <c r="AK290" s="87">
        <v>2.9076005390162316E-3</v>
      </c>
      <c r="AL290" s="87">
        <v>3.0101491402330168E-3</v>
      </c>
      <c r="AM290" s="87">
        <v>5.027261724051121E-3</v>
      </c>
      <c r="AN290" s="87">
        <v>3.447403358379082E-3</v>
      </c>
      <c r="AO290" s="87">
        <v>3.5746851733181088E-3</v>
      </c>
      <c r="AP290" s="87">
        <v>6.6038662938908569E-3</v>
      </c>
      <c r="AQ290" s="87">
        <v>8.1463564539555472E-3</v>
      </c>
      <c r="AR290" s="87">
        <v>3.4761636514021822E-3</v>
      </c>
      <c r="AS290" s="87">
        <v>5.5909776635693076E-3</v>
      </c>
      <c r="AT290" s="87">
        <v>5.6080211883600449E-3</v>
      </c>
      <c r="AU290" s="87">
        <v>5.6693647906708826E-3</v>
      </c>
      <c r="AV290" s="87">
        <v>7.7368606998911658E-3</v>
      </c>
      <c r="AW290" s="87">
        <v>4.5336055530479326E-3</v>
      </c>
      <c r="AX290" s="87">
        <v>3.648277103032109E-3</v>
      </c>
      <c r="AY290" s="87">
        <v>4.2408929187365153E-3</v>
      </c>
      <c r="AZ290" s="87">
        <v>4.7113219517081958E-3</v>
      </c>
      <c r="BA290" s="87">
        <v>3.4184639846989791E-3</v>
      </c>
      <c r="BB290" s="87">
        <v>4.4521503320857471E-3</v>
      </c>
      <c r="BC290" s="87">
        <v>4.860138069381249E-3</v>
      </c>
      <c r="BD290" s="87">
        <v>2.3024579042247501E-3</v>
      </c>
      <c r="BE290" s="87">
        <v>4.2098193894092462E-3</v>
      </c>
      <c r="BF290" s="87">
        <v>7.0094602617399096E-3</v>
      </c>
      <c r="BG290" s="87">
        <v>4.8282760477954068E-3</v>
      </c>
      <c r="BH290" s="87">
        <v>8.9504910623447505E-3</v>
      </c>
      <c r="BI290" s="87">
        <v>1.654583224435021E-2</v>
      </c>
      <c r="BJ290" s="87">
        <v>6.592564009972649E-3</v>
      </c>
      <c r="BK290" s="87">
        <v>4.4197879366497965E-3</v>
      </c>
      <c r="BL290" s="87">
        <v>3.6029671746651386E-3</v>
      </c>
      <c r="BM290" s="87">
        <v>3.0798809986431765E-3</v>
      </c>
      <c r="BN290" s="87">
        <v>4.5844640411524789E-3</v>
      </c>
      <c r="BO290" s="87">
        <v>1.0094115664071148</v>
      </c>
      <c r="BP290" s="87">
        <v>5.6051265678979069E-3</v>
      </c>
      <c r="BQ290" s="87">
        <v>7.5452265056864167E-3</v>
      </c>
      <c r="BR290" s="87">
        <v>1.2557021088817783E-2</v>
      </c>
      <c r="BS290" s="87">
        <v>2.4608479398854612E-4</v>
      </c>
    </row>
    <row r="291" spans="2:71" x14ac:dyDescent="0.35">
      <c r="B291" s="87">
        <v>7.4073090760237183E-5</v>
      </c>
      <c r="C291" s="87">
        <v>1.142822321047157E-4</v>
      </c>
      <c r="D291" s="87">
        <v>1.1048197931307868E-4</v>
      </c>
      <c r="E291" s="87">
        <v>1.2667483999845254E-4</v>
      </c>
      <c r="F291" s="87">
        <v>1.2551263346250309E-4</v>
      </c>
      <c r="G291" s="87">
        <v>1.0216459991935457E-4</v>
      </c>
      <c r="H291" s="87">
        <v>1.2030051694291897E-4</v>
      </c>
      <c r="I291" s="87">
        <v>2.9187387485421192E-4</v>
      </c>
      <c r="J291" s="87">
        <v>1.5526354500702128E-4</v>
      </c>
      <c r="K291" s="87">
        <v>1.2681860325558788E-4</v>
      </c>
      <c r="L291" s="87">
        <v>1.042199570471753E-4</v>
      </c>
      <c r="M291" s="87">
        <v>1.3965960018437948E-4</v>
      </c>
      <c r="N291" s="87">
        <v>1.5283225490442156E-4</v>
      </c>
      <c r="O291" s="87">
        <v>2.0728375047888675E-4</v>
      </c>
      <c r="P291" s="87">
        <v>1.7452493333967715E-4</v>
      </c>
      <c r="Q291" s="87">
        <v>1.2611055069183339E-4</v>
      </c>
      <c r="R291" s="87">
        <v>1.2549514797822309E-4</v>
      </c>
      <c r="S291" s="87">
        <v>1.0017827752884825E-4</v>
      </c>
      <c r="T291" s="87">
        <v>8.8572221099190868E-5</v>
      </c>
      <c r="U291" s="87">
        <v>8.7630165252215625E-5</v>
      </c>
      <c r="V291" s="87">
        <v>7.7534170562690226E-5</v>
      </c>
      <c r="W291" s="87">
        <v>8.3174657277628727E-5</v>
      </c>
      <c r="X291" s="87">
        <v>1.00690172840935E-4</v>
      </c>
      <c r="Y291" s="87">
        <v>1.8452145110207813E-4</v>
      </c>
      <c r="Z291" s="87">
        <v>1.9514636784731044E-4</v>
      </c>
      <c r="AA291" s="87">
        <v>1.3370933466805887E-4</v>
      </c>
      <c r="AB291" s="87">
        <v>9.7588308328140405E-5</v>
      </c>
      <c r="AC291" s="87">
        <v>1.0736750490068854E-4</v>
      </c>
      <c r="AD291" s="87">
        <v>3.762042840618067E-5</v>
      </c>
      <c r="AE291" s="87">
        <v>1.0675156179008645E-4</v>
      </c>
      <c r="AF291" s="87">
        <v>1.5872151719438943E-4</v>
      </c>
      <c r="AG291" s="87">
        <v>2.1898510138535168E-4</v>
      </c>
      <c r="AH291" s="87">
        <v>1.0348468780553982E-4</v>
      </c>
      <c r="AI291" s="87">
        <v>1.1103408764788631E-4</v>
      </c>
      <c r="AJ291" s="87">
        <v>0</v>
      </c>
      <c r="AK291" s="87">
        <v>8.8262197331460479E-4</v>
      </c>
      <c r="AL291" s="87">
        <v>6.2497139274946478E-4</v>
      </c>
      <c r="AM291" s="87">
        <v>8.7151382286717466E-4</v>
      </c>
      <c r="AN291" s="87">
        <v>8.3333304123348853E-4</v>
      </c>
      <c r="AO291" s="87">
        <v>8.4035742662760262E-4</v>
      </c>
      <c r="AP291" s="87">
        <v>8.036408245272955E-4</v>
      </c>
      <c r="AQ291" s="87">
        <v>9.3525862607962446E-4</v>
      </c>
      <c r="AR291" s="87">
        <v>7.1561864581820317E-4</v>
      </c>
      <c r="AS291" s="87">
        <v>8.9799640123364253E-4</v>
      </c>
      <c r="AT291" s="87">
        <v>8.1194539160709637E-4</v>
      </c>
      <c r="AU291" s="87">
        <v>8.6575138493759785E-4</v>
      </c>
      <c r="AV291" s="87">
        <v>8.4609874204198058E-4</v>
      </c>
      <c r="AW291" s="87">
        <v>1.035533598851271E-3</v>
      </c>
      <c r="AX291" s="87">
        <v>8.3169319550677385E-4</v>
      </c>
      <c r="AY291" s="87">
        <v>8.4025606204705928E-4</v>
      </c>
      <c r="AZ291" s="87">
        <v>6.697376633622782E-4</v>
      </c>
      <c r="BA291" s="87">
        <v>7.1492705228906367E-4</v>
      </c>
      <c r="BB291" s="87">
        <v>9.1406884866490417E-4</v>
      </c>
      <c r="BC291" s="87">
        <v>6.0301947560090121E-4</v>
      </c>
      <c r="BD291" s="87">
        <v>6.7440577795197844E-4</v>
      </c>
      <c r="BE291" s="87">
        <v>1.3735029287653114E-3</v>
      </c>
      <c r="BF291" s="87">
        <v>8.470112971688833E-4</v>
      </c>
      <c r="BG291" s="87">
        <v>1.0622174003029187E-3</v>
      </c>
      <c r="BH291" s="87">
        <v>6.5059566766498993E-4</v>
      </c>
      <c r="BI291" s="87">
        <v>1.9343925446503648E-3</v>
      </c>
      <c r="BJ291" s="87">
        <v>9.7896042090004319E-4</v>
      </c>
      <c r="BK291" s="87">
        <v>1.1463047964451166E-3</v>
      </c>
      <c r="BL291" s="87">
        <v>1.3537577392850359E-3</v>
      </c>
      <c r="BM291" s="87">
        <v>3.7835540254781635E-4</v>
      </c>
      <c r="BN291" s="87">
        <v>1.359620999562461E-3</v>
      </c>
      <c r="BO291" s="87">
        <v>4.1676956008818771E-3</v>
      </c>
      <c r="BP291" s="87">
        <v>1.0049900844980548</v>
      </c>
      <c r="BQ291" s="87">
        <v>1.0868749047806248E-3</v>
      </c>
      <c r="BR291" s="87">
        <v>1.8201777625298356E-3</v>
      </c>
      <c r="BS291" s="87">
        <v>6.6532302383816194E-5</v>
      </c>
    </row>
    <row r="292" spans="2:71" x14ac:dyDescent="0.35">
      <c r="B292" s="87">
        <v>1.3910517660981268E-4</v>
      </c>
      <c r="C292" s="87">
        <v>1.3007872203575635E-4</v>
      </c>
      <c r="D292" s="87">
        <v>1.287306854493291E-4</v>
      </c>
      <c r="E292" s="87">
        <v>1.5097398659692963E-4</v>
      </c>
      <c r="F292" s="87">
        <v>1.736354242042466E-4</v>
      </c>
      <c r="G292" s="87">
        <v>1.2935255197297349E-4</v>
      </c>
      <c r="H292" s="87">
        <v>1.1878603169578698E-4</v>
      </c>
      <c r="I292" s="87">
        <v>3.4050699859486698E-4</v>
      </c>
      <c r="J292" s="87">
        <v>1.5424176948143522E-4</v>
      </c>
      <c r="K292" s="87">
        <v>1.3986770756317445E-4</v>
      </c>
      <c r="L292" s="87">
        <v>1.1751006971178226E-4</v>
      </c>
      <c r="M292" s="87">
        <v>1.8877578160517055E-4</v>
      </c>
      <c r="N292" s="87">
        <v>2.1160854978109539E-4</v>
      </c>
      <c r="O292" s="87">
        <v>2.7573950548407544E-4</v>
      </c>
      <c r="P292" s="87">
        <v>2.4507316594750173E-4</v>
      </c>
      <c r="Q292" s="87">
        <v>1.5896748516712656E-4</v>
      </c>
      <c r="R292" s="87">
        <v>1.4016315841547291E-4</v>
      </c>
      <c r="S292" s="87">
        <v>1.177934485277894E-4</v>
      </c>
      <c r="T292" s="87">
        <v>9.3737747678861939E-5</v>
      </c>
      <c r="U292" s="87">
        <v>7.8960746573669859E-5</v>
      </c>
      <c r="V292" s="87">
        <v>6.9108480337564093E-5</v>
      </c>
      <c r="W292" s="87">
        <v>8.3151737561985991E-5</v>
      </c>
      <c r="X292" s="87">
        <v>1.0104989308577066E-4</v>
      </c>
      <c r="Y292" s="87">
        <v>2.0759627230132067E-4</v>
      </c>
      <c r="Z292" s="87">
        <v>1.9682402563193425E-4</v>
      </c>
      <c r="AA292" s="87">
        <v>1.1704047326031825E-4</v>
      </c>
      <c r="AB292" s="87">
        <v>8.7238455396054166E-5</v>
      </c>
      <c r="AC292" s="87">
        <v>7.0311465884673503E-5</v>
      </c>
      <c r="AD292" s="87">
        <v>2.9891590293124472E-5</v>
      </c>
      <c r="AE292" s="87">
        <v>6.855157131141849E-5</v>
      </c>
      <c r="AF292" s="87">
        <v>1.088648736126465E-4</v>
      </c>
      <c r="AG292" s="87">
        <v>3.8968201579206754E-5</v>
      </c>
      <c r="AH292" s="87">
        <v>4.7512409968413204E-4</v>
      </c>
      <c r="AI292" s="87">
        <v>9.7435670451993407E-5</v>
      </c>
      <c r="AJ292" s="87">
        <v>0</v>
      </c>
      <c r="AK292" s="87">
        <v>8.8015315423567875E-4</v>
      </c>
      <c r="AL292" s="87">
        <v>7.9749315350626448E-4</v>
      </c>
      <c r="AM292" s="87">
        <v>1.0932573210786964E-3</v>
      </c>
      <c r="AN292" s="87">
        <v>1.2243348346998324E-3</v>
      </c>
      <c r="AO292" s="87">
        <v>2.1861776675634556E-3</v>
      </c>
      <c r="AP292" s="87">
        <v>1.570325042981991E-3</v>
      </c>
      <c r="AQ292" s="87">
        <v>1.2750643874075997E-3</v>
      </c>
      <c r="AR292" s="87">
        <v>7.5440076193953969E-4</v>
      </c>
      <c r="AS292" s="87">
        <v>1.0968922175301848E-3</v>
      </c>
      <c r="AT292" s="87">
        <v>1.0808339473923254E-3</v>
      </c>
      <c r="AU292" s="87">
        <v>1.9131984720615787E-3</v>
      </c>
      <c r="AV292" s="87">
        <v>1.6322261680840652E-3</v>
      </c>
      <c r="AW292" s="87">
        <v>2.407709976791691E-3</v>
      </c>
      <c r="AX292" s="87">
        <v>1.3594495027074549E-3</v>
      </c>
      <c r="AY292" s="87">
        <v>1.6761741003981589E-3</v>
      </c>
      <c r="AZ292" s="87">
        <v>1.1398130367809957E-3</v>
      </c>
      <c r="BA292" s="87">
        <v>8.4210848864598104E-4</v>
      </c>
      <c r="BB292" s="87">
        <v>1.2112617746829401E-3</v>
      </c>
      <c r="BC292" s="87">
        <v>8.5785803338944819E-4</v>
      </c>
      <c r="BD292" s="87">
        <v>5.7706893471878775E-4</v>
      </c>
      <c r="BE292" s="87">
        <v>5.4180368139153368E-4</v>
      </c>
      <c r="BF292" s="87">
        <v>1.3288121002897331E-3</v>
      </c>
      <c r="BG292" s="87">
        <v>1.10710756728703E-3</v>
      </c>
      <c r="BH292" s="87">
        <v>8.5003904832532283E-4</v>
      </c>
      <c r="BI292" s="87">
        <v>1.0339128594265602E-3</v>
      </c>
      <c r="BJ292" s="87">
        <v>9.3815488116604786E-4</v>
      </c>
      <c r="BK292" s="87">
        <v>7.2737362511433932E-4</v>
      </c>
      <c r="BL292" s="87">
        <v>6.9117616569592004E-4</v>
      </c>
      <c r="BM292" s="87">
        <v>2.6793392119223337E-4</v>
      </c>
      <c r="BN292" s="87">
        <v>9.3417381528593387E-4</v>
      </c>
      <c r="BO292" s="87">
        <v>7.4756447852989223E-3</v>
      </c>
      <c r="BP292" s="87">
        <v>2.2883193521773901E-3</v>
      </c>
      <c r="BQ292" s="87">
        <v>1.0156814406601418</v>
      </c>
      <c r="BR292" s="87">
        <v>1.7781554447205265E-3</v>
      </c>
      <c r="BS292" s="87">
        <v>5.0723440006998239E-5</v>
      </c>
    </row>
    <row r="293" spans="2:71" x14ac:dyDescent="0.35">
      <c r="B293" s="87">
        <v>2.0053117852281144E-3</v>
      </c>
      <c r="C293" s="87">
        <v>3.3446655022031334E-3</v>
      </c>
      <c r="D293" s="87">
        <v>3.3212973351281288E-3</v>
      </c>
      <c r="E293" s="87">
        <v>3.6232413791967926E-3</v>
      </c>
      <c r="F293" s="87">
        <v>3.743529249047332E-3</v>
      </c>
      <c r="G293" s="87">
        <v>3.1132753618883869E-3</v>
      </c>
      <c r="H293" s="87">
        <v>5.5451851822492515E-3</v>
      </c>
      <c r="I293" s="87">
        <v>6.4861047491931315E-3</v>
      </c>
      <c r="J293" s="87">
        <v>5.1379713114832705E-3</v>
      </c>
      <c r="K293" s="87">
        <v>3.6360617701576502E-3</v>
      </c>
      <c r="L293" s="87">
        <v>3.1835184485709011E-3</v>
      </c>
      <c r="M293" s="87">
        <v>4.0206895409163074E-3</v>
      </c>
      <c r="N293" s="87">
        <v>4.2373001695838455E-3</v>
      </c>
      <c r="O293" s="87">
        <v>5.4234888329956696E-3</v>
      </c>
      <c r="P293" s="87">
        <v>4.6655760265578005E-3</v>
      </c>
      <c r="Q293" s="87">
        <v>3.7885854460783931E-3</v>
      </c>
      <c r="R293" s="87">
        <v>3.5458522653160724E-3</v>
      </c>
      <c r="S293" s="87">
        <v>2.9139998760190008E-3</v>
      </c>
      <c r="T293" s="87">
        <v>2.7202664338982965E-3</v>
      </c>
      <c r="U293" s="87">
        <v>3.596218309679169E-3</v>
      </c>
      <c r="V293" s="87">
        <v>2.5311042713951236E-3</v>
      </c>
      <c r="W293" s="87">
        <v>2.6791990610943971E-3</v>
      </c>
      <c r="X293" s="87">
        <v>2.9003137415256003E-3</v>
      </c>
      <c r="Y293" s="87">
        <v>5.3027855518029045E-3</v>
      </c>
      <c r="Z293" s="87">
        <v>5.7752677717835049E-3</v>
      </c>
      <c r="AA293" s="87">
        <v>3.8181214266188087E-3</v>
      </c>
      <c r="AB293" s="87">
        <v>3.1387048295477759E-3</v>
      </c>
      <c r="AC293" s="87">
        <v>2.7388713065521564E-3</v>
      </c>
      <c r="AD293" s="87">
        <v>1.1424405260299659E-3</v>
      </c>
      <c r="AE293" s="87">
        <v>3.5353761277473819E-3</v>
      </c>
      <c r="AF293" s="87">
        <v>2.9129832254982885E-3</v>
      </c>
      <c r="AG293" s="87">
        <v>1.4161245317420141E-3</v>
      </c>
      <c r="AH293" s="87">
        <v>2.2637585184269141E-3</v>
      </c>
      <c r="AI293" s="87">
        <v>8.9349010329062353E-3</v>
      </c>
      <c r="AJ293" s="87">
        <v>0</v>
      </c>
      <c r="AK293" s="87">
        <v>8.9105016584435596E-3</v>
      </c>
      <c r="AL293" s="87">
        <v>1.0781834820720848E-2</v>
      </c>
      <c r="AM293" s="87">
        <v>1.6123320388204843E-2</v>
      </c>
      <c r="AN293" s="87">
        <v>1.7035820839821889E-2</v>
      </c>
      <c r="AO293" s="87">
        <v>1.8775489467910158E-2</v>
      </c>
      <c r="AP293" s="87">
        <v>1.6550304801544947E-2</v>
      </c>
      <c r="AQ293" s="87">
        <v>2.1293036280367987E-2</v>
      </c>
      <c r="AR293" s="87">
        <v>1.1323177382882301E-2</v>
      </c>
      <c r="AS293" s="87">
        <v>1.729837444239881E-2</v>
      </c>
      <c r="AT293" s="87">
        <v>1.7565979056809955E-2</v>
      </c>
      <c r="AU293" s="87">
        <v>1.7424530744606561E-2</v>
      </c>
      <c r="AV293" s="87">
        <v>1.7348739573710428E-2</v>
      </c>
      <c r="AW293" s="87">
        <v>1.5965619354544099E-2</v>
      </c>
      <c r="AX293" s="87">
        <v>1.4271957112824722E-2</v>
      </c>
      <c r="AY293" s="87">
        <v>1.7598458193680066E-2</v>
      </c>
      <c r="AZ293" s="87">
        <v>1.38726235975278E-2</v>
      </c>
      <c r="BA293" s="87">
        <v>1.2965426995591988E-2</v>
      </c>
      <c r="BB293" s="87">
        <v>1.8946256658817228E-2</v>
      </c>
      <c r="BC293" s="87">
        <v>1.4060337915093424E-2</v>
      </c>
      <c r="BD293" s="87">
        <v>1.3373381031959277E-2</v>
      </c>
      <c r="BE293" s="87">
        <v>1.3786407159669495E-2</v>
      </c>
      <c r="BF293" s="87">
        <v>2.5736489404067926E-2</v>
      </c>
      <c r="BG293" s="87">
        <v>2.7570414016632443E-2</v>
      </c>
      <c r="BH293" s="87">
        <v>1.57155977628806E-2</v>
      </c>
      <c r="BI293" s="87">
        <v>2.1140687490766388E-2</v>
      </c>
      <c r="BJ293" s="87">
        <v>3.2305491152367791E-2</v>
      </c>
      <c r="BK293" s="87">
        <v>2.8165009234151359E-2</v>
      </c>
      <c r="BL293" s="87">
        <v>2.4063136573520712E-2</v>
      </c>
      <c r="BM293" s="87">
        <v>1.2986654408817546E-2</v>
      </c>
      <c r="BN293" s="87">
        <v>4.2960691160279577E-2</v>
      </c>
      <c r="BO293" s="87">
        <v>2.758297987756219E-2</v>
      </c>
      <c r="BP293" s="87">
        <v>2.2460058775759885E-2</v>
      </c>
      <c r="BQ293" s="87">
        <v>2.5161670748022384E-2</v>
      </c>
      <c r="BR293" s="87">
        <v>1.0725493259711016</v>
      </c>
      <c r="BS293" s="87">
        <v>4.9105659561984342E-3</v>
      </c>
    </row>
    <row r="294" spans="2:71" x14ac:dyDescent="0.35">
      <c r="B294" s="87">
        <v>6.8087633878376667E-6</v>
      </c>
      <c r="C294" s="87">
        <v>1.0753639245739306E-5</v>
      </c>
      <c r="D294" s="87">
        <v>1.0604783347242035E-5</v>
      </c>
      <c r="E294" s="87">
        <v>2.0088413618654851E-5</v>
      </c>
      <c r="F294" s="87">
        <v>1.4506618678397448E-5</v>
      </c>
      <c r="G294" s="87">
        <v>1.0137720390330349E-5</v>
      </c>
      <c r="H294" s="87">
        <v>1.0970803541594664E-5</v>
      </c>
      <c r="I294" s="87">
        <v>2.9048323863618104E-5</v>
      </c>
      <c r="J294" s="87">
        <v>1.3129843615562001E-5</v>
      </c>
      <c r="K294" s="87">
        <v>1.1395007290101393E-5</v>
      </c>
      <c r="L294" s="87">
        <v>9.7190868925333836E-6</v>
      </c>
      <c r="M294" s="87">
        <v>1.3077610573007127E-5</v>
      </c>
      <c r="N294" s="87">
        <v>1.4209521787603741E-5</v>
      </c>
      <c r="O294" s="87">
        <v>1.7090157144907866E-5</v>
      </c>
      <c r="P294" s="87">
        <v>2.0063895319735214E-5</v>
      </c>
      <c r="Q294" s="87">
        <v>1.285507904054231E-5</v>
      </c>
      <c r="R294" s="87">
        <v>1.1979150514110735E-5</v>
      </c>
      <c r="S294" s="87">
        <v>8.8438627092678643E-6</v>
      </c>
      <c r="T294" s="87">
        <v>8.2623989956263077E-6</v>
      </c>
      <c r="U294" s="87">
        <v>9.4629754502003855E-6</v>
      </c>
      <c r="V294" s="87">
        <v>6.0910026335351812E-6</v>
      </c>
      <c r="W294" s="87">
        <v>6.8230899883905801E-6</v>
      </c>
      <c r="X294" s="87">
        <v>1.04393056093773E-5</v>
      </c>
      <c r="Y294" s="87">
        <v>2.5397493303011332E-5</v>
      </c>
      <c r="Z294" s="87">
        <v>2.314274532084736E-5</v>
      </c>
      <c r="AA294" s="87">
        <v>1.2969407948007676E-5</v>
      </c>
      <c r="AB294" s="87">
        <v>6.5095697909263646E-6</v>
      </c>
      <c r="AC294" s="87">
        <v>6.1111846954196558E-6</v>
      </c>
      <c r="AD294" s="87">
        <v>2.8316681745145508E-6</v>
      </c>
      <c r="AE294" s="87">
        <v>6.0573104122449709E-6</v>
      </c>
      <c r="AF294" s="87">
        <v>7.0138131140970314E-6</v>
      </c>
      <c r="AG294" s="87">
        <v>2.8339252032534828E-6</v>
      </c>
      <c r="AH294" s="87">
        <v>5.5478018715843521E-6</v>
      </c>
      <c r="AI294" s="87">
        <v>7.3011618294778028E-6</v>
      </c>
      <c r="AJ294" s="87">
        <v>0</v>
      </c>
      <c r="AK294" s="87">
        <v>4.7449334288551239E-5</v>
      </c>
      <c r="AL294" s="87">
        <v>5.1106703260459112E-5</v>
      </c>
      <c r="AM294" s="87">
        <v>8.8485406774173553E-5</v>
      </c>
      <c r="AN294" s="87">
        <v>2.4836655568767722E-4</v>
      </c>
      <c r="AO294" s="87">
        <v>1.2500837460360098E-4</v>
      </c>
      <c r="AP294" s="87">
        <v>1.0519727878556675E-4</v>
      </c>
      <c r="AQ294" s="87">
        <v>1.0026001189904103E-4</v>
      </c>
      <c r="AR294" s="87">
        <v>6.8256922827589727E-5</v>
      </c>
      <c r="AS294" s="87">
        <v>7.6976416405621359E-5</v>
      </c>
      <c r="AT294" s="87">
        <v>8.8937988300196474E-5</v>
      </c>
      <c r="AU294" s="87">
        <v>8.2880108832778624E-5</v>
      </c>
      <c r="AV294" s="87">
        <v>7.3935031957700188E-5</v>
      </c>
      <c r="AW294" s="87">
        <v>1.076075448492971E-4</v>
      </c>
      <c r="AX294" s="87">
        <v>6.8698789889033981E-5</v>
      </c>
      <c r="AY294" s="87">
        <v>1.7623829606807677E-4</v>
      </c>
      <c r="AZ294" s="87">
        <v>7.8788216936898667E-5</v>
      </c>
      <c r="BA294" s="87">
        <v>4.8008793076424918E-5</v>
      </c>
      <c r="BB294" s="87">
        <v>1.1872758646142608E-4</v>
      </c>
      <c r="BC294" s="87">
        <v>8.4443950039419426E-5</v>
      </c>
      <c r="BD294" s="87">
        <v>3.6400906777862165E-5</v>
      </c>
      <c r="BE294" s="87">
        <v>7.4644538812855456E-5</v>
      </c>
      <c r="BF294" s="87">
        <v>1.1692883799249547E-4</v>
      </c>
      <c r="BG294" s="87">
        <v>2.3240450657676789E-4</v>
      </c>
      <c r="BH294" s="87">
        <v>4.95250191735129E-5</v>
      </c>
      <c r="BI294" s="87">
        <v>7.2925229376292737E-5</v>
      </c>
      <c r="BJ294" s="87">
        <v>7.4367579038292386E-5</v>
      </c>
      <c r="BK294" s="87">
        <v>7.6013166289190715E-5</v>
      </c>
      <c r="BL294" s="87">
        <v>1.3066841491631492E-4</v>
      </c>
      <c r="BM294" s="87">
        <v>1.1718048788386369E-4</v>
      </c>
      <c r="BN294" s="87">
        <v>1.3896390865767927E-4</v>
      </c>
      <c r="BO294" s="87">
        <v>1.2540072836869382E-4</v>
      </c>
      <c r="BP294" s="87">
        <v>9.5704381298001234E-5</v>
      </c>
      <c r="BQ294" s="87">
        <v>1.2270011231430131E-4</v>
      </c>
      <c r="BR294" s="87">
        <v>1.8670266595596636E-4</v>
      </c>
      <c r="BS294" s="87">
        <v>1.0002546677888724</v>
      </c>
    </row>
  </sheetData>
  <sortState xmlns:xlrd2="http://schemas.microsoft.com/office/spreadsheetml/2017/richdata2" ref="ET152:EU186">
    <sortCondition ref="EU152:EU18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D39"/>
  <sheetViews>
    <sheetView topLeftCell="A4" zoomScale="70" zoomScaleNormal="70" workbookViewId="0">
      <selection activeCell="T30" sqref="T30"/>
    </sheetView>
  </sheetViews>
  <sheetFormatPr baseColWidth="10" defaultColWidth="11.54296875" defaultRowHeight="14.5" x14ac:dyDescent="0.35"/>
  <sheetData>
    <row r="1" spans="2:25" x14ac:dyDescent="0.35">
      <c r="Q1" s="256" t="s">
        <v>111</v>
      </c>
      <c r="R1" s="256"/>
      <c r="S1" s="256"/>
      <c r="T1" s="256"/>
      <c r="U1" s="256"/>
      <c r="V1" s="256"/>
      <c r="W1" s="256"/>
      <c r="X1" s="256"/>
      <c r="Y1" s="256"/>
    </row>
    <row r="2" spans="2:25" x14ac:dyDescent="0.35">
      <c r="C2" s="244" t="s">
        <v>109</v>
      </c>
      <c r="D2" s="244"/>
      <c r="E2" s="244"/>
      <c r="F2" s="244"/>
      <c r="G2" s="244"/>
      <c r="H2" s="244"/>
      <c r="I2" s="244"/>
      <c r="J2" s="244"/>
      <c r="K2" s="244"/>
      <c r="L2" s="244"/>
      <c r="M2" s="244"/>
      <c r="Q2" s="256"/>
      <c r="R2" s="256"/>
      <c r="S2" s="256"/>
      <c r="T2" s="256"/>
      <c r="U2" s="256"/>
      <c r="V2" s="256"/>
      <c r="W2" s="256"/>
      <c r="X2" s="256"/>
      <c r="Y2" s="256"/>
    </row>
    <row r="3" spans="2:25" x14ac:dyDescent="0.35">
      <c r="C3" s="244"/>
      <c r="D3" s="244"/>
      <c r="E3" s="244"/>
      <c r="F3" s="244"/>
      <c r="G3" s="244"/>
      <c r="H3" s="244"/>
      <c r="I3" s="244"/>
      <c r="J3" s="244"/>
      <c r="K3" s="244"/>
      <c r="L3" s="244"/>
      <c r="M3" s="244"/>
      <c r="S3" s="246" t="s">
        <v>106</v>
      </c>
      <c r="T3" s="247"/>
      <c r="U3" s="250" t="s">
        <v>107</v>
      </c>
      <c r="V3" s="251"/>
      <c r="W3" s="254" t="s">
        <v>108</v>
      </c>
      <c r="X3" s="254"/>
    </row>
    <row r="4" spans="2:25" x14ac:dyDescent="0.35">
      <c r="S4" s="248"/>
      <c r="T4" s="249"/>
      <c r="U4" s="252"/>
      <c r="V4" s="253"/>
      <c r="W4" s="255"/>
      <c r="X4" s="255"/>
    </row>
    <row r="5" spans="2:25" x14ac:dyDescent="0.35">
      <c r="D5" s="220" t="s">
        <v>106</v>
      </c>
      <c r="E5" s="220"/>
      <c r="F5" s="220"/>
      <c r="G5" s="202" t="s">
        <v>107</v>
      </c>
      <c r="H5" s="202"/>
      <c r="I5" s="202"/>
      <c r="J5" s="245" t="s">
        <v>108</v>
      </c>
      <c r="K5" s="245"/>
      <c r="L5" s="245"/>
      <c r="S5" s="78">
        <v>2</v>
      </c>
      <c r="T5" s="78">
        <v>3</v>
      </c>
      <c r="U5" s="78">
        <v>2</v>
      </c>
      <c r="V5" s="78">
        <v>3</v>
      </c>
      <c r="W5" s="104">
        <v>2</v>
      </c>
      <c r="X5" s="104">
        <v>3</v>
      </c>
    </row>
    <row r="6" spans="2:25" x14ac:dyDescent="0.35">
      <c r="D6" s="220"/>
      <c r="E6" s="220"/>
      <c r="F6" s="220"/>
      <c r="G6" s="202"/>
      <c r="H6" s="202"/>
      <c r="I6" s="202"/>
      <c r="J6" s="245"/>
      <c r="K6" s="245"/>
      <c r="L6" s="245"/>
      <c r="Q6" s="220" t="s">
        <v>106</v>
      </c>
      <c r="R6">
        <v>2</v>
      </c>
      <c r="S6">
        <f>D9/SUM(D$9:D$10)</f>
        <v>0.83333333333333337</v>
      </c>
      <c r="T6">
        <f>E9/SUM(E9:E10)</f>
        <v>0.75</v>
      </c>
      <c r="U6">
        <f t="shared" ref="U6:X6" si="0">F9/SUM(F9:F10)</f>
        <v>0.5625</v>
      </c>
      <c r="V6">
        <f t="shared" si="0"/>
        <v>0.5</v>
      </c>
      <c r="W6">
        <f t="shared" si="0"/>
        <v>0.81818181818181823</v>
      </c>
      <c r="X6">
        <f t="shared" si="0"/>
        <v>0.16666666666666666</v>
      </c>
    </row>
    <row r="7" spans="2:25" x14ac:dyDescent="0.35">
      <c r="C7" s="1"/>
      <c r="D7" s="78">
        <v>1</v>
      </c>
      <c r="E7" s="78">
        <v>2</v>
      </c>
      <c r="F7" s="78">
        <v>3</v>
      </c>
      <c r="G7" s="78">
        <v>1</v>
      </c>
      <c r="H7" s="78">
        <v>2</v>
      </c>
      <c r="I7" s="78">
        <v>3</v>
      </c>
      <c r="J7" s="104">
        <v>1</v>
      </c>
      <c r="K7" s="104">
        <v>2</v>
      </c>
      <c r="L7" s="104">
        <v>3</v>
      </c>
      <c r="M7" s="218" t="s">
        <v>74</v>
      </c>
      <c r="N7" s="219"/>
      <c r="O7" s="78" t="s">
        <v>44</v>
      </c>
      <c r="Q7" s="220"/>
      <c r="R7">
        <v>3</v>
      </c>
      <c r="S7">
        <f>D10/SUM(D9:D10)</f>
        <v>0.16666666666666666</v>
      </c>
      <c r="T7">
        <f t="shared" ref="T7:X7" si="1">E10/SUM(E9:E10)</f>
        <v>0.25</v>
      </c>
      <c r="U7">
        <f t="shared" si="1"/>
        <v>0.4375</v>
      </c>
      <c r="V7">
        <f t="shared" si="1"/>
        <v>0.5</v>
      </c>
      <c r="W7">
        <f t="shared" si="1"/>
        <v>0.18181818181818182</v>
      </c>
      <c r="X7">
        <f t="shared" si="1"/>
        <v>0.83333333333333337</v>
      </c>
    </row>
    <row r="8" spans="2:25" x14ac:dyDescent="0.35">
      <c r="B8" s="220" t="s">
        <v>106</v>
      </c>
      <c r="C8" s="78">
        <v>1</v>
      </c>
      <c r="D8" s="125">
        <v>15</v>
      </c>
      <c r="E8" s="125">
        <v>9</v>
      </c>
      <c r="F8" s="125">
        <v>4</v>
      </c>
      <c r="G8" s="83">
        <v>8</v>
      </c>
      <c r="H8" s="83">
        <v>3</v>
      </c>
      <c r="I8" s="83">
        <v>1</v>
      </c>
      <c r="J8" s="83">
        <v>3</v>
      </c>
      <c r="K8" s="83">
        <v>2</v>
      </c>
      <c r="L8" s="83">
        <v>2</v>
      </c>
      <c r="M8" s="64">
        <v>35</v>
      </c>
      <c r="N8" s="224" t="s">
        <v>72</v>
      </c>
      <c r="O8" s="78">
        <f t="shared" ref="O8:O16" si="2">SUM(D8:M8)</f>
        <v>82</v>
      </c>
      <c r="Q8" s="215" t="s">
        <v>107</v>
      </c>
      <c r="R8">
        <v>2</v>
      </c>
      <c r="S8">
        <f>D12/SUM(D12:D13)</f>
        <v>0.625</v>
      </c>
      <c r="T8">
        <f t="shared" ref="T8:X8" si="3">E12/SUM(E12:E13)</f>
        <v>0.625</v>
      </c>
      <c r="U8">
        <f t="shared" si="3"/>
        <v>8.3333333333333329E-2</v>
      </c>
      <c r="V8">
        <f t="shared" si="3"/>
        <v>0.67567567567567566</v>
      </c>
      <c r="W8">
        <f t="shared" si="3"/>
        <v>0.68965517241379315</v>
      </c>
      <c r="X8">
        <f t="shared" si="3"/>
        <v>0.53608247422680411</v>
      </c>
    </row>
    <row r="9" spans="2:25" x14ac:dyDescent="0.35">
      <c r="B9" s="220"/>
      <c r="C9" s="78">
        <v>2</v>
      </c>
      <c r="D9" s="125">
        <v>5</v>
      </c>
      <c r="E9" s="125">
        <v>12</v>
      </c>
      <c r="F9" s="125">
        <v>9</v>
      </c>
      <c r="G9" s="83">
        <v>1</v>
      </c>
      <c r="H9" s="83">
        <v>9</v>
      </c>
      <c r="I9" s="83">
        <v>2</v>
      </c>
      <c r="J9" s="83">
        <v>4</v>
      </c>
      <c r="K9" s="83">
        <v>3</v>
      </c>
      <c r="L9" s="83">
        <v>1</v>
      </c>
      <c r="M9" s="64">
        <v>45</v>
      </c>
      <c r="N9" s="225"/>
      <c r="O9" s="78">
        <f t="shared" si="2"/>
        <v>91</v>
      </c>
      <c r="Q9" s="217"/>
      <c r="R9">
        <v>3</v>
      </c>
      <c r="S9">
        <f>D13/SUM(D12:D13)</f>
        <v>0.375</v>
      </c>
      <c r="T9">
        <f t="shared" ref="T9:X9" si="4">E13/SUM(E12:E13)</f>
        <v>0.375</v>
      </c>
      <c r="U9">
        <f t="shared" si="4"/>
        <v>0.91666666666666663</v>
      </c>
      <c r="V9">
        <f t="shared" si="4"/>
        <v>0.32432432432432434</v>
      </c>
      <c r="W9">
        <f t="shared" si="4"/>
        <v>0.31034482758620691</v>
      </c>
      <c r="X9">
        <f t="shared" si="4"/>
        <v>0.46391752577319589</v>
      </c>
    </row>
    <row r="10" spans="2:25" x14ac:dyDescent="0.35">
      <c r="B10" s="220"/>
      <c r="C10" s="78">
        <v>3</v>
      </c>
      <c r="D10" s="125">
        <v>1</v>
      </c>
      <c r="E10" s="125">
        <v>4</v>
      </c>
      <c r="F10" s="125">
        <v>7</v>
      </c>
      <c r="G10" s="83">
        <v>1</v>
      </c>
      <c r="H10" s="83">
        <v>2</v>
      </c>
      <c r="I10" s="83">
        <v>10</v>
      </c>
      <c r="J10" s="83">
        <v>5</v>
      </c>
      <c r="K10" s="83">
        <v>6</v>
      </c>
      <c r="L10" s="83">
        <v>3</v>
      </c>
      <c r="M10" s="64">
        <v>40</v>
      </c>
      <c r="N10" s="225"/>
      <c r="O10" s="78">
        <f t="shared" si="2"/>
        <v>79</v>
      </c>
      <c r="Q10" s="215" t="s">
        <v>108</v>
      </c>
      <c r="R10">
        <v>2</v>
      </c>
      <c r="S10">
        <f>D15/SUM(D15:D16)</f>
        <v>0.75</v>
      </c>
      <c r="T10">
        <f t="shared" ref="T10:X10" si="5">E15/SUM(E15:E16)</f>
        <v>0.81818181818181823</v>
      </c>
      <c r="U10">
        <f t="shared" si="5"/>
        <v>0.16666666666666666</v>
      </c>
      <c r="V10">
        <f t="shared" si="5"/>
        <v>0.5</v>
      </c>
      <c r="W10">
        <f t="shared" si="5"/>
        <v>0.90909090909090906</v>
      </c>
      <c r="X10">
        <f t="shared" si="5"/>
        <v>0.35294117647058826</v>
      </c>
    </row>
    <row r="11" spans="2:25" x14ac:dyDescent="0.35">
      <c r="B11" s="202" t="s">
        <v>107</v>
      </c>
      <c r="C11" s="78">
        <v>1</v>
      </c>
      <c r="D11" s="83">
        <v>6</v>
      </c>
      <c r="E11" s="83">
        <v>2</v>
      </c>
      <c r="F11" s="83">
        <v>2</v>
      </c>
      <c r="G11" s="126">
        <v>120</v>
      </c>
      <c r="H11" s="126">
        <v>100</v>
      </c>
      <c r="I11" s="126">
        <v>53</v>
      </c>
      <c r="J11" s="126">
        <v>3</v>
      </c>
      <c r="K11" s="126">
        <v>2</v>
      </c>
      <c r="L11" s="126">
        <v>1</v>
      </c>
      <c r="M11" s="64">
        <v>135</v>
      </c>
      <c r="N11" s="215" t="s">
        <v>73</v>
      </c>
      <c r="O11" s="78">
        <f t="shared" si="2"/>
        <v>424</v>
      </c>
      <c r="Q11" s="217"/>
      <c r="R11">
        <v>3</v>
      </c>
      <c r="S11">
        <f>D16/SUM(D15:D16)</f>
        <v>0.25</v>
      </c>
      <c r="T11">
        <f t="shared" ref="T11:X11" si="6">E16/SUM(E15:E16)</f>
        <v>0.18181818181818182</v>
      </c>
      <c r="U11">
        <f t="shared" si="6"/>
        <v>0.83333333333333337</v>
      </c>
      <c r="V11">
        <f t="shared" si="6"/>
        <v>0.5</v>
      </c>
      <c r="W11">
        <f t="shared" si="6"/>
        <v>9.0909090909090912E-2</v>
      </c>
      <c r="X11">
        <f t="shared" si="6"/>
        <v>0.6470588235294118</v>
      </c>
    </row>
    <row r="12" spans="2:25" x14ac:dyDescent="0.35">
      <c r="B12" s="202"/>
      <c r="C12" s="78">
        <v>2</v>
      </c>
      <c r="D12" s="83">
        <v>5</v>
      </c>
      <c r="E12" s="83">
        <v>10</v>
      </c>
      <c r="F12" s="83">
        <v>1</v>
      </c>
      <c r="G12" s="126">
        <v>25</v>
      </c>
      <c r="H12" s="126">
        <v>60</v>
      </c>
      <c r="I12" s="126">
        <v>52</v>
      </c>
      <c r="J12" s="126">
        <v>2</v>
      </c>
      <c r="K12" s="126">
        <v>2</v>
      </c>
      <c r="L12" s="126">
        <v>3</v>
      </c>
      <c r="M12" s="64">
        <v>288</v>
      </c>
      <c r="N12" s="216"/>
      <c r="O12" s="78">
        <f t="shared" si="2"/>
        <v>448</v>
      </c>
    </row>
    <row r="13" spans="2:25" x14ac:dyDescent="0.35">
      <c r="B13" s="202"/>
      <c r="C13" s="78">
        <v>3</v>
      </c>
      <c r="D13" s="83">
        <v>3</v>
      </c>
      <c r="E13" s="83">
        <v>6</v>
      </c>
      <c r="F13" s="83">
        <v>11</v>
      </c>
      <c r="G13" s="126">
        <v>12</v>
      </c>
      <c r="H13" s="126">
        <v>27</v>
      </c>
      <c r="I13" s="126">
        <v>45</v>
      </c>
      <c r="J13" s="126">
        <v>4</v>
      </c>
      <c r="K13" s="126">
        <v>1</v>
      </c>
      <c r="L13" s="126">
        <v>1</v>
      </c>
      <c r="M13" s="64">
        <v>230</v>
      </c>
      <c r="N13" s="217"/>
      <c r="O13" s="78">
        <f t="shared" si="2"/>
        <v>340</v>
      </c>
    </row>
    <row r="14" spans="2:25" x14ac:dyDescent="0.35">
      <c r="B14" s="202" t="s">
        <v>108</v>
      </c>
      <c r="C14" s="78">
        <v>1</v>
      </c>
      <c r="D14" s="83">
        <v>8</v>
      </c>
      <c r="E14" s="83">
        <v>1</v>
      </c>
      <c r="F14" s="83">
        <v>1</v>
      </c>
      <c r="G14" s="126">
        <v>6</v>
      </c>
      <c r="H14" s="126">
        <v>5</v>
      </c>
      <c r="I14" s="126">
        <v>3</v>
      </c>
      <c r="J14" s="126">
        <v>160</v>
      </c>
      <c r="K14" s="126">
        <v>120</v>
      </c>
      <c r="L14" s="126">
        <v>70</v>
      </c>
      <c r="M14" s="64">
        <v>212</v>
      </c>
      <c r="N14" s="215" t="s">
        <v>80</v>
      </c>
      <c r="O14" s="78">
        <f t="shared" si="2"/>
        <v>586</v>
      </c>
    </row>
    <row r="15" spans="2:25" x14ac:dyDescent="0.35">
      <c r="B15" s="202"/>
      <c r="C15" s="78">
        <v>2</v>
      </c>
      <c r="D15" s="83">
        <v>3</v>
      </c>
      <c r="E15" s="83">
        <v>9</v>
      </c>
      <c r="F15" s="83">
        <v>2</v>
      </c>
      <c r="G15" s="126">
        <v>2</v>
      </c>
      <c r="H15" s="126">
        <v>10</v>
      </c>
      <c r="I15" s="126">
        <v>6</v>
      </c>
      <c r="J15" s="126">
        <v>40</v>
      </c>
      <c r="K15" s="126">
        <v>85</v>
      </c>
      <c r="L15" s="126">
        <v>76</v>
      </c>
      <c r="M15" s="64">
        <v>350</v>
      </c>
      <c r="N15" s="216"/>
      <c r="O15" s="78">
        <f t="shared" si="2"/>
        <v>583</v>
      </c>
    </row>
    <row r="16" spans="2:25" x14ac:dyDescent="0.35">
      <c r="B16" s="202"/>
      <c r="C16" s="78">
        <v>3</v>
      </c>
      <c r="D16" s="83">
        <v>1</v>
      </c>
      <c r="E16" s="83">
        <v>2</v>
      </c>
      <c r="F16" s="83">
        <v>10</v>
      </c>
      <c r="G16" s="126">
        <v>2</v>
      </c>
      <c r="H16" s="126">
        <v>1</v>
      </c>
      <c r="I16" s="126">
        <v>11</v>
      </c>
      <c r="J16" s="126">
        <v>21</v>
      </c>
      <c r="K16" s="126">
        <v>37</v>
      </c>
      <c r="L16" s="126">
        <v>63</v>
      </c>
      <c r="M16" s="64">
        <v>280</v>
      </c>
      <c r="N16" s="217"/>
      <c r="O16" s="78">
        <f t="shared" si="2"/>
        <v>428</v>
      </c>
    </row>
    <row r="17" spans="2:30" x14ac:dyDescent="0.35">
      <c r="C17" s="78" t="s">
        <v>5</v>
      </c>
      <c r="D17" s="79">
        <f>O8-SUM(D8:D16)</f>
        <v>35</v>
      </c>
      <c r="E17" s="79">
        <f>O9-SUM(E8:E16)</f>
        <v>36</v>
      </c>
      <c r="F17" s="79">
        <f>O10-SUM(F8:F16)</f>
        <v>32</v>
      </c>
      <c r="G17" s="79">
        <f>O11-SUM(G8:G16)</f>
        <v>247</v>
      </c>
      <c r="H17" s="79">
        <f>O12-SUM(H8:H16)</f>
        <v>231</v>
      </c>
      <c r="I17" s="79">
        <f>O13-SUM(I8:I16)</f>
        <v>157</v>
      </c>
      <c r="J17" s="79">
        <f>O14-SUM(J8:J16)</f>
        <v>344</v>
      </c>
      <c r="K17" s="79">
        <f>O15-SUM(K8:K16)</f>
        <v>325</v>
      </c>
      <c r="L17" s="79">
        <f>O16-SUM(L8:L16)</f>
        <v>208</v>
      </c>
      <c r="M17" s="1"/>
      <c r="N17" s="1"/>
      <c r="O17" s="1"/>
    </row>
    <row r="18" spans="2:30" x14ac:dyDescent="0.35">
      <c r="C18" s="78" t="s">
        <v>44</v>
      </c>
      <c r="D18" s="78">
        <f t="shared" ref="D18:L18" si="7">SUM(D8:D17)</f>
        <v>82</v>
      </c>
      <c r="E18" s="78">
        <f t="shared" si="7"/>
        <v>91</v>
      </c>
      <c r="F18" s="78">
        <f t="shared" si="7"/>
        <v>79</v>
      </c>
      <c r="G18" s="78">
        <f t="shared" si="7"/>
        <v>424</v>
      </c>
      <c r="H18" s="78">
        <f t="shared" si="7"/>
        <v>448</v>
      </c>
      <c r="I18" s="78">
        <f t="shared" si="7"/>
        <v>340</v>
      </c>
      <c r="J18" s="78">
        <f t="shared" si="7"/>
        <v>586</v>
      </c>
      <c r="K18" s="78">
        <f t="shared" si="7"/>
        <v>583</v>
      </c>
      <c r="L18" s="78">
        <f t="shared" si="7"/>
        <v>428</v>
      </c>
    </row>
    <row r="23" spans="2:30" x14ac:dyDescent="0.35">
      <c r="B23" s="244" t="s">
        <v>110</v>
      </c>
      <c r="C23" s="244"/>
      <c r="D23" s="244"/>
      <c r="E23" s="244"/>
      <c r="F23" s="244"/>
      <c r="G23" s="244"/>
      <c r="H23" s="244"/>
      <c r="I23" s="244"/>
      <c r="R23" s="244" t="s">
        <v>112</v>
      </c>
      <c r="S23" s="244"/>
      <c r="T23" s="244"/>
      <c r="U23" s="244"/>
      <c r="V23" s="244"/>
      <c r="W23" s="244"/>
      <c r="X23" s="244"/>
      <c r="Y23" s="244"/>
      <c r="Z23" s="244"/>
      <c r="AA23" s="244"/>
      <c r="AB23" s="244"/>
    </row>
    <row r="24" spans="2:30" x14ac:dyDescent="0.35">
      <c r="B24" s="244"/>
      <c r="C24" s="244"/>
      <c r="D24" s="244"/>
      <c r="E24" s="244"/>
      <c r="F24" s="244"/>
      <c r="G24" s="244"/>
      <c r="H24" s="244"/>
      <c r="I24" s="244"/>
      <c r="R24" s="244"/>
      <c r="S24" s="244"/>
      <c r="T24" s="244"/>
      <c r="U24" s="244"/>
      <c r="V24" s="244"/>
      <c r="W24" s="244"/>
      <c r="X24" s="244"/>
      <c r="Y24" s="244"/>
      <c r="Z24" s="244"/>
      <c r="AA24" s="244"/>
      <c r="AB24" s="244"/>
    </row>
    <row r="26" spans="2:30" x14ac:dyDescent="0.35">
      <c r="D26" s="246" t="s">
        <v>106</v>
      </c>
      <c r="E26" s="247"/>
      <c r="F26" s="250" t="s">
        <v>107</v>
      </c>
      <c r="G26" s="251"/>
      <c r="H26" s="254" t="s">
        <v>108</v>
      </c>
      <c r="I26" s="254"/>
      <c r="S26" s="220" t="s">
        <v>106</v>
      </c>
      <c r="T26" s="220"/>
      <c r="U26" s="220"/>
      <c r="V26" s="202" t="s">
        <v>107</v>
      </c>
      <c r="W26" s="202"/>
      <c r="X26" s="202"/>
      <c r="Y26" s="245" t="s">
        <v>108</v>
      </c>
      <c r="Z26" s="245"/>
      <c r="AA26" s="245"/>
    </row>
    <row r="27" spans="2:30" x14ac:dyDescent="0.35">
      <c r="D27" s="248"/>
      <c r="E27" s="249"/>
      <c r="F27" s="252"/>
      <c r="G27" s="253"/>
      <c r="H27" s="255"/>
      <c r="I27" s="255"/>
      <c r="S27" s="220"/>
      <c r="T27" s="220"/>
      <c r="U27" s="220"/>
      <c r="V27" s="202"/>
      <c r="W27" s="202"/>
      <c r="X27" s="202"/>
      <c r="Y27" s="245"/>
      <c r="Z27" s="245"/>
      <c r="AA27" s="245"/>
    </row>
    <row r="28" spans="2:30" x14ac:dyDescent="0.35">
      <c r="C28" s="1"/>
      <c r="D28" s="78">
        <v>1</v>
      </c>
      <c r="E28" s="78">
        <v>2</v>
      </c>
      <c r="F28" s="78">
        <v>1</v>
      </c>
      <c r="G28" s="78">
        <v>2</v>
      </c>
      <c r="H28" s="104">
        <v>1</v>
      </c>
      <c r="I28" s="104">
        <v>2</v>
      </c>
      <c r="R28" s="1"/>
      <c r="S28" s="78">
        <v>1</v>
      </c>
      <c r="T28" s="78">
        <v>2</v>
      </c>
      <c r="U28" s="78">
        <v>3</v>
      </c>
      <c r="V28" s="78">
        <v>1</v>
      </c>
      <c r="W28" s="78">
        <v>2</v>
      </c>
      <c r="X28" s="78">
        <v>3</v>
      </c>
      <c r="Y28" s="104">
        <v>1</v>
      </c>
      <c r="Z28" s="104">
        <v>2</v>
      </c>
      <c r="AA28" s="104">
        <v>3</v>
      </c>
      <c r="AB28" s="218" t="s">
        <v>74</v>
      </c>
      <c r="AC28" s="219"/>
      <c r="AD28" s="78" t="s">
        <v>44</v>
      </c>
    </row>
    <row r="29" spans="2:30" x14ac:dyDescent="0.35">
      <c r="B29" s="220" t="s">
        <v>106</v>
      </c>
      <c r="C29" s="78">
        <v>1</v>
      </c>
      <c r="D29" s="125">
        <v>15</v>
      </c>
      <c r="E29" s="125">
        <v>9</v>
      </c>
      <c r="F29" s="83">
        <v>8</v>
      </c>
      <c r="G29" s="83">
        <v>3</v>
      </c>
      <c r="H29" s="83">
        <v>3</v>
      </c>
      <c r="I29" s="83">
        <v>2</v>
      </c>
      <c r="Q29" s="220" t="s">
        <v>106</v>
      </c>
      <c r="R29" s="78">
        <v>1</v>
      </c>
      <c r="S29" s="125">
        <v>15</v>
      </c>
      <c r="T29" s="125">
        <f>E29*(E8/(E8+F8))</f>
        <v>6.2307692307692308</v>
      </c>
      <c r="U29" s="125">
        <f>E29*(F8/(E8+F8))</f>
        <v>2.7692307692307692</v>
      </c>
      <c r="V29" s="83">
        <v>8</v>
      </c>
      <c r="W29" s="83"/>
      <c r="X29" s="83"/>
      <c r="Y29" s="83">
        <v>3</v>
      </c>
      <c r="Z29" s="83"/>
      <c r="AA29" s="83"/>
      <c r="AB29" s="64">
        <v>35</v>
      </c>
      <c r="AC29" s="224" t="s">
        <v>72</v>
      </c>
      <c r="AD29" s="78">
        <f t="shared" ref="AD29:AD37" si="8">SUM(S29:AB29)</f>
        <v>70</v>
      </c>
    </row>
    <row r="30" spans="2:30" x14ac:dyDescent="0.35">
      <c r="B30" s="220"/>
      <c r="C30" s="78">
        <v>2</v>
      </c>
      <c r="D30" s="125">
        <v>5</v>
      </c>
      <c r="E30" s="125">
        <v>12</v>
      </c>
      <c r="F30" s="83">
        <v>1</v>
      </c>
      <c r="G30" s="83">
        <v>9</v>
      </c>
      <c r="H30" s="83">
        <v>4</v>
      </c>
      <c r="I30" s="83">
        <v>3</v>
      </c>
      <c r="Q30" s="220"/>
      <c r="R30" s="78">
        <v>2</v>
      </c>
      <c r="S30" s="125">
        <f>D30*D9/(D9+D10)</f>
        <v>4.166666666666667</v>
      </c>
      <c r="T30" s="125">
        <f>$E$9*(E9/($E$9+$F$9+$E$10+$F$10))</f>
        <v>4.5</v>
      </c>
      <c r="U30" s="125">
        <f>$E$9*(F9/($E$9+$F$9+$E$10+$F$10))</f>
        <v>3.375</v>
      </c>
      <c r="V30" s="83"/>
      <c r="W30" s="83"/>
      <c r="X30" s="83"/>
      <c r="Y30" s="83"/>
      <c r="Z30" s="83"/>
      <c r="AA30" s="83"/>
      <c r="AB30" s="64">
        <v>45</v>
      </c>
      <c r="AC30" s="225"/>
      <c r="AD30" s="78">
        <f t="shared" si="8"/>
        <v>57.041666666666671</v>
      </c>
    </row>
    <row r="31" spans="2:30" x14ac:dyDescent="0.35">
      <c r="B31" s="215" t="s">
        <v>107</v>
      </c>
      <c r="C31" s="78">
        <v>1</v>
      </c>
      <c r="D31" s="83">
        <v>6</v>
      </c>
      <c r="E31" s="83">
        <v>2</v>
      </c>
      <c r="F31" s="126">
        <v>120</v>
      </c>
      <c r="G31" s="126">
        <v>100</v>
      </c>
      <c r="H31" s="126">
        <v>3</v>
      </c>
      <c r="I31" s="126">
        <v>2</v>
      </c>
      <c r="Q31" s="220"/>
      <c r="R31" s="78">
        <v>3</v>
      </c>
      <c r="S31" s="125">
        <f>D30*(D10/(D9+D10))</f>
        <v>0.83333333333333326</v>
      </c>
      <c r="T31" s="125">
        <f>$E$9*(E10/($E$9+$F$9+$E$10+$F$10))</f>
        <v>1.5</v>
      </c>
      <c r="U31" s="125">
        <f>$E$9*(F10/($E$9+$F$9+$E$10+$F$10))</f>
        <v>2.625</v>
      </c>
      <c r="V31" s="83"/>
      <c r="W31" s="83"/>
      <c r="X31" s="83"/>
      <c r="Y31" s="83"/>
      <c r="Z31" s="83"/>
      <c r="AA31" s="83"/>
      <c r="AB31" s="64">
        <v>40</v>
      </c>
      <c r="AC31" s="225"/>
      <c r="AD31" s="78">
        <f t="shared" si="8"/>
        <v>44.958333333333336</v>
      </c>
    </row>
    <row r="32" spans="2:30" x14ac:dyDescent="0.35">
      <c r="B32" s="217"/>
      <c r="C32" s="78">
        <v>2</v>
      </c>
      <c r="D32" s="83">
        <v>5</v>
      </c>
      <c r="E32" s="83">
        <v>10</v>
      </c>
      <c r="F32" s="126">
        <v>25</v>
      </c>
      <c r="G32" s="126">
        <v>60</v>
      </c>
      <c r="H32" s="126">
        <v>2</v>
      </c>
      <c r="I32" s="126">
        <v>2</v>
      </c>
      <c r="Q32" s="202" t="s">
        <v>107</v>
      </c>
      <c r="R32" s="78">
        <v>1</v>
      </c>
      <c r="S32" s="83">
        <v>6</v>
      </c>
      <c r="T32" s="83"/>
      <c r="U32" s="83"/>
      <c r="V32" s="126">
        <v>120</v>
      </c>
      <c r="W32" s="126"/>
      <c r="X32" s="126"/>
      <c r="Y32" s="126">
        <v>3</v>
      </c>
      <c r="Z32" s="126"/>
      <c r="AA32" s="126"/>
      <c r="AB32" s="64">
        <v>135</v>
      </c>
      <c r="AC32" s="215" t="s">
        <v>73</v>
      </c>
      <c r="AD32" s="78">
        <f t="shared" si="8"/>
        <v>264</v>
      </c>
    </row>
    <row r="33" spans="2:30" x14ac:dyDescent="0.35">
      <c r="B33" s="215" t="s">
        <v>108</v>
      </c>
      <c r="C33" s="78">
        <v>1</v>
      </c>
      <c r="D33" s="83">
        <v>8</v>
      </c>
      <c r="E33" s="83">
        <v>1</v>
      </c>
      <c r="F33" s="126">
        <v>6</v>
      </c>
      <c r="G33" s="126">
        <v>5</v>
      </c>
      <c r="H33" s="126">
        <v>160</v>
      </c>
      <c r="I33" s="126">
        <v>120</v>
      </c>
      <c r="Q33" s="202"/>
      <c r="R33" s="78">
        <v>2</v>
      </c>
      <c r="S33" s="83"/>
      <c r="T33" s="83"/>
      <c r="U33" s="83"/>
      <c r="V33" s="126"/>
      <c r="W33" s="126"/>
      <c r="X33" s="126"/>
      <c r="Y33" s="126"/>
      <c r="Z33" s="126"/>
      <c r="AA33" s="126"/>
      <c r="AB33" s="64">
        <v>288</v>
      </c>
      <c r="AC33" s="216"/>
      <c r="AD33" s="78">
        <f t="shared" si="8"/>
        <v>288</v>
      </c>
    </row>
    <row r="34" spans="2:30" x14ac:dyDescent="0.35">
      <c r="B34" s="217"/>
      <c r="C34" s="78">
        <v>2</v>
      </c>
      <c r="D34" s="83">
        <v>3</v>
      </c>
      <c r="E34" s="83">
        <v>9</v>
      </c>
      <c r="F34" s="126">
        <v>2</v>
      </c>
      <c r="G34" s="126">
        <v>10</v>
      </c>
      <c r="H34" s="126">
        <v>40</v>
      </c>
      <c r="I34" s="126">
        <v>85</v>
      </c>
      <c r="Q34" s="202"/>
      <c r="R34" s="78">
        <v>3</v>
      </c>
      <c r="S34" s="83"/>
      <c r="T34" s="83"/>
      <c r="U34" s="83"/>
      <c r="V34" s="126"/>
      <c r="W34" s="126"/>
      <c r="X34" s="126"/>
      <c r="Y34" s="126"/>
      <c r="Z34" s="126"/>
      <c r="AA34" s="126"/>
      <c r="AB34" s="64">
        <v>230</v>
      </c>
      <c r="AC34" s="217"/>
      <c r="AD34" s="78">
        <f t="shared" si="8"/>
        <v>230</v>
      </c>
    </row>
    <row r="35" spans="2:30" x14ac:dyDescent="0.35">
      <c r="C35" s="78" t="s">
        <v>5</v>
      </c>
      <c r="D35" s="79"/>
      <c r="E35" s="79"/>
      <c r="F35" s="79"/>
      <c r="G35" s="79"/>
      <c r="H35" s="79"/>
      <c r="I35" s="79"/>
      <c r="Q35" s="202" t="s">
        <v>108</v>
      </c>
      <c r="R35" s="78">
        <v>1</v>
      </c>
      <c r="S35" s="83">
        <v>8</v>
      </c>
      <c r="T35" s="83"/>
      <c r="U35" s="83"/>
      <c r="V35" s="126">
        <v>6</v>
      </c>
      <c r="W35" s="126"/>
      <c r="X35" s="126"/>
      <c r="Y35" s="126">
        <v>160</v>
      </c>
      <c r="Z35" s="126"/>
      <c r="AA35" s="126"/>
      <c r="AB35" s="64">
        <v>212</v>
      </c>
      <c r="AC35" s="215" t="s">
        <v>80</v>
      </c>
      <c r="AD35" s="78">
        <f t="shared" si="8"/>
        <v>386</v>
      </c>
    </row>
    <row r="36" spans="2:30" x14ac:dyDescent="0.35">
      <c r="C36" s="78" t="s">
        <v>44</v>
      </c>
      <c r="D36" s="78"/>
      <c r="E36" s="78"/>
      <c r="F36" s="78"/>
      <c r="G36" s="78"/>
      <c r="H36" s="78"/>
      <c r="I36" s="78"/>
      <c r="K36" s="1"/>
      <c r="Q36" s="202"/>
      <c r="R36" s="78">
        <v>2</v>
      </c>
      <c r="S36" s="83"/>
      <c r="T36" s="83"/>
      <c r="U36" s="83"/>
      <c r="V36" s="126"/>
      <c r="W36" s="126"/>
      <c r="X36" s="126"/>
      <c r="Y36" s="126"/>
      <c r="Z36" s="126"/>
      <c r="AA36" s="126"/>
      <c r="AB36" s="64">
        <v>350</v>
      </c>
      <c r="AC36" s="216"/>
      <c r="AD36" s="78">
        <f t="shared" si="8"/>
        <v>350</v>
      </c>
    </row>
    <row r="37" spans="2:30" x14ac:dyDescent="0.35">
      <c r="Q37" s="202"/>
      <c r="R37" s="78">
        <v>3</v>
      </c>
      <c r="S37" s="83"/>
      <c r="T37" s="83"/>
      <c r="U37" s="83"/>
      <c r="V37" s="126"/>
      <c r="W37" s="126"/>
      <c r="X37" s="126"/>
      <c r="Y37" s="126"/>
      <c r="Z37" s="126"/>
      <c r="AA37" s="126"/>
      <c r="AB37" s="64">
        <v>280</v>
      </c>
      <c r="AC37" s="217"/>
      <c r="AD37" s="78">
        <f t="shared" si="8"/>
        <v>280</v>
      </c>
    </row>
    <row r="38" spans="2:30" x14ac:dyDescent="0.35">
      <c r="R38" s="78" t="s">
        <v>5</v>
      </c>
      <c r="S38" s="79">
        <f>AD29-SUM(S29:S37)</f>
        <v>36</v>
      </c>
      <c r="T38" s="79">
        <f>AD30-SUM(T29:T37)</f>
        <v>44.810897435897445</v>
      </c>
      <c r="U38" s="79">
        <f>AD31-SUM(U29:U37)</f>
        <v>36.189102564102569</v>
      </c>
      <c r="V38" s="79">
        <f>AD32-SUM(V29:V37)</f>
        <v>130</v>
      </c>
      <c r="W38" s="79">
        <f>AD33-SUM(W29:W37)</f>
        <v>288</v>
      </c>
      <c r="X38" s="79">
        <f>AD34-SUM(X29:X37)</f>
        <v>230</v>
      </c>
      <c r="Y38" s="79">
        <f>AD35-SUM(Y29:Y37)</f>
        <v>220</v>
      </c>
      <c r="Z38" s="79">
        <f>AD36-SUM(Z29:Z37)</f>
        <v>350</v>
      </c>
      <c r="AA38" s="79">
        <f>AD37-SUM(AA29:AA37)</f>
        <v>280</v>
      </c>
      <c r="AB38" s="1"/>
      <c r="AC38" s="1"/>
      <c r="AD38" s="1"/>
    </row>
    <row r="39" spans="2:30" x14ac:dyDescent="0.35">
      <c r="R39" s="78" t="s">
        <v>44</v>
      </c>
      <c r="S39" s="78">
        <f t="shared" ref="S39:AA39" si="9">SUM(S29:S38)</f>
        <v>70</v>
      </c>
      <c r="T39" s="78">
        <f t="shared" si="9"/>
        <v>57.041666666666671</v>
      </c>
      <c r="U39" s="78">
        <f t="shared" si="9"/>
        <v>44.958333333333343</v>
      </c>
      <c r="V39" s="78">
        <f t="shared" si="9"/>
        <v>264</v>
      </c>
      <c r="W39" s="78">
        <f t="shared" si="9"/>
        <v>288</v>
      </c>
      <c r="X39" s="78">
        <f t="shared" si="9"/>
        <v>230</v>
      </c>
      <c r="Y39" s="78">
        <f t="shared" si="9"/>
        <v>386</v>
      </c>
      <c r="Z39" s="78">
        <f t="shared" si="9"/>
        <v>350</v>
      </c>
      <c r="AA39" s="78">
        <f t="shared" si="9"/>
        <v>280</v>
      </c>
    </row>
  </sheetData>
  <mergeCells count="36">
    <mergeCell ref="AC32:AC34"/>
    <mergeCell ref="Q35:Q37"/>
    <mergeCell ref="AC35:AC37"/>
    <mergeCell ref="Q1:Y2"/>
    <mergeCell ref="R23:AB24"/>
    <mergeCell ref="S26:U27"/>
    <mergeCell ref="V26:X27"/>
    <mergeCell ref="Y26:AA27"/>
    <mergeCell ref="AB28:AC28"/>
    <mergeCell ref="Q29:Q31"/>
    <mergeCell ref="AC29:AC31"/>
    <mergeCell ref="S3:T4"/>
    <mergeCell ref="U3:V4"/>
    <mergeCell ref="W3:X4"/>
    <mergeCell ref="B33:B34"/>
    <mergeCell ref="B23:I24"/>
    <mergeCell ref="Q6:Q7"/>
    <mergeCell ref="Q8:Q9"/>
    <mergeCell ref="Q10:Q11"/>
    <mergeCell ref="Q32:Q34"/>
    <mergeCell ref="D26:E27"/>
    <mergeCell ref="F26:G27"/>
    <mergeCell ref="H26:I27"/>
    <mergeCell ref="B31:B32"/>
    <mergeCell ref="B29:B30"/>
    <mergeCell ref="B11:B13"/>
    <mergeCell ref="N11:N13"/>
    <mergeCell ref="B14:B16"/>
    <mergeCell ref="N14:N16"/>
    <mergeCell ref="B8:B10"/>
    <mergeCell ref="N8:N10"/>
    <mergeCell ref="C2:M3"/>
    <mergeCell ref="D5:F6"/>
    <mergeCell ref="G5:I6"/>
    <mergeCell ref="J5:L6"/>
    <mergeCell ref="M7:N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A09B-7C06-48B7-B734-83E13EEDBCBB}">
  <dimension ref="B1:AD57"/>
  <sheetViews>
    <sheetView tabSelected="1" topLeftCell="D1" zoomScale="85" zoomScaleNormal="85" workbookViewId="0">
      <selection activeCell="T7" sqref="T7:T8"/>
    </sheetView>
  </sheetViews>
  <sheetFormatPr baseColWidth="10" defaultColWidth="11.54296875" defaultRowHeight="14.5" x14ac:dyDescent="0.35"/>
  <sheetData>
    <row r="1" spans="2:26" x14ac:dyDescent="0.35">
      <c r="Q1" s="256" t="s">
        <v>122</v>
      </c>
      <c r="R1" s="256"/>
      <c r="S1" s="256"/>
      <c r="T1" s="256"/>
      <c r="U1" s="256"/>
      <c r="V1" s="256"/>
      <c r="W1" s="256"/>
      <c r="X1" s="256"/>
      <c r="Y1" s="256"/>
    </row>
    <row r="2" spans="2:26" x14ac:dyDescent="0.35">
      <c r="C2" s="244" t="s">
        <v>123</v>
      </c>
      <c r="D2" s="244"/>
      <c r="E2" s="244"/>
      <c r="F2" s="244"/>
      <c r="G2" s="244"/>
      <c r="H2" s="244"/>
      <c r="I2" s="244"/>
      <c r="J2" s="244"/>
      <c r="K2" s="244"/>
      <c r="L2" s="244"/>
      <c r="M2" s="244"/>
      <c r="Q2" s="256"/>
      <c r="R2" s="256"/>
      <c r="S2" s="256"/>
      <c r="T2" s="256"/>
      <c r="U2" s="256"/>
      <c r="V2" s="256"/>
      <c r="W2" s="256"/>
      <c r="X2" s="256"/>
      <c r="Y2" s="256"/>
    </row>
    <row r="3" spans="2:26" x14ac:dyDescent="0.35">
      <c r="C3" s="244"/>
      <c r="D3" s="244"/>
      <c r="E3" s="244"/>
      <c r="F3" s="244"/>
      <c r="G3" s="244"/>
      <c r="H3" s="244"/>
      <c r="I3" s="244"/>
      <c r="J3" s="244"/>
      <c r="K3" s="244"/>
      <c r="L3" s="244"/>
      <c r="M3" s="244"/>
      <c r="R3" s="220" t="s">
        <v>106</v>
      </c>
      <c r="S3" s="220"/>
      <c r="T3" s="220"/>
      <c r="U3" s="202" t="s">
        <v>107</v>
      </c>
      <c r="V3" s="202"/>
      <c r="W3" s="202"/>
      <c r="X3" s="245" t="s">
        <v>108</v>
      </c>
      <c r="Y3" s="245"/>
      <c r="Z3" s="245"/>
    </row>
    <row r="4" spans="2:26" x14ac:dyDescent="0.35">
      <c r="R4" s="220"/>
      <c r="S4" s="220"/>
      <c r="T4" s="220"/>
      <c r="U4" s="202"/>
      <c r="V4" s="202"/>
      <c r="W4" s="202"/>
      <c r="X4" s="245"/>
      <c r="Y4" s="245"/>
      <c r="Z4" s="245"/>
    </row>
    <row r="5" spans="2:26" x14ac:dyDescent="0.35">
      <c r="D5" s="220" t="s">
        <v>106</v>
      </c>
      <c r="E5" s="220"/>
      <c r="F5" s="220"/>
      <c r="G5" s="202" t="s">
        <v>107</v>
      </c>
      <c r="H5" s="202"/>
      <c r="I5" s="202"/>
      <c r="J5" s="245" t="s">
        <v>108</v>
      </c>
      <c r="K5" s="245"/>
      <c r="L5" s="245"/>
      <c r="Q5" s="1"/>
      <c r="R5" s="78">
        <v>1</v>
      </c>
      <c r="S5" s="78">
        <v>2</v>
      </c>
      <c r="T5" s="78">
        <v>3</v>
      </c>
      <c r="U5" s="78">
        <v>1</v>
      </c>
      <c r="V5" s="78">
        <v>2</v>
      </c>
      <c r="W5" s="78">
        <v>3</v>
      </c>
      <c r="X5" s="104">
        <v>1</v>
      </c>
      <c r="Y5" s="104">
        <v>2</v>
      </c>
      <c r="Z5" s="104">
        <v>3</v>
      </c>
    </row>
    <row r="6" spans="2:26" x14ac:dyDescent="0.35">
      <c r="D6" s="220"/>
      <c r="E6" s="220"/>
      <c r="F6" s="220"/>
      <c r="G6" s="202"/>
      <c r="H6" s="202"/>
      <c r="I6" s="202"/>
      <c r="J6" s="245"/>
      <c r="K6" s="245"/>
      <c r="L6" s="245"/>
      <c r="Q6" s="78">
        <v>1</v>
      </c>
      <c r="R6" s="185">
        <f>D8/D8</f>
        <v>1</v>
      </c>
      <c r="S6" s="185">
        <f>E8/($E$8+$F$8)</f>
        <v>0.2</v>
      </c>
      <c r="T6" s="185">
        <f>F8/($E$8+$F$8)</f>
        <v>0.8</v>
      </c>
      <c r="U6" s="185">
        <f t="shared" ref="S6:Z6" si="0">G8/G8</f>
        <v>1</v>
      </c>
      <c r="V6" s="185">
        <f t="shared" si="0"/>
        <v>1</v>
      </c>
      <c r="W6" s="185">
        <f t="shared" si="0"/>
        <v>1</v>
      </c>
      <c r="X6" s="185">
        <f t="shared" si="0"/>
        <v>1</v>
      </c>
      <c r="Y6" s="185">
        <f t="shared" si="0"/>
        <v>1</v>
      </c>
      <c r="Z6" s="185">
        <f t="shared" si="0"/>
        <v>1</v>
      </c>
    </row>
    <row r="7" spans="2:26" x14ac:dyDescent="0.35">
      <c r="C7" s="1"/>
      <c r="D7" s="78">
        <v>1</v>
      </c>
      <c r="E7" s="78">
        <v>2</v>
      </c>
      <c r="F7" s="78">
        <v>3</v>
      </c>
      <c r="G7" s="78">
        <v>1</v>
      </c>
      <c r="H7" s="78">
        <v>2</v>
      </c>
      <c r="I7" s="78">
        <v>3</v>
      </c>
      <c r="J7" s="104">
        <v>1</v>
      </c>
      <c r="K7" s="104">
        <v>2</v>
      </c>
      <c r="L7" s="104">
        <v>3</v>
      </c>
      <c r="M7" s="218" t="s">
        <v>74</v>
      </c>
      <c r="N7" s="219"/>
      <c r="O7" s="78" t="s">
        <v>44</v>
      </c>
      <c r="Q7" s="78">
        <v>2</v>
      </c>
      <c r="R7" s="185">
        <f>D9/(D$9+D$10)</f>
        <v>0.25</v>
      </c>
      <c r="S7" s="185">
        <f>E9/(E$9+E$10+F$9+F$10)</f>
        <v>0.05</v>
      </c>
      <c r="T7" s="185">
        <f>F9/(F$9+F$10+E$9+E$10)</f>
        <v>0.2</v>
      </c>
      <c r="U7" s="185">
        <f t="shared" ref="U7:X7" si="1">G9/(G$9+G$10)</f>
        <v>0.25</v>
      </c>
      <c r="V7" s="185">
        <f>H9/(H$9+H$10+I$9+I$10)</f>
        <v>7.4999999999999997E-2</v>
      </c>
      <c r="W7" s="185">
        <f>I9/(I$9+I$10+H$9+H$10)</f>
        <v>0.17499999999999999</v>
      </c>
      <c r="X7" s="185">
        <f t="shared" si="1"/>
        <v>0.25</v>
      </c>
      <c r="Y7" s="185">
        <f>K9/(K$9+K$10+L$9+L$10)</f>
        <v>0.15</v>
      </c>
      <c r="Z7" s="185">
        <f>L9/(L$9+L$10+K$9+K$10)</f>
        <v>0.1</v>
      </c>
    </row>
    <row r="8" spans="2:26" x14ac:dyDescent="0.35">
      <c r="B8" s="220" t="s">
        <v>106</v>
      </c>
      <c r="C8" s="78">
        <v>1</v>
      </c>
      <c r="D8" s="185">
        <v>10</v>
      </c>
      <c r="E8" s="185">
        <v>12</v>
      </c>
      <c r="F8" s="185">
        <v>48</v>
      </c>
      <c r="G8" s="185">
        <v>20</v>
      </c>
      <c r="H8" s="185">
        <v>36</v>
      </c>
      <c r="I8" s="185">
        <v>84</v>
      </c>
      <c r="J8" s="185">
        <v>30</v>
      </c>
      <c r="K8" s="185">
        <v>108</v>
      </c>
      <c r="L8" s="185">
        <v>72</v>
      </c>
      <c r="M8" s="64">
        <v>35</v>
      </c>
      <c r="N8" s="224" t="s">
        <v>72</v>
      </c>
      <c r="O8" s="78">
        <f t="shared" ref="O8:O16" si="2">SUM(D8:M8)</f>
        <v>455</v>
      </c>
      <c r="Q8" s="78">
        <v>3</v>
      </c>
      <c r="R8" s="185">
        <f>D10/(D$9+D$10)</f>
        <v>0.75</v>
      </c>
      <c r="S8" s="185">
        <f>E10/(E$9+E$10+F$9+F$10)</f>
        <v>0.15</v>
      </c>
      <c r="T8" s="185">
        <f>F10/(F$9+F$10+E$9+E$10)</f>
        <v>0.6</v>
      </c>
      <c r="U8" s="185">
        <f t="shared" ref="U8:X8" si="3">G10/(G$9+G$10)</f>
        <v>0.75</v>
      </c>
      <c r="V8" s="185">
        <f>H10/(H$9+H$10+I$9+I$10)</f>
        <v>0.22500000000000001</v>
      </c>
      <c r="W8" s="185">
        <f>I10/(I$9+I$10+H$9+H$10)</f>
        <v>0.52500000000000002</v>
      </c>
      <c r="X8" s="185">
        <f t="shared" si="3"/>
        <v>0.75</v>
      </c>
      <c r="Y8" s="185">
        <f>K10/(K$9+K$10+L$9+L$10)</f>
        <v>0.45</v>
      </c>
      <c r="Z8" s="185">
        <f>L10/(L$9+L$10+K$9+K$10)</f>
        <v>0.3</v>
      </c>
    </row>
    <row r="9" spans="2:26" x14ac:dyDescent="0.35">
      <c r="B9" s="220"/>
      <c r="C9" s="78">
        <v>2</v>
      </c>
      <c r="D9" s="185">
        <v>15</v>
      </c>
      <c r="E9" s="185">
        <v>18</v>
      </c>
      <c r="F9" s="185">
        <v>72</v>
      </c>
      <c r="G9" s="185">
        <v>30</v>
      </c>
      <c r="H9" s="185">
        <v>54</v>
      </c>
      <c r="I9" s="185">
        <v>126</v>
      </c>
      <c r="J9" s="185">
        <v>45</v>
      </c>
      <c r="K9" s="185">
        <v>162</v>
      </c>
      <c r="L9" s="185">
        <v>108</v>
      </c>
      <c r="M9" s="64">
        <v>45</v>
      </c>
      <c r="N9" s="225"/>
      <c r="O9" s="78">
        <f t="shared" si="2"/>
        <v>675</v>
      </c>
      <c r="Q9" s="78">
        <v>1</v>
      </c>
      <c r="R9" s="185">
        <f>D11/D11</f>
        <v>1</v>
      </c>
      <c r="S9" s="185">
        <f t="shared" ref="S9:T9" si="4">E11/E11</f>
        <v>1</v>
      </c>
      <c r="T9" s="185">
        <f t="shared" si="4"/>
        <v>1</v>
      </c>
      <c r="U9" s="185"/>
      <c r="V9" s="185"/>
      <c r="W9" s="185"/>
      <c r="X9" s="185"/>
      <c r="Y9" s="185"/>
      <c r="Z9" s="185"/>
    </row>
    <row r="10" spans="2:26" x14ac:dyDescent="0.35">
      <c r="B10" s="220"/>
      <c r="C10" s="78">
        <v>3</v>
      </c>
      <c r="D10" s="185">
        <v>45</v>
      </c>
      <c r="E10" s="185">
        <v>54</v>
      </c>
      <c r="F10" s="185">
        <v>216</v>
      </c>
      <c r="G10" s="185">
        <v>90</v>
      </c>
      <c r="H10" s="185">
        <v>162</v>
      </c>
      <c r="I10" s="185">
        <v>378</v>
      </c>
      <c r="J10" s="185">
        <v>135</v>
      </c>
      <c r="K10" s="185">
        <v>486</v>
      </c>
      <c r="L10" s="185">
        <v>324</v>
      </c>
      <c r="M10" s="64">
        <v>40</v>
      </c>
      <c r="N10" s="225"/>
      <c r="O10" s="78">
        <f t="shared" si="2"/>
        <v>1930</v>
      </c>
      <c r="Q10" s="78">
        <v>2</v>
      </c>
      <c r="R10" s="185">
        <f>D12/(D$13+D$12)</f>
        <v>0.4</v>
      </c>
      <c r="S10" s="185">
        <f>E12/($F$12+$F$13+E$13+E$12)</f>
        <v>0.08</v>
      </c>
      <c r="T10" s="185">
        <f>F12/($F$12+$F$13+E$13+E$12)</f>
        <v>0.32</v>
      </c>
      <c r="U10" s="185"/>
      <c r="V10" s="185"/>
      <c r="W10" s="185"/>
      <c r="X10" s="185"/>
      <c r="Y10" s="185"/>
      <c r="Z10" s="185"/>
    </row>
    <row r="11" spans="2:26" x14ac:dyDescent="0.35">
      <c r="B11" s="202" t="s">
        <v>107</v>
      </c>
      <c r="C11" s="78">
        <v>1</v>
      </c>
      <c r="D11" s="185">
        <v>20</v>
      </c>
      <c r="E11" s="185">
        <v>24</v>
      </c>
      <c r="F11" s="185">
        <v>96</v>
      </c>
      <c r="G11" s="185">
        <v>30</v>
      </c>
      <c r="H11" s="185">
        <v>54</v>
      </c>
      <c r="I11" s="185">
        <v>126</v>
      </c>
      <c r="J11" s="185">
        <v>40</v>
      </c>
      <c r="K11" s="185">
        <v>144</v>
      </c>
      <c r="L11" s="185">
        <v>96</v>
      </c>
      <c r="M11" s="64">
        <v>135</v>
      </c>
      <c r="N11" s="215" t="s">
        <v>73</v>
      </c>
      <c r="O11" s="78">
        <f t="shared" si="2"/>
        <v>765</v>
      </c>
      <c r="Q11" s="78">
        <v>3</v>
      </c>
      <c r="R11" s="185">
        <f>D13/(D$13+D$12)</f>
        <v>0.6</v>
      </c>
      <c r="S11" s="185">
        <f>E13/($F$12+$F$13+E$13+E$12)</f>
        <v>0.12000000000000001</v>
      </c>
      <c r="T11" s="185">
        <f>F13/($F$12+$F$13+E$13+E$12)</f>
        <v>0.48000000000000004</v>
      </c>
      <c r="U11" s="185"/>
      <c r="V11" s="185"/>
      <c r="W11" s="185"/>
      <c r="X11" s="185"/>
      <c r="Y11" s="185"/>
      <c r="Z11" s="185"/>
    </row>
    <row r="12" spans="2:26" x14ac:dyDescent="0.35">
      <c r="B12" s="202"/>
      <c r="C12" s="78">
        <v>2</v>
      </c>
      <c r="D12" s="185">
        <v>48</v>
      </c>
      <c r="E12" s="185">
        <v>57.6</v>
      </c>
      <c r="F12" s="185">
        <v>230.4</v>
      </c>
      <c r="G12" s="185">
        <v>72</v>
      </c>
      <c r="H12" s="185">
        <v>129.6</v>
      </c>
      <c r="I12" s="185">
        <v>302.39999999999998</v>
      </c>
      <c r="J12" s="185">
        <v>96</v>
      </c>
      <c r="K12" s="185">
        <v>345.6</v>
      </c>
      <c r="L12" s="185">
        <v>230.4</v>
      </c>
      <c r="M12" s="64">
        <v>288</v>
      </c>
      <c r="N12" s="216"/>
      <c r="O12" s="78">
        <f t="shared" si="2"/>
        <v>1800</v>
      </c>
      <c r="Q12" s="78">
        <v>1</v>
      </c>
      <c r="R12" s="185">
        <f>D14/D14</f>
        <v>1</v>
      </c>
      <c r="S12" s="185">
        <f t="shared" ref="S12" si="5">E14/E14</f>
        <v>1</v>
      </c>
      <c r="T12" s="185">
        <f t="shared" ref="T12" si="6">F14/F14</f>
        <v>1</v>
      </c>
      <c r="U12" s="185"/>
      <c r="V12" s="185"/>
      <c r="W12" s="185"/>
      <c r="X12" s="185"/>
      <c r="Y12" s="185"/>
      <c r="Z12" s="185"/>
    </row>
    <row r="13" spans="2:26" x14ac:dyDescent="0.35">
      <c r="B13" s="202"/>
      <c r="C13" s="78">
        <v>3</v>
      </c>
      <c r="D13" s="185">
        <v>72</v>
      </c>
      <c r="E13" s="185">
        <v>86.4</v>
      </c>
      <c r="F13" s="185">
        <v>345.6</v>
      </c>
      <c r="G13" s="185">
        <v>108</v>
      </c>
      <c r="H13" s="185">
        <v>194.4</v>
      </c>
      <c r="I13" s="185">
        <v>453.6</v>
      </c>
      <c r="J13" s="185">
        <v>144</v>
      </c>
      <c r="K13" s="185">
        <v>518.4</v>
      </c>
      <c r="L13" s="185">
        <v>345.6</v>
      </c>
      <c r="M13" s="64">
        <v>230</v>
      </c>
      <c r="N13" s="217"/>
      <c r="O13" s="78">
        <f t="shared" si="2"/>
        <v>2498</v>
      </c>
      <c r="Q13" s="78">
        <v>2</v>
      </c>
      <c r="R13" s="185">
        <f>D15/(D15+D16)</f>
        <v>0.5</v>
      </c>
      <c r="S13" s="185">
        <f t="shared" ref="S13:T13" si="7">E15/(E15+E16)</f>
        <v>0.5</v>
      </c>
      <c r="T13" s="185">
        <f t="shared" si="7"/>
        <v>0.5</v>
      </c>
      <c r="U13" s="185"/>
      <c r="V13" s="185"/>
      <c r="W13" s="185"/>
      <c r="X13" s="185"/>
      <c r="Y13" s="185"/>
      <c r="Z13" s="185"/>
    </row>
    <row r="14" spans="2:26" x14ac:dyDescent="0.35">
      <c r="B14" s="202" t="s">
        <v>108</v>
      </c>
      <c r="C14" s="78">
        <v>1</v>
      </c>
      <c r="D14" s="185">
        <v>30</v>
      </c>
      <c r="E14" s="185">
        <v>36</v>
      </c>
      <c r="F14" s="185">
        <v>144</v>
      </c>
      <c r="G14" s="185">
        <v>40</v>
      </c>
      <c r="H14" s="185">
        <v>72</v>
      </c>
      <c r="I14" s="185">
        <v>168</v>
      </c>
      <c r="J14" s="185">
        <v>50</v>
      </c>
      <c r="K14" s="185">
        <v>180</v>
      </c>
      <c r="L14" s="185">
        <v>120</v>
      </c>
      <c r="M14" s="64">
        <v>212</v>
      </c>
      <c r="N14" s="215" t="s">
        <v>80</v>
      </c>
      <c r="O14" s="78">
        <f t="shared" si="2"/>
        <v>1052</v>
      </c>
      <c r="Q14" s="78">
        <v>3</v>
      </c>
      <c r="R14" s="185">
        <f>D16/(D16+D15)</f>
        <v>0.5</v>
      </c>
      <c r="S14" s="185">
        <f t="shared" ref="S14:T14" si="8">E16/(E16+E15)</f>
        <v>0.5</v>
      </c>
      <c r="T14" s="185">
        <f t="shared" si="8"/>
        <v>0.5</v>
      </c>
      <c r="U14" s="185"/>
      <c r="V14" s="185"/>
      <c r="W14" s="185"/>
      <c r="X14" s="185"/>
      <c r="Y14" s="185"/>
      <c r="Z14" s="185"/>
    </row>
    <row r="15" spans="2:26" x14ac:dyDescent="0.35">
      <c r="B15" s="202"/>
      <c r="C15" s="78">
        <v>2</v>
      </c>
      <c r="D15" s="185">
        <v>90</v>
      </c>
      <c r="E15" s="185">
        <v>108</v>
      </c>
      <c r="F15" s="185">
        <v>432</v>
      </c>
      <c r="G15" s="185">
        <v>120</v>
      </c>
      <c r="H15" s="185">
        <v>216</v>
      </c>
      <c r="I15" s="185">
        <v>504</v>
      </c>
      <c r="J15" s="185">
        <v>150</v>
      </c>
      <c r="K15" s="185">
        <v>540</v>
      </c>
      <c r="L15" s="185">
        <v>360</v>
      </c>
      <c r="M15" s="64">
        <v>350</v>
      </c>
      <c r="N15" s="216"/>
      <c r="O15" s="78">
        <f t="shared" si="2"/>
        <v>2870</v>
      </c>
      <c r="Q15" s="78" t="s">
        <v>5</v>
      </c>
      <c r="R15" s="79"/>
      <c r="S15" s="79"/>
      <c r="T15" s="79"/>
      <c r="U15" s="79"/>
      <c r="V15" s="79"/>
      <c r="W15" s="79"/>
      <c r="X15" s="79"/>
      <c r="Y15" s="79"/>
      <c r="Z15" s="79"/>
    </row>
    <row r="16" spans="2:26" x14ac:dyDescent="0.35">
      <c r="B16" s="202"/>
      <c r="C16" s="78">
        <v>3</v>
      </c>
      <c r="D16" s="185">
        <v>90</v>
      </c>
      <c r="E16" s="185">
        <v>108</v>
      </c>
      <c r="F16" s="185">
        <v>432</v>
      </c>
      <c r="G16" s="185">
        <v>120</v>
      </c>
      <c r="H16" s="185">
        <v>216</v>
      </c>
      <c r="I16" s="185">
        <v>504</v>
      </c>
      <c r="J16" s="185">
        <v>150</v>
      </c>
      <c r="K16" s="185">
        <v>540</v>
      </c>
      <c r="L16" s="185"/>
      <c r="M16" s="64">
        <v>280</v>
      </c>
      <c r="N16" s="217"/>
      <c r="O16" s="78">
        <f t="shared" si="2"/>
        <v>2440</v>
      </c>
      <c r="Q16" s="78" t="s">
        <v>44</v>
      </c>
      <c r="R16" s="78">
        <f t="shared" ref="R16:Z16" si="9">SUM(R6:R15)</f>
        <v>6</v>
      </c>
      <c r="S16" s="78">
        <f t="shared" si="9"/>
        <v>3.6</v>
      </c>
      <c r="T16" s="78">
        <f t="shared" si="9"/>
        <v>5.4</v>
      </c>
      <c r="U16" s="78">
        <f t="shared" si="9"/>
        <v>2</v>
      </c>
      <c r="V16" s="78">
        <f t="shared" si="9"/>
        <v>1.3</v>
      </c>
      <c r="W16" s="78">
        <f t="shared" si="9"/>
        <v>1.7000000000000002</v>
      </c>
      <c r="X16" s="78">
        <f t="shared" si="9"/>
        <v>2</v>
      </c>
      <c r="Y16" s="78">
        <f t="shared" si="9"/>
        <v>1.5999999999999999</v>
      </c>
      <c r="Z16" s="78">
        <f t="shared" si="9"/>
        <v>1.4000000000000001</v>
      </c>
    </row>
    <row r="17" spans="2:30" x14ac:dyDescent="0.35">
      <c r="C17" s="78" t="s">
        <v>5</v>
      </c>
      <c r="D17" s="79">
        <f>O8-SUM(D8:D16)</f>
        <v>35</v>
      </c>
      <c r="E17" s="79">
        <f>O9-SUM(E8:E16)</f>
        <v>171</v>
      </c>
      <c r="F17" s="79">
        <f>O10-SUM(F8:F16)</f>
        <v>-86</v>
      </c>
      <c r="G17" s="79">
        <f>O11-SUM(G8:G16)</f>
        <v>135</v>
      </c>
      <c r="H17" s="79">
        <f>O12-SUM(H8:H16)</f>
        <v>666</v>
      </c>
      <c r="I17" s="79">
        <f>O13-SUM(I8:I16)</f>
        <v>-148</v>
      </c>
      <c r="J17" s="79">
        <f>O14-SUM(J8:J16)</f>
        <v>212</v>
      </c>
      <c r="K17" s="79">
        <f>O15-SUM(K8:K16)</f>
        <v>-154</v>
      </c>
      <c r="L17" s="79">
        <f>O16-SUM(L8:L16)</f>
        <v>784</v>
      </c>
      <c r="M17" s="1"/>
      <c r="N17" s="1"/>
      <c r="O17" s="1"/>
    </row>
    <row r="18" spans="2:30" x14ac:dyDescent="0.35">
      <c r="C18" s="78" t="s">
        <v>44</v>
      </c>
      <c r="D18" s="78">
        <f t="shared" ref="D18:L18" si="10">SUM(D8:D17)</f>
        <v>455</v>
      </c>
      <c r="E18" s="78">
        <f t="shared" si="10"/>
        <v>675</v>
      </c>
      <c r="F18" s="78">
        <f t="shared" si="10"/>
        <v>1930</v>
      </c>
      <c r="G18" s="78">
        <f t="shared" si="10"/>
        <v>765</v>
      </c>
      <c r="H18" s="78">
        <f t="shared" si="10"/>
        <v>1800</v>
      </c>
      <c r="I18" s="78">
        <f t="shared" si="10"/>
        <v>2498</v>
      </c>
      <c r="J18" s="78">
        <f t="shared" si="10"/>
        <v>1052</v>
      </c>
      <c r="K18" s="78">
        <f t="shared" si="10"/>
        <v>2870</v>
      </c>
      <c r="L18" s="78">
        <f t="shared" si="10"/>
        <v>2440</v>
      </c>
    </row>
    <row r="23" spans="2:30" x14ac:dyDescent="0.35">
      <c r="B23" s="244" t="s">
        <v>124</v>
      </c>
      <c r="C23" s="244"/>
      <c r="D23" s="244"/>
      <c r="E23" s="244"/>
      <c r="F23" s="244"/>
      <c r="G23" s="244"/>
      <c r="H23" s="244"/>
      <c r="I23" s="244"/>
      <c r="R23" s="244" t="s">
        <v>112</v>
      </c>
      <c r="S23" s="244"/>
      <c r="T23" s="244"/>
      <c r="U23" s="244"/>
      <c r="V23" s="244"/>
      <c r="W23" s="244"/>
      <c r="X23" s="244"/>
      <c r="Y23" s="244"/>
      <c r="Z23" s="244"/>
      <c r="AA23" s="244"/>
      <c r="AB23" s="244"/>
    </row>
    <row r="24" spans="2:30" x14ac:dyDescent="0.35">
      <c r="B24" s="244"/>
      <c r="C24" s="244"/>
      <c r="D24" s="244"/>
      <c r="E24" s="244"/>
      <c r="F24" s="244"/>
      <c r="G24" s="244"/>
      <c r="H24" s="244"/>
      <c r="I24" s="244"/>
      <c r="R24" s="244"/>
      <c r="S24" s="244"/>
      <c r="T24" s="244"/>
      <c r="U24" s="244"/>
      <c r="V24" s="244"/>
      <c r="W24" s="244"/>
      <c r="X24" s="244"/>
      <c r="Y24" s="244"/>
      <c r="Z24" s="244"/>
      <c r="AA24" s="244"/>
      <c r="AB24" s="244"/>
    </row>
    <row r="26" spans="2:30" x14ac:dyDescent="0.35">
      <c r="D26" s="246" t="s">
        <v>106</v>
      </c>
      <c r="E26" s="247"/>
      <c r="F26" s="250" t="s">
        <v>107</v>
      </c>
      <c r="G26" s="251"/>
      <c r="H26" s="254" t="s">
        <v>108</v>
      </c>
      <c r="I26" s="254"/>
      <c r="S26" s="220" t="s">
        <v>106</v>
      </c>
      <c r="T26" s="220"/>
      <c r="U26" s="220"/>
      <c r="V26" s="202" t="s">
        <v>107</v>
      </c>
      <c r="W26" s="202"/>
      <c r="X26" s="202"/>
      <c r="Y26" s="245" t="s">
        <v>108</v>
      </c>
      <c r="Z26" s="245"/>
      <c r="AA26" s="245"/>
    </row>
    <row r="27" spans="2:30" x14ac:dyDescent="0.35">
      <c r="D27" s="248"/>
      <c r="E27" s="249"/>
      <c r="F27" s="252"/>
      <c r="G27" s="253"/>
      <c r="H27" s="255"/>
      <c r="I27" s="255"/>
      <c r="S27" s="220"/>
      <c r="T27" s="220"/>
      <c r="U27" s="220"/>
      <c r="V27" s="202"/>
      <c r="W27" s="202"/>
      <c r="X27" s="202"/>
      <c r="Y27" s="245"/>
      <c r="Z27" s="245"/>
      <c r="AA27" s="245"/>
    </row>
    <row r="28" spans="2:30" x14ac:dyDescent="0.35">
      <c r="C28" s="1"/>
      <c r="D28" s="78">
        <v>1</v>
      </c>
      <c r="E28" s="78">
        <v>2</v>
      </c>
      <c r="F28" s="78">
        <v>1</v>
      </c>
      <c r="G28" s="78">
        <v>2</v>
      </c>
      <c r="H28" s="104">
        <v>1</v>
      </c>
      <c r="I28" s="104">
        <v>2</v>
      </c>
      <c r="R28" s="1"/>
      <c r="S28" s="78">
        <v>1</v>
      </c>
      <c r="T28" s="78">
        <v>2</v>
      </c>
      <c r="U28" s="78">
        <v>3</v>
      </c>
      <c r="V28" s="78">
        <v>1</v>
      </c>
      <c r="W28" s="78">
        <v>2</v>
      </c>
      <c r="X28" s="78">
        <v>3</v>
      </c>
      <c r="Y28" s="104">
        <v>1</v>
      </c>
      <c r="Z28" s="104">
        <v>2</v>
      </c>
      <c r="AA28" s="104">
        <v>3</v>
      </c>
      <c r="AB28" s="218" t="s">
        <v>74</v>
      </c>
      <c r="AC28" s="219"/>
      <c r="AD28" s="78" t="s">
        <v>44</v>
      </c>
    </row>
    <row r="29" spans="2:30" x14ac:dyDescent="0.35">
      <c r="B29" s="220" t="s">
        <v>106</v>
      </c>
      <c r="C29" s="78">
        <v>1</v>
      </c>
      <c r="D29" s="185">
        <v>10</v>
      </c>
      <c r="E29" s="185">
        <v>60</v>
      </c>
      <c r="F29" s="185">
        <v>20</v>
      </c>
      <c r="G29" s="185">
        <v>120</v>
      </c>
      <c r="H29" s="185">
        <v>30</v>
      </c>
      <c r="I29" s="185">
        <v>180</v>
      </c>
      <c r="Q29" s="220" t="s">
        <v>106</v>
      </c>
      <c r="R29" s="78">
        <v>1</v>
      </c>
      <c r="S29" s="125">
        <f>D29*R6</f>
        <v>10</v>
      </c>
      <c r="T29" s="125">
        <f>E29*(E8/(E8+F8))</f>
        <v>12</v>
      </c>
      <c r="U29" s="125">
        <f>E29*(F8/(E8+F8))</f>
        <v>48</v>
      </c>
      <c r="V29" s="125">
        <f>G8</f>
        <v>20</v>
      </c>
      <c r="W29" s="125">
        <f>G29*(H8/(H8+I8))</f>
        <v>36</v>
      </c>
      <c r="X29" s="125">
        <f>G29*(I8/(I8+J8))</f>
        <v>88.421052631578945</v>
      </c>
      <c r="Y29" s="83">
        <v>3</v>
      </c>
      <c r="Z29" s="83"/>
      <c r="AA29" s="83"/>
      <c r="AB29" s="64">
        <v>35</v>
      </c>
      <c r="AC29" s="224" t="s">
        <v>72</v>
      </c>
      <c r="AD29" s="78">
        <f t="shared" ref="AD29:AD37" si="11">SUM(S29:AB29)</f>
        <v>252.42105263157896</v>
      </c>
    </row>
    <row r="30" spans="2:30" x14ac:dyDescent="0.35">
      <c r="B30" s="220"/>
      <c r="C30" s="78">
        <v>2</v>
      </c>
      <c r="D30" s="185">
        <v>60</v>
      </c>
      <c r="E30" s="185">
        <v>360</v>
      </c>
      <c r="F30" s="185">
        <v>120</v>
      </c>
      <c r="G30" s="185">
        <v>720</v>
      </c>
      <c r="H30" s="185">
        <v>180</v>
      </c>
      <c r="I30" s="185">
        <v>1080</v>
      </c>
      <c r="Q30" s="220"/>
      <c r="R30" s="78">
        <v>2</v>
      </c>
      <c r="S30" s="125">
        <f>D30*R7</f>
        <v>15</v>
      </c>
      <c r="T30" s="125">
        <f>$E$30*(E9/($E$9+$F$9+$E$10+$F$10))</f>
        <v>18</v>
      </c>
      <c r="U30" s="125">
        <f>$E$30*(F9/($E$9+$F$9+$E$10+$F$10))</f>
        <v>72</v>
      </c>
      <c r="V30" s="125">
        <f>F30*G9/(G9+G10)</f>
        <v>30</v>
      </c>
      <c r="W30" s="125">
        <f>$E$30*(H9/($E$9+$F$9+$E$10+$F$10))</f>
        <v>54</v>
      </c>
      <c r="X30" s="125">
        <f>$E$30*(I9/($E$9+$F$9+$E$10+$F$10))</f>
        <v>125.99999999999999</v>
      </c>
      <c r="Y30" s="83"/>
      <c r="Z30" s="83"/>
      <c r="AA30" s="83"/>
      <c r="AB30" s="64">
        <v>45</v>
      </c>
      <c r="AC30" s="225"/>
      <c r="AD30" s="78">
        <f t="shared" si="11"/>
        <v>360</v>
      </c>
    </row>
    <row r="31" spans="2:30" x14ac:dyDescent="0.35">
      <c r="B31" s="215" t="s">
        <v>107</v>
      </c>
      <c r="C31" s="78">
        <v>1</v>
      </c>
      <c r="D31" s="185">
        <v>20</v>
      </c>
      <c r="E31" s="185">
        <v>120</v>
      </c>
      <c r="F31" s="185">
        <v>30</v>
      </c>
      <c r="G31" s="185">
        <v>180</v>
      </c>
      <c r="H31" s="185">
        <v>40</v>
      </c>
      <c r="I31" s="185">
        <v>240</v>
      </c>
      <c r="Q31" s="220"/>
      <c r="R31" s="78">
        <v>3</v>
      </c>
      <c r="S31" s="125">
        <f>D30*R8</f>
        <v>45</v>
      </c>
      <c r="T31" s="125">
        <f>$E$30*(E10/($E$9+$F$9+$E$10+$F$10))</f>
        <v>54</v>
      </c>
      <c r="U31" s="125">
        <f>$E$30*(F10/($E$9+$F$9+$E$10+$F$10))</f>
        <v>216</v>
      </c>
      <c r="V31" s="125">
        <f>F30*(G10/(G9+G10))</f>
        <v>90</v>
      </c>
      <c r="W31" s="125">
        <f>$E$30*(H10/($E$9+$F$9+$E$10+$F$10))</f>
        <v>162</v>
      </c>
      <c r="X31" s="125">
        <f>$E$30*(I10/($E$9+$F$9+$E$10+$F$10))</f>
        <v>378</v>
      </c>
      <c r="Y31" s="83"/>
      <c r="Z31" s="83"/>
      <c r="AA31" s="83"/>
      <c r="AB31" s="64">
        <v>40</v>
      </c>
      <c r="AC31" s="225"/>
      <c r="AD31" s="78">
        <f t="shared" si="11"/>
        <v>985</v>
      </c>
    </row>
    <row r="32" spans="2:30" x14ac:dyDescent="0.35">
      <c r="B32" s="217"/>
      <c r="C32" s="78">
        <v>2</v>
      </c>
      <c r="D32" s="185">
        <v>120</v>
      </c>
      <c r="E32" s="185">
        <v>720</v>
      </c>
      <c r="F32" s="185">
        <v>180</v>
      </c>
      <c r="G32" s="185">
        <v>1080</v>
      </c>
      <c r="H32" s="185">
        <v>240</v>
      </c>
      <c r="I32" s="185">
        <v>1440</v>
      </c>
      <c r="Q32" s="202" t="s">
        <v>107</v>
      </c>
      <c r="R32" s="78">
        <v>1</v>
      </c>
      <c r="S32" s="125">
        <f>D11</f>
        <v>20</v>
      </c>
      <c r="T32" s="125">
        <f>E31*(E11/(E11+F11))</f>
        <v>24</v>
      </c>
      <c r="U32" s="125">
        <f>E31*(F11/(F11+E11))</f>
        <v>96</v>
      </c>
      <c r="V32" s="126">
        <v>120</v>
      </c>
      <c r="W32" s="126"/>
      <c r="X32" s="126"/>
      <c r="Y32" s="126">
        <v>3</v>
      </c>
      <c r="Z32" s="126"/>
      <c r="AA32" s="126"/>
      <c r="AB32" s="64">
        <v>135</v>
      </c>
      <c r="AC32" s="215" t="s">
        <v>73</v>
      </c>
      <c r="AD32" s="78">
        <f t="shared" si="11"/>
        <v>398</v>
      </c>
    </row>
    <row r="33" spans="2:30" x14ac:dyDescent="0.35">
      <c r="B33" s="215" t="s">
        <v>108</v>
      </c>
      <c r="C33" s="78">
        <v>1</v>
      </c>
      <c r="D33" s="185">
        <v>30</v>
      </c>
      <c r="E33" s="185">
        <v>180</v>
      </c>
      <c r="F33" s="185">
        <v>40</v>
      </c>
      <c r="G33" s="185">
        <v>240</v>
      </c>
      <c r="H33" s="185">
        <v>50</v>
      </c>
      <c r="I33" s="185">
        <v>300</v>
      </c>
      <c r="Q33" s="202"/>
      <c r="R33" s="78">
        <v>2</v>
      </c>
      <c r="S33" s="125">
        <f>D32*D12/(D12+D13)</f>
        <v>48</v>
      </c>
      <c r="T33" s="125">
        <f>$E$32*S10</f>
        <v>57.6</v>
      </c>
      <c r="U33" s="125">
        <f>$E$32*T10</f>
        <v>230.4</v>
      </c>
      <c r="V33" s="126"/>
      <c r="W33" s="126"/>
      <c r="X33" s="126"/>
      <c r="Y33" s="126"/>
      <c r="Z33" s="126"/>
      <c r="AA33" s="126"/>
      <c r="AB33" s="64">
        <v>288</v>
      </c>
      <c r="AC33" s="216"/>
      <c r="AD33" s="78">
        <f t="shared" si="11"/>
        <v>624</v>
      </c>
    </row>
    <row r="34" spans="2:30" x14ac:dyDescent="0.35">
      <c r="B34" s="217"/>
      <c r="C34" s="78">
        <v>2</v>
      </c>
      <c r="D34" s="185">
        <v>180</v>
      </c>
      <c r="E34" s="185">
        <v>1080</v>
      </c>
      <c r="F34" s="185">
        <v>240</v>
      </c>
      <c r="G34" s="185">
        <v>1440</v>
      </c>
      <c r="H34" s="185">
        <v>300</v>
      </c>
      <c r="I34" s="185">
        <v>1800</v>
      </c>
      <c r="Q34" s="202"/>
      <c r="R34" s="78">
        <v>3</v>
      </c>
      <c r="S34" s="125">
        <f>D32*(D13/(D12+D13))</f>
        <v>72</v>
      </c>
      <c r="T34" s="125">
        <f>$E$32*S11</f>
        <v>86.4</v>
      </c>
      <c r="U34" s="125">
        <f>$E$32*T11</f>
        <v>345.6</v>
      </c>
      <c r="V34" s="126"/>
      <c r="W34" s="126"/>
      <c r="X34" s="126"/>
      <c r="Y34" s="126"/>
      <c r="Z34" s="126"/>
      <c r="AA34" s="126"/>
      <c r="AB34" s="64">
        <v>230</v>
      </c>
      <c r="AC34" s="217"/>
      <c r="AD34" s="78">
        <f t="shared" si="11"/>
        <v>734</v>
      </c>
    </row>
    <row r="35" spans="2:30" x14ac:dyDescent="0.35">
      <c r="C35" s="78" t="s">
        <v>5</v>
      </c>
      <c r="D35" s="79"/>
      <c r="E35" s="79"/>
      <c r="F35" s="79"/>
      <c r="G35" s="79"/>
      <c r="H35" s="79"/>
      <c r="I35" s="79"/>
      <c r="Q35" s="202" t="s">
        <v>108</v>
      </c>
      <c r="R35" s="78">
        <v>1</v>
      </c>
      <c r="S35" s="83">
        <v>8</v>
      </c>
      <c r="T35" s="83"/>
      <c r="U35" s="83"/>
      <c r="V35" s="126">
        <v>6</v>
      </c>
      <c r="W35" s="126"/>
      <c r="X35" s="126"/>
      <c r="Y35" s="126">
        <v>160</v>
      </c>
      <c r="Z35" s="126"/>
      <c r="AA35" s="126"/>
      <c r="AB35" s="64">
        <v>212</v>
      </c>
      <c r="AC35" s="215" t="s">
        <v>80</v>
      </c>
      <c r="AD35" s="78">
        <f t="shared" si="11"/>
        <v>386</v>
      </c>
    </row>
    <row r="36" spans="2:30" x14ac:dyDescent="0.35">
      <c r="C36" s="78" t="s">
        <v>44</v>
      </c>
      <c r="D36" s="78"/>
      <c r="E36" s="78"/>
      <c r="F36" s="78"/>
      <c r="G36" s="78"/>
      <c r="H36" s="78"/>
      <c r="I36" s="78"/>
      <c r="K36" s="1"/>
      <c r="Q36" s="202"/>
      <c r="R36" s="78">
        <v>2</v>
      </c>
      <c r="S36" s="83"/>
      <c r="T36" s="83"/>
      <c r="U36" s="83"/>
      <c r="V36" s="126"/>
      <c r="W36" s="126"/>
      <c r="X36" s="126"/>
      <c r="Y36" s="126"/>
      <c r="Z36" s="126"/>
      <c r="AA36" s="126"/>
      <c r="AB36" s="64">
        <v>350</v>
      </c>
      <c r="AC36" s="216"/>
      <c r="AD36" s="78">
        <f t="shared" si="11"/>
        <v>350</v>
      </c>
    </row>
    <row r="37" spans="2:30" x14ac:dyDescent="0.35">
      <c r="Q37" s="202"/>
      <c r="R37" s="78">
        <v>3</v>
      </c>
      <c r="S37" s="83"/>
      <c r="T37" s="83"/>
      <c r="U37" s="83"/>
      <c r="V37" s="126"/>
      <c r="W37" s="126"/>
      <c r="X37" s="126"/>
      <c r="Y37" s="126"/>
      <c r="Z37" s="126"/>
      <c r="AA37" s="126"/>
      <c r="AB37" s="64">
        <v>280</v>
      </c>
      <c r="AC37" s="217"/>
      <c r="AD37" s="78">
        <f t="shared" si="11"/>
        <v>280</v>
      </c>
    </row>
    <row r="38" spans="2:30" x14ac:dyDescent="0.35">
      <c r="R38" s="78" t="s">
        <v>5</v>
      </c>
      <c r="S38" s="79">
        <f>AD29-SUM(S29:S37)</f>
        <v>34.421052631578959</v>
      </c>
      <c r="T38" s="79">
        <f>AD30-SUM(T29:T37)</f>
        <v>108</v>
      </c>
      <c r="U38" s="79">
        <f>AD31-SUM(U29:U37)</f>
        <v>-23</v>
      </c>
      <c r="V38" s="79">
        <f>AD32-SUM(V29:V37)</f>
        <v>132</v>
      </c>
      <c r="W38" s="79">
        <f>AD33-SUM(W29:W37)</f>
        <v>372</v>
      </c>
      <c r="X38" s="79">
        <f>AD34-SUM(X29:X37)</f>
        <v>141.57894736842104</v>
      </c>
      <c r="Y38" s="79">
        <f>AD35-SUM(Y29:Y37)</f>
        <v>220</v>
      </c>
      <c r="Z38" s="79">
        <f>AD36-SUM(Z29:Z37)</f>
        <v>350</v>
      </c>
      <c r="AA38" s="79">
        <f>AD37-SUM(AA29:AA37)</f>
        <v>280</v>
      </c>
      <c r="AB38" s="1"/>
      <c r="AC38" s="1"/>
      <c r="AD38" s="1"/>
    </row>
    <row r="39" spans="2:30" x14ac:dyDescent="0.35">
      <c r="B39" s="184"/>
      <c r="C39" s="184" t="s">
        <v>113</v>
      </c>
      <c r="D39" s="184" t="s">
        <v>114</v>
      </c>
      <c r="E39" s="184" t="s">
        <v>115</v>
      </c>
      <c r="F39" s="184" t="s">
        <v>116</v>
      </c>
      <c r="G39" s="184" t="s">
        <v>117</v>
      </c>
      <c r="H39" s="184" t="s">
        <v>118</v>
      </c>
      <c r="R39" s="78" t="s">
        <v>44</v>
      </c>
      <c r="S39" s="78">
        <f t="shared" ref="S39:AA39" si="12">SUM(S29:S38)</f>
        <v>252.42105263157896</v>
      </c>
      <c r="T39" s="78">
        <f t="shared" si="12"/>
        <v>360</v>
      </c>
      <c r="U39" s="78">
        <f t="shared" si="12"/>
        <v>985</v>
      </c>
      <c r="V39" s="78">
        <f t="shared" si="12"/>
        <v>398</v>
      </c>
      <c r="W39" s="78">
        <f t="shared" si="12"/>
        <v>624</v>
      </c>
      <c r="X39" s="78">
        <f t="shared" si="12"/>
        <v>734</v>
      </c>
      <c r="Y39" s="78">
        <f t="shared" si="12"/>
        <v>386</v>
      </c>
      <c r="Z39" s="78">
        <f t="shared" si="12"/>
        <v>350</v>
      </c>
      <c r="AA39" s="78">
        <f t="shared" si="12"/>
        <v>280</v>
      </c>
    </row>
    <row r="40" spans="2:30" x14ac:dyDescent="0.35">
      <c r="B40" s="186" t="s">
        <v>113</v>
      </c>
      <c r="C40" s="185">
        <v>10</v>
      </c>
      <c r="D40" s="185">
        <v>60</v>
      </c>
      <c r="E40" s="185">
        <v>20</v>
      </c>
      <c r="F40" s="185">
        <v>120</v>
      </c>
      <c r="G40" s="185">
        <v>30</v>
      </c>
      <c r="H40" s="185">
        <v>180</v>
      </c>
    </row>
    <row r="41" spans="2:30" x14ac:dyDescent="0.35">
      <c r="B41" s="186" t="s">
        <v>114</v>
      </c>
      <c r="C41" s="185">
        <v>60</v>
      </c>
      <c r="D41" s="185">
        <v>360</v>
      </c>
      <c r="E41" s="185">
        <v>120</v>
      </c>
      <c r="F41" s="185">
        <v>720</v>
      </c>
      <c r="G41" s="185">
        <v>180</v>
      </c>
      <c r="H41" s="185">
        <v>1080</v>
      </c>
    </row>
    <row r="42" spans="2:30" x14ac:dyDescent="0.35">
      <c r="B42" s="186" t="s">
        <v>115</v>
      </c>
      <c r="C42" s="185">
        <v>20</v>
      </c>
      <c r="D42" s="185">
        <v>120</v>
      </c>
      <c r="E42" s="185">
        <v>30</v>
      </c>
      <c r="F42" s="185">
        <v>180</v>
      </c>
      <c r="G42" s="185">
        <v>40</v>
      </c>
      <c r="H42" s="185">
        <v>240</v>
      </c>
    </row>
    <row r="43" spans="2:30" x14ac:dyDescent="0.35">
      <c r="B43" s="186" t="s">
        <v>116</v>
      </c>
      <c r="C43" s="185">
        <v>120</v>
      </c>
      <c r="D43" s="185">
        <v>720</v>
      </c>
      <c r="E43" s="185">
        <v>180</v>
      </c>
      <c r="F43" s="185">
        <v>1080</v>
      </c>
      <c r="G43" s="185">
        <v>240</v>
      </c>
      <c r="H43" s="185">
        <v>1440</v>
      </c>
    </row>
    <row r="44" spans="2:30" x14ac:dyDescent="0.35">
      <c r="B44" s="186" t="s">
        <v>117</v>
      </c>
      <c r="C44" s="185">
        <v>30</v>
      </c>
      <c r="D44" s="185">
        <v>180</v>
      </c>
      <c r="E44" s="185">
        <v>40</v>
      </c>
      <c r="F44" s="185">
        <v>240</v>
      </c>
      <c r="G44" s="185">
        <v>50</v>
      </c>
      <c r="H44" s="185">
        <v>300</v>
      </c>
    </row>
    <row r="45" spans="2:30" x14ac:dyDescent="0.35">
      <c r="B45" s="186" t="s">
        <v>118</v>
      </c>
      <c r="C45" s="185">
        <v>180</v>
      </c>
      <c r="D45" s="185">
        <v>1080</v>
      </c>
      <c r="E45" s="185">
        <v>240</v>
      </c>
      <c r="F45" s="185">
        <v>1440</v>
      </c>
      <c r="G45" s="185">
        <v>300</v>
      </c>
      <c r="H45" s="185">
        <v>1800</v>
      </c>
    </row>
    <row r="47" spans="2:30" x14ac:dyDescent="0.35">
      <c r="S47">
        <f>R9*D31</f>
        <v>20</v>
      </c>
    </row>
    <row r="48" spans="2:30" x14ac:dyDescent="0.35">
      <c r="B48" s="184"/>
      <c r="C48" s="184" t="s">
        <v>113</v>
      </c>
      <c r="D48" s="184" t="s">
        <v>114</v>
      </c>
      <c r="E48" s="184" t="s">
        <v>119</v>
      </c>
      <c r="F48" s="184" t="s">
        <v>115</v>
      </c>
      <c r="G48" s="184" t="s">
        <v>116</v>
      </c>
      <c r="H48" s="184" t="s">
        <v>120</v>
      </c>
      <c r="I48" s="184" t="s">
        <v>117</v>
      </c>
      <c r="J48" s="184" t="s">
        <v>118</v>
      </c>
      <c r="K48" s="184" t="s">
        <v>121</v>
      </c>
      <c r="S48">
        <f>R10*D32</f>
        <v>48</v>
      </c>
    </row>
    <row r="49" spans="2:19" x14ac:dyDescent="0.35">
      <c r="B49" s="186" t="s">
        <v>113</v>
      </c>
      <c r="C49" s="185">
        <v>10</v>
      </c>
      <c r="D49" s="185">
        <v>12</v>
      </c>
      <c r="E49" s="185">
        <v>48</v>
      </c>
      <c r="F49" s="185">
        <v>20</v>
      </c>
      <c r="G49" s="185">
        <v>36</v>
      </c>
      <c r="H49" s="185">
        <v>84</v>
      </c>
      <c r="I49" s="185">
        <v>30</v>
      </c>
      <c r="J49" s="185">
        <v>108</v>
      </c>
      <c r="K49" s="185">
        <v>72</v>
      </c>
      <c r="S49">
        <f>R11*D32</f>
        <v>72</v>
      </c>
    </row>
    <row r="50" spans="2:19" x14ac:dyDescent="0.35">
      <c r="B50" s="186" t="s">
        <v>114</v>
      </c>
      <c r="C50" s="185">
        <v>15</v>
      </c>
      <c r="D50" s="185">
        <v>18</v>
      </c>
      <c r="E50" s="185">
        <v>72</v>
      </c>
      <c r="F50" s="185">
        <v>30</v>
      </c>
      <c r="G50" s="185">
        <v>54</v>
      </c>
      <c r="H50" s="185">
        <v>126</v>
      </c>
      <c r="I50" s="185">
        <v>45</v>
      </c>
      <c r="J50" s="185">
        <v>162</v>
      </c>
      <c r="K50" s="185">
        <v>108</v>
      </c>
    </row>
    <row r="51" spans="2:19" x14ac:dyDescent="0.35">
      <c r="B51" s="186" t="s">
        <v>119</v>
      </c>
      <c r="C51" s="185">
        <v>45</v>
      </c>
      <c r="D51" s="185">
        <v>54</v>
      </c>
      <c r="E51" s="185">
        <v>216</v>
      </c>
      <c r="F51" s="185">
        <v>90</v>
      </c>
      <c r="G51" s="185">
        <v>162</v>
      </c>
      <c r="H51" s="185">
        <v>378</v>
      </c>
      <c r="I51" s="185">
        <v>135</v>
      </c>
      <c r="J51" s="185">
        <v>486</v>
      </c>
      <c r="K51" s="185">
        <v>324</v>
      </c>
    </row>
    <row r="52" spans="2:19" x14ac:dyDescent="0.35">
      <c r="B52" s="186" t="s">
        <v>115</v>
      </c>
      <c r="C52" s="185">
        <v>20</v>
      </c>
      <c r="D52" s="185">
        <v>24</v>
      </c>
      <c r="E52" s="185">
        <v>96</v>
      </c>
      <c r="F52" s="185">
        <v>30</v>
      </c>
      <c r="G52" s="185">
        <v>54</v>
      </c>
      <c r="H52" s="185">
        <v>126</v>
      </c>
      <c r="I52" s="185">
        <v>40</v>
      </c>
      <c r="J52" s="185">
        <v>144</v>
      </c>
      <c r="K52" s="185">
        <v>96</v>
      </c>
    </row>
    <row r="53" spans="2:19" x14ac:dyDescent="0.35">
      <c r="B53" s="186" t="s">
        <v>116</v>
      </c>
      <c r="C53" s="185">
        <v>48</v>
      </c>
      <c r="D53" s="185">
        <v>57.6</v>
      </c>
      <c r="E53" s="185">
        <v>230.4</v>
      </c>
      <c r="F53" s="185">
        <v>72</v>
      </c>
      <c r="G53" s="185">
        <v>129.6</v>
      </c>
      <c r="H53" s="185">
        <v>302.39999999999998</v>
      </c>
      <c r="I53" s="185">
        <v>96</v>
      </c>
      <c r="J53" s="185">
        <v>345.6</v>
      </c>
      <c r="K53" s="185">
        <v>230.4</v>
      </c>
    </row>
    <row r="54" spans="2:19" x14ac:dyDescent="0.35">
      <c r="B54" s="186" t="s">
        <v>120</v>
      </c>
      <c r="C54" s="185">
        <v>72</v>
      </c>
      <c r="D54" s="185">
        <v>86.4</v>
      </c>
      <c r="E54" s="185">
        <v>345.6</v>
      </c>
      <c r="F54" s="185">
        <v>108</v>
      </c>
      <c r="G54" s="185">
        <v>194.4</v>
      </c>
      <c r="H54" s="185">
        <v>453.6</v>
      </c>
      <c r="I54" s="185">
        <v>144</v>
      </c>
      <c r="J54" s="185">
        <v>518.4</v>
      </c>
      <c r="K54" s="185">
        <v>345.6</v>
      </c>
    </row>
    <row r="55" spans="2:19" x14ac:dyDescent="0.35">
      <c r="B55" s="186" t="s">
        <v>117</v>
      </c>
      <c r="C55" s="185">
        <v>30</v>
      </c>
      <c r="D55" s="185">
        <v>36</v>
      </c>
      <c r="E55" s="185">
        <v>144</v>
      </c>
      <c r="F55" s="185">
        <v>40</v>
      </c>
      <c r="G55" s="185">
        <v>72</v>
      </c>
      <c r="H55" s="185">
        <v>168</v>
      </c>
      <c r="I55" s="185">
        <v>50</v>
      </c>
      <c r="J55" s="185">
        <v>180</v>
      </c>
      <c r="K55" s="185">
        <v>120</v>
      </c>
    </row>
    <row r="56" spans="2:19" x14ac:dyDescent="0.35">
      <c r="B56" s="186" t="s">
        <v>118</v>
      </c>
      <c r="C56" s="185">
        <v>90</v>
      </c>
      <c r="D56" s="185">
        <v>108</v>
      </c>
      <c r="E56" s="185">
        <v>432</v>
      </c>
      <c r="F56" s="185">
        <v>120</v>
      </c>
      <c r="G56" s="185">
        <v>216</v>
      </c>
      <c r="H56" s="185">
        <v>504</v>
      </c>
      <c r="I56" s="185">
        <v>150</v>
      </c>
      <c r="J56" s="185">
        <v>540</v>
      </c>
      <c r="K56" s="185">
        <v>360</v>
      </c>
    </row>
    <row r="57" spans="2:19" x14ac:dyDescent="0.35">
      <c r="B57" s="186" t="s">
        <v>121</v>
      </c>
      <c r="C57" s="185">
        <v>90</v>
      </c>
      <c r="D57" s="185">
        <v>108</v>
      </c>
      <c r="E57" s="185">
        <v>432</v>
      </c>
      <c r="F57" s="185">
        <v>120</v>
      </c>
      <c r="G57" s="185">
        <v>216</v>
      </c>
      <c r="H57" s="185">
        <v>504</v>
      </c>
      <c r="I57" s="185">
        <v>150</v>
      </c>
      <c r="J57" s="185">
        <v>540</v>
      </c>
      <c r="K57" s="185"/>
    </row>
  </sheetData>
  <mergeCells count="33">
    <mergeCell ref="D5:F6"/>
    <mergeCell ref="G5:I6"/>
    <mergeCell ref="J5:L6"/>
    <mergeCell ref="M7:N7"/>
    <mergeCell ref="Q1:Y2"/>
    <mergeCell ref="C2:M3"/>
    <mergeCell ref="R3:T4"/>
    <mergeCell ref="U3:W4"/>
    <mergeCell ref="X3:Z4"/>
    <mergeCell ref="B8:B10"/>
    <mergeCell ref="N8:N10"/>
    <mergeCell ref="B11:B13"/>
    <mergeCell ref="N11:N13"/>
    <mergeCell ref="B14:B16"/>
    <mergeCell ref="N14:N16"/>
    <mergeCell ref="B23:I24"/>
    <mergeCell ref="R23:AB24"/>
    <mergeCell ref="D26:E27"/>
    <mergeCell ref="F26:G27"/>
    <mergeCell ref="H26:I27"/>
    <mergeCell ref="S26:U27"/>
    <mergeCell ref="V26:X27"/>
    <mergeCell ref="Y26:AA27"/>
    <mergeCell ref="Q35:Q37"/>
    <mergeCell ref="AC35:AC37"/>
    <mergeCell ref="AB28:AC28"/>
    <mergeCell ref="B29:B30"/>
    <mergeCell ref="Q29:Q31"/>
    <mergeCell ref="AC29:AC31"/>
    <mergeCell ref="B31:B32"/>
    <mergeCell ref="Q32:Q34"/>
    <mergeCell ref="AC32:AC34"/>
    <mergeCell ref="B33:B3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E2B1206CEA94F42AACD06FE04D66491" ma:contentTypeVersion="13" ma:contentTypeDescription="Crear nuevo documento." ma:contentTypeScope="" ma:versionID="63f9d5cd51e1beb697c6e1325dee2d64">
  <xsd:schema xmlns:xsd="http://www.w3.org/2001/XMLSchema" xmlns:xs="http://www.w3.org/2001/XMLSchema" xmlns:p="http://schemas.microsoft.com/office/2006/metadata/properties" xmlns:ns2="584eaa57-1a4f-460d-85a5-7e7567080098" xmlns:ns3="8843e131-2bfb-4534-ac6b-05e43e157d5b" targetNamespace="http://schemas.microsoft.com/office/2006/metadata/properties" ma:root="true" ma:fieldsID="248893afd637a903b3af41bd09f2cd77" ns2:_="" ns3:_="">
    <xsd:import namespace="584eaa57-1a4f-460d-85a5-7e7567080098"/>
    <xsd:import namespace="8843e131-2bfb-4534-ac6b-05e43e157d5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4eaa57-1a4f-460d-85a5-7e756708009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45b548b-3f07-48b7-986f-24f697825c7d}" ma:internalName="TaxCatchAll" ma:showField="CatchAllData" ma:web="584eaa57-1a4f-460d-85a5-7e75670800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43e131-2bfb-4534-ac6b-05e43e157d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0c61d788-ecdb-4aa4-a0ca-abe49909b6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84eaa57-1a4f-460d-85a5-7e7567080098" xsi:nil="true"/>
    <lcf76f155ced4ddcb4097134ff3c332f xmlns="8843e131-2bfb-4534-ac6b-05e43e157d5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4CDB976-7017-48BC-AC1E-3B1B2C2395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4eaa57-1a4f-460d-85a5-7e7567080098"/>
    <ds:schemaRef ds:uri="8843e131-2bfb-4534-ac6b-05e43e157d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23C8A0B-599E-47A5-9D2C-7FDEFD7520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C74A0E-77B2-4019-9F5A-35DFA9603008}">
  <ds:schemaRefs>
    <ds:schemaRef ds:uri="http://schemas.microsoft.com/office/2006/metadata/properties"/>
    <ds:schemaRef ds:uri="http://schemas.microsoft.com/office/infopath/2007/PartnerControls"/>
    <ds:schemaRef ds:uri="584eaa57-1a4f-460d-85a5-7e7567080098"/>
    <ds:schemaRef ds:uri="8843e131-2bfb-4534-ac6b-05e43e157d5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3sectors1region</vt:lpstr>
      <vt:lpstr>Multirregional</vt:lpstr>
      <vt:lpstr>Hoja2</vt:lpstr>
      <vt:lpstr>Agregar regiones</vt:lpstr>
      <vt:lpstr>Sheet1</vt:lpstr>
      <vt:lpstr>Correspondencia</vt:lpstr>
      <vt:lpstr>Correspondencia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</dc:creator>
  <cp:lastModifiedBy>SARA PAVESIO VELASCO</cp:lastModifiedBy>
  <cp:lastPrinted>2017-01-10T18:02:57Z</cp:lastPrinted>
  <dcterms:created xsi:type="dcterms:W3CDTF">2016-10-21T06:50:37Z</dcterms:created>
  <dcterms:modified xsi:type="dcterms:W3CDTF">2025-11-12T12:54:02Z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0x0101008E2B1206CEA94F42AACD06FE04D66491</vt:lpwstr>
  </property>
  <property fmtid="{D5CDD505-2E9C-101B-9397-08002B2CF9AE}" pid="3" name="MediaServiceImageTags">
    <vt:lpwstr/>
  </property>
</Properties>
</file>